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xr:revisionPtr revIDLastSave="0" documentId="8_{D0F121FD-41AF-4C6B-ADBE-FFCD98E25ACA}" xr6:coauthVersionLast="47" xr6:coauthVersionMax="47" xr10:uidLastSave="{00000000-0000-0000-0000-000000000000}"/>
  <bookViews>
    <workbookView xWindow="28680" yWindow="-120" windowWidth="29040" windowHeight="15720" tabRatio="803" activeTab="6" xr2:uid="{00000000-000D-0000-FFFF-FFFF00000000}"/>
  </bookViews>
  <sheets>
    <sheet name="Dashboard" sheetId="23" r:id="rId1"/>
    <sheet name="Heatmap" sheetId="34" state="hidden" r:id="rId2"/>
    <sheet name="Gantt chart" sheetId="32" r:id="rId3"/>
    <sheet name="Risk Register" sheetId="24" r:id="rId4"/>
    <sheet name="Tasks" sheetId="30" r:id="rId5"/>
    <sheet name="Rating factors" sheetId="25" r:id="rId6"/>
    <sheet name="Dropdowns" sheetId="8" r:id="rId7"/>
    <sheet name="Asset Inventory" sheetId="35" r:id="rId8"/>
    <sheet name="Heat map" sheetId="36" r:id="rId9"/>
  </sheets>
  <definedNames>
    <definedName name="CBriskDesc">#REF!</definedName>
    <definedName name="CombinationControl">#REF!</definedName>
    <definedName name="countBlanks">#REF!</definedName>
    <definedName name="csfSubcategory">#REF!</definedName>
    <definedName name="dateOfRecord">#REF!</definedName>
    <definedName name="detectScore">#REF!</definedName>
    <definedName name="disclaimerCell">#REF!</definedName>
    <definedName name="earliestAssessment">#REF!</definedName>
    <definedName name="familyIDs">#REF!</definedName>
    <definedName name="goRefs">#REF!</definedName>
    <definedName name="greenAbove">#REF!</definedName>
    <definedName name="identifyScore">#REF!</definedName>
    <definedName name="impactHigh">#REF!</definedName>
    <definedName name="impactLow">#REF!</definedName>
    <definedName name="impactMedium">#REF!</definedName>
    <definedName name="impactScale">#REF!</definedName>
    <definedName name="informationCell">#REF!</definedName>
    <definedName name="InScopeOptions">Dropdowns!#REF!</definedName>
    <definedName name="label025">#REF!</definedName>
    <definedName name="label025NB">#REF!</definedName>
    <definedName name="labelYN">#REF!</definedName>
    <definedName name="labelYNNB">#REF!</definedName>
    <definedName name="latestAssessment">#REF!</definedName>
    <definedName name="minAnsQuestions">#REF!</definedName>
    <definedName name="nameOfFirm">#REF!</definedName>
    <definedName name="nist53revision">#REF!</definedName>
    <definedName name="protectScore">#REF!</definedName>
    <definedName name="recoverScore">#REF!</definedName>
    <definedName name="redBelow">#REF!</definedName>
    <definedName name="resetControl">#REF!</definedName>
    <definedName name="respondScore">#REF!</definedName>
    <definedName name="responsibleParty">#REF!</definedName>
    <definedName name="riskMaximum">#REF!</definedName>
    <definedName name="riskMinimum">#REF!</definedName>
    <definedName name="riskRange">#REF!</definedName>
    <definedName name="riskStrategies">#REF!</definedName>
    <definedName name="scaleChoices">#REF!</definedName>
    <definedName name="scaleType">#REF!</definedName>
    <definedName name="scoreHigh">#REF!</definedName>
    <definedName name="scoreLabel">#REF!</definedName>
    <definedName name="scoreLow">#REF!</definedName>
    <definedName name="scoreMedium">#REF!</definedName>
    <definedName name="setHighScore">#REF!</definedName>
    <definedName name="setLowScore">#REF!</definedName>
    <definedName name="subCatList">#REF!</definedName>
    <definedName name="toggleSCriskRegister">#REF!</definedName>
    <definedName name="userV1">#REF!</definedName>
    <definedName name="userV2">#REF!</definedName>
    <definedName name="userV3">#REF!</definedName>
    <definedName name="userV4">#REF!</definedName>
    <definedName name="userV5">#REF!</definedName>
    <definedName name="workbookVersion">#REF!</definedName>
    <definedName name="yesNo">#REF!</definedName>
    <definedName name="yesNoNA">#REF!</definedName>
    <definedName name="zero2Five">#REF!</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24" l="1"/>
  <c r="U4" i="24" l="1"/>
  <c r="T4" i="24" s="1"/>
  <c r="AC106" i="32"/>
  <c r="AB106" i="32"/>
  <c r="AA106" i="32"/>
  <c r="Z106" i="32"/>
  <c r="Y106" i="32"/>
  <c r="X106" i="32"/>
  <c r="W106" i="32"/>
  <c r="V106" i="32"/>
  <c r="U106" i="32"/>
  <c r="T106" i="32"/>
  <c r="S106" i="32"/>
  <c r="R106" i="32"/>
  <c r="Q106" i="32"/>
  <c r="P106" i="32"/>
  <c r="O106" i="32"/>
  <c r="N106" i="32"/>
  <c r="M106" i="32"/>
  <c r="L106" i="32"/>
  <c r="K106" i="32"/>
  <c r="J106" i="32"/>
  <c r="I106" i="32"/>
  <c r="H106" i="32"/>
  <c r="G106" i="32"/>
  <c r="F106" i="32"/>
  <c r="AC105" i="32"/>
  <c r="AB105" i="32"/>
  <c r="AA105" i="32"/>
  <c r="Z105" i="32"/>
  <c r="Y105" i="32"/>
  <c r="X105" i="32"/>
  <c r="W105" i="32"/>
  <c r="V105" i="32"/>
  <c r="U105" i="32"/>
  <c r="T105" i="32"/>
  <c r="S105" i="32"/>
  <c r="R105" i="32"/>
  <c r="Q105" i="32"/>
  <c r="P105" i="32"/>
  <c r="O105" i="32"/>
  <c r="N105" i="32"/>
  <c r="M105" i="32"/>
  <c r="L105" i="32"/>
  <c r="K105" i="32"/>
  <c r="J105" i="32"/>
  <c r="I105" i="32"/>
  <c r="H105" i="32"/>
  <c r="G105" i="32"/>
  <c r="F105" i="32"/>
  <c r="AC104" i="32"/>
  <c r="AB104" i="32"/>
  <c r="AA104" i="32"/>
  <c r="Z104" i="32"/>
  <c r="Y104" i="32"/>
  <c r="X104" i="32"/>
  <c r="W104" i="32"/>
  <c r="V104" i="32"/>
  <c r="U104" i="32"/>
  <c r="T104" i="32"/>
  <c r="S104" i="32"/>
  <c r="R104" i="32"/>
  <c r="Q104" i="32"/>
  <c r="P104" i="32"/>
  <c r="O104" i="32"/>
  <c r="N104" i="32"/>
  <c r="M104" i="32"/>
  <c r="L104" i="32"/>
  <c r="K104" i="32"/>
  <c r="J104" i="32"/>
  <c r="I104" i="32"/>
  <c r="H104" i="32"/>
  <c r="G104" i="32"/>
  <c r="F104" i="32"/>
  <c r="AC103" i="32"/>
  <c r="AB103" i="32"/>
  <c r="AA103" i="32"/>
  <c r="Z103" i="32"/>
  <c r="Y103" i="32"/>
  <c r="X103" i="32"/>
  <c r="W103" i="32"/>
  <c r="V103" i="32"/>
  <c r="U103" i="32"/>
  <c r="T103" i="32"/>
  <c r="S103" i="32"/>
  <c r="R103" i="32"/>
  <c r="Q103" i="32"/>
  <c r="P103" i="32"/>
  <c r="O103" i="32"/>
  <c r="N103" i="32"/>
  <c r="M103" i="32"/>
  <c r="L103" i="32"/>
  <c r="K103" i="32"/>
  <c r="J103" i="32"/>
  <c r="I103" i="32"/>
  <c r="H103" i="32"/>
  <c r="G103" i="32"/>
  <c r="F103" i="32"/>
  <c r="AC102" i="32"/>
  <c r="AB102" i="32"/>
  <c r="AA102" i="32"/>
  <c r="Z102" i="32"/>
  <c r="Y102" i="32"/>
  <c r="X102" i="32"/>
  <c r="W102" i="32"/>
  <c r="V102" i="32"/>
  <c r="U102" i="32"/>
  <c r="T102" i="32"/>
  <c r="S102" i="32"/>
  <c r="R102" i="32"/>
  <c r="Q102" i="32"/>
  <c r="P102" i="32"/>
  <c r="O102" i="32"/>
  <c r="N102" i="32"/>
  <c r="M102" i="32"/>
  <c r="L102" i="32"/>
  <c r="K102" i="32"/>
  <c r="J102" i="32"/>
  <c r="I102" i="32"/>
  <c r="H102" i="32"/>
  <c r="G102" i="32"/>
  <c r="F102" i="32"/>
  <c r="AC101" i="32"/>
  <c r="AB101" i="32"/>
  <c r="AA101" i="32"/>
  <c r="Z101" i="32"/>
  <c r="Y101" i="32"/>
  <c r="X101" i="32"/>
  <c r="W101" i="32"/>
  <c r="V101" i="32"/>
  <c r="U101" i="32"/>
  <c r="T101" i="32"/>
  <c r="S101" i="32"/>
  <c r="R101" i="32"/>
  <c r="Q101" i="32"/>
  <c r="P101" i="32"/>
  <c r="O101" i="32"/>
  <c r="N101" i="32"/>
  <c r="M101" i="32"/>
  <c r="L101" i="32"/>
  <c r="K101" i="32"/>
  <c r="J101" i="32"/>
  <c r="I101" i="32"/>
  <c r="H101" i="32"/>
  <c r="G101" i="32"/>
  <c r="F101" i="32"/>
  <c r="AC100" i="32"/>
  <c r="AB100" i="32"/>
  <c r="AA100" i="32"/>
  <c r="Z100" i="32"/>
  <c r="Y100" i="32"/>
  <c r="X100" i="32"/>
  <c r="W100" i="32"/>
  <c r="V100" i="32"/>
  <c r="U100" i="32"/>
  <c r="T100" i="32"/>
  <c r="S100" i="32"/>
  <c r="R100" i="32"/>
  <c r="Q100" i="32"/>
  <c r="P100" i="32"/>
  <c r="O100" i="32"/>
  <c r="N100" i="32"/>
  <c r="M100" i="32"/>
  <c r="L100" i="32"/>
  <c r="K100" i="32"/>
  <c r="J100" i="32"/>
  <c r="I100" i="32"/>
  <c r="H100" i="32"/>
  <c r="G100" i="32"/>
  <c r="F100" i="32"/>
  <c r="AC99" i="32"/>
  <c r="AB99" i="32"/>
  <c r="AA99" i="32"/>
  <c r="Z99" i="32"/>
  <c r="Y99" i="32"/>
  <c r="X99" i="32"/>
  <c r="W99" i="32"/>
  <c r="V99" i="32"/>
  <c r="U99" i="32"/>
  <c r="T99" i="32"/>
  <c r="S99" i="32"/>
  <c r="R99" i="32"/>
  <c r="Q99" i="32"/>
  <c r="P99" i="32"/>
  <c r="O99" i="32"/>
  <c r="N99" i="32"/>
  <c r="M99" i="32"/>
  <c r="L99" i="32"/>
  <c r="K99" i="32"/>
  <c r="J99" i="32"/>
  <c r="I99" i="32"/>
  <c r="H99" i="32"/>
  <c r="G99" i="32"/>
  <c r="F99" i="32"/>
  <c r="AC98" i="32"/>
  <c r="AB98" i="32"/>
  <c r="AA98" i="32"/>
  <c r="Z98" i="32"/>
  <c r="Y98" i="32"/>
  <c r="X98" i="32"/>
  <c r="W98" i="32"/>
  <c r="V98" i="32"/>
  <c r="U98" i="32"/>
  <c r="T98" i="32"/>
  <c r="S98" i="32"/>
  <c r="R98" i="32"/>
  <c r="Q98" i="32"/>
  <c r="P98" i="32"/>
  <c r="O98" i="32"/>
  <c r="N98" i="32"/>
  <c r="M98" i="32"/>
  <c r="L98" i="32"/>
  <c r="K98" i="32"/>
  <c r="J98" i="32"/>
  <c r="I98" i="32"/>
  <c r="H98" i="32"/>
  <c r="G98" i="32"/>
  <c r="F98" i="32"/>
  <c r="AC97" i="32"/>
  <c r="AB97" i="32"/>
  <c r="AA97" i="32"/>
  <c r="Z97" i="32"/>
  <c r="Y97" i="32"/>
  <c r="X97" i="32"/>
  <c r="W97" i="32"/>
  <c r="V97" i="32"/>
  <c r="U97" i="32"/>
  <c r="T97" i="32"/>
  <c r="S97" i="32"/>
  <c r="R97" i="32"/>
  <c r="Q97" i="32"/>
  <c r="P97" i="32"/>
  <c r="O97" i="32"/>
  <c r="N97" i="32"/>
  <c r="M97" i="32"/>
  <c r="L97" i="32"/>
  <c r="K97" i="32"/>
  <c r="J97" i="32"/>
  <c r="I97" i="32"/>
  <c r="H97" i="32"/>
  <c r="G97" i="32"/>
  <c r="F97" i="32"/>
  <c r="AC96" i="32"/>
  <c r="AB96" i="32"/>
  <c r="AA96" i="32"/>
  <c r="Z96" i="32"/>
  <c r="Y96" i="32"/>
  <c r="X96" i="32"/>
  <c r="W96" i="32"/>
  <c r="V96" i="32"/>
  <c r="U96" i="32"/>
  <c r="T96" i="32"/>
  <c r="S96" i="32"/>
  <c r="R96" i="32"/>
  <c r="Q96" i="32"/>
  <c r="P96" i="32"/>
  <c r="O96" i="32"/>
  <c r="N96" i="32"/>
  <c r="M96" i="32"/>
  <c r="L96" i="32"/>
  <c r="K96" i="32"/>
  <c r="J96" i="32"/>
  <c r="I96" i="32"/>
  <c r="H96" i="32"/>
  <c r="G96" i="32"/>
  <c r="F96" i="32"/>
  <c r="AC95" i="32"/>
  <c r="AB95" i="32"/>
  <c r="AA95" i="32"/>
  <c r="Z95" i="32"/>
  <c r="Y95" i="32"/>
  <c r="X95" i="32"/>
  <c r="W95" i="32"/>
  <c r="V95" i="32"/>
  <c r="U95" i="32"/>
  <c r="T95" i="32"/>
  <c r="S95" i="32"/>
  <c r="R95" i="32"/>
  <c r="Q95" i="32"/>
  <c r="P95" i="32"/>
  <c r="O95" i="32"/>
  <c r="N95" i="32"/>
  <c r="M95" i="32"/>
  <c r="L95" i="32"/>
  <c r="K95" i="32"/>
  <c r="J95" i="32"/>
  <c r="I95" i="32"/>
  <c r="H95" i="32"/>
  <c r="G95" i="32"/>
  <c r="F95" i="32"/>
  <c r="AC94" i="32"/>
  <c r="AB94" i="32"/>
  <c r="AA94" i="32"/>
  <c r="Z94" i="32"/>
  <c r="Y94" i="32"/>
  <c r="X94" i="32"/>
  <c r="W94" i="32"/>
  <c r="V94" i="32"/>
  <c r="U94" i="32"/>
  <c r="T94" i="32"/>
  <c r="S94" i="32"/>
  <c r="R94" i="32"/>
  <c r="Q94" i="32"/>
  <c r="P94" i="32"/>
  <c r="O94" i="32"/>
  <c r="N94" i="32"/>
  <c r="M94" i="32"/>
  <c r="L94" i="32"/>
  <c r="K94" i="32"/>
  <c r="J94" i="32"/>
  <c r="I94" i="32"/>
  <c r="H94" i="32"/>
  <c r="G94" i="32"/>
  <c r="F94" i="32"/>
  <c r="AC93" i="32"/>
  <c r="AB93" i="32"/>
  <c r="AA93" i="32"/>
  <c r="Z93" i="32"/>
  <c r="Y93" i="32"/>
  <c r="X93" i="32"/>
  <c r="W93" i="32"/>
  <c r="V93" i="32"/>
  <c r="U93" i="32"/>
  <c r="T93" i="32"/>
  <c r="S93" i="32"/>
  <c r="R93" i="32"/>
  <c r="Q93" i="32"/>
  <c r="P93" i="32"/>
  <c r="O93" i="32"/>
  <c r="N93" i="32"/>
  <c r="M93" i="32"/>
  <c r="L93" i="32"/>
  <c r="K93" i="32"/>
  <c r="J93" i="32"/>
  <c r="I93" i="32"/>
  <c r="H93" i="32"/>
  <c r="G93" i="32"/>
  <c r="F93" i="32"/>
  <c r="AC92" i="32"/>
  <c r="AB92" i="32"/>
  <c r="AA92" i="32"/>
  <c r="Z92" i="32"/>
  <c r="Y92" i="32"/>
  <c r="X92" i="32"/>
  <c r="W92" i="32"/>
  <c r="V92" i="32"/>
  <c r="U92" i="32"/>
  <c r="T92" i="32"/>
  <c r="S92" i="32"/>
  <c r="R92" i="32"/>
  <c r="Q92" i="32"/>
  <c r="P92" i="32"/>
  <c r="O92" i="32"/>
  <c r="N92" i="32"/>
  <c r="M92" i="32"/>
  <c r="L92" i="32"/>
  <c r="K92" i="32"/>
  <c r="J92" i="32"/>
  <c r="I92" i="32"/>
  <c r="H92" i="32"/>
  <c r="G92" i="32"/>
  <c r="F92" i="32"/>
  <c r="AC91" i="32"/>
  <c r="AB91" i="32"/>
  <c r="AA91" i="32"/>
  <c r="Z91" i="32"/>
  <c r="Y91" i="32"/>
  <c r="X91" i="32"/>
  <c r="W91" i="32"/>
  <c r="V91" i="32"/>
  <c r="U91" i="32"/>
  <c r="T91" i="32"/>
  <c r="S91" i="32"/>
  <c r="R91" i="32"/>
  <c r="Q91" i="32"/>
  <c r="P91" i="32"/>
  <c r="O91" i="32"/>
  <c r="N91" i="32"/>
  <c r="M91" i="32"/>
  <c r="L91" i="32"/>
  <c r="K91" i="32"/>
  <c r="J91" i="32"/>
  <c r="I91" i="32"/>
  <c r="H91" i="32"/>
  <c r="G91" i="32"/>
  <c r="F91" i="32"/>
  <c r="AC90" i="32"/>
  <c r="AB90" i="32"/>
  <c r="AA90" i="32"/>
  <c r="Z90" i="32"/>
  <c r="Y90" i="32"/>
  <c r="X90" i="32"/>
  <c r="W90" i="32"/>
  <c r="V90" i="32"/>
  <c r="U90" i="32"/>
  <c r="T90" i="32"/>
  <c r="S90" i="32"/>
  <c r="R90" i="32"/>
  <c r="Q90" i="32"/>
  <c r="P90" i="32"/>
  <c r="O90" i="32"/>
  <c r="N90" i="32"/>
  <c r="M90" i="32"/>
  <c r="L90" i="32"/>
  <c r="K90" i="32"/>
  <c r="J90" i="32"/>
  <c r="I90" i="32"/>
  <c r="H90" i="32"/>
  <c r="G90" i="32"/>
  <c r="F90" i="32"/>
  <c r="AC89" i="32"/>
  <c r="AB89" i="32"/>
  <c r="AA89" i="32"/>
  <c r="Z89" i="32"/>
  <c r="Y89" i="32"/>
  <c r="X89" i="32"/>
  <c r="W89" i="32"/>
  <c r="V89" i="32"/>
  <c r="U89" i="32"/>
  <c r="T89" i="32"/>
  <c r="S89" i="32"/>
  <c r="R89" i="32"/>
  <c r="Q89" i="32"/>
  <c r="P89" i="32"/>
  <c r="O89" i="32"/>
  <c r="N89" i="32"/>
  <c r="M89" i="32"/>
  <c r="L89" i="32"/>
  <c r="K89" i="32"/>
  <c r="J89" i="32"/>
  <c r="I89" i="32"/>
  <c r="H89" i="32"/>
  <c r="G89" i="32"/>
  <c r="F89" i="32"/>
  <c r="AC88" i="32"/>
  <c r="AB88" i="32"/>
  <c r="AA88" i="32"/>
  <c r="Z88" i="32"/>
  <c r="Y88" i="32"/>
  <c r="X88" i="32"/>
  <c r="W88" i="32"/>
  <c r="V88" i="32"/>
  <c r="U88" i="32"/>
  <c r="T88" i="32"/>
  <c r="S88" i="32"/>
  <c r="R88" i="32"/>
  <c r="Q88" i="32"/>
  <c r="P88" i="32"/>
  <c r="O88" i="32"/>
  <c r="N88" i="32"/>
  <c r="M88" i="32"/>
  <c r="L88" i="32"/>
  <c r="K88" i="32"/>
  <c r="J88" i="32"/>
  <c r="I88" i="32"/>
  <c r="H88" i="32"/>
  <c r="G88" i="32"/>
  <c r="F88" i="32"/>
  <c r="AC87" i="32"/>
  <c r="AB87" i="32"/>
  <c r="AA87" i="32"/>
  <c r="Z87" i="32"/>
  <c r="Y87" i="32"/>
  <c r="X87" i="32"/>
  <c r="W87" i="32"/>
  <c r="V87" i="32"/>
  <c r="U87" i="32"/>
  <c r="T87" i="32"/>
  <c r="S87" i="32"/>
  <c r="R87" i="32"/>
  <c r="Q87" i="32"/>
  <c r="P87" i="32"/>
  <c r="O87" i="32"/>
  <c r="N87" i="32"/>
  <c r="M87" i="32"/>
  <c r="L87" i="32"/>
  <c r="K87" i="32"/>
  <c r="J87" i="32"/>
  <c r="I87" i="32"/>
  <c r="H87" i="32"/>
  <c r="G87" i="32"/>
  <c r="F87" i="32"/>
  <c r="AC86" i="32"/>
  <c r="AB86" i="32"/>
  <c r="AA86" i="32"/>
  <c r="Z86" i="32"/>
  <c r="Y86" i="32"/>
  <c r="X86" i="32"/>
  <c r="W86" i="32"/>
  <c r="V86" i="32"/>
  <c r="U86" i="32"/>
  <c r="T86" i="32"/>
  <c r="S86" i="32"/>
  <c r="R86" i="32"/>
  <c r="Q86" i="32"/>
  <c r="P86" i="32"/>
  <c r="O86" i="32"/>
  <c r="N86" i="32"/>
  <c r="M86" i="32"/>
  <c r="L86" i="32"/>
  <c r="K86" i="32"/>
  <c r="J86" i="32"/>
  <c r="I86" i="32"/>
  <c r="H86" i="32"/>
  <c r="G86" i="32"/>
  <c r="F86" i="32"/>
  <c r="AC85" i="32"/>
  <c r="AB85" i="32"/>
  <c r="AA85" i="32"/>
  <c r="Z85" i="32"/>
  <c r="Y85" i="32"/>
  <c r="X85" i="32"/>
  <c r="W85" i="32"/>
  <c r="V85" i="32"/>
  <c r="U85" i="32"/>
  <c r="T85" i="32"/>
  <c r="S85" i="32"/>
  <c r="R85" i="32"/>
  <c r="Q85" i="32"/>
  <c r="P85" i="32"/>
  <c r="O85" i="32"/>
  <c r="N85" i="32"/>
  <c r="M85" i="32"/>
  <c r="L85" i="32"/>
  <c r="K85" i="32"/>
  <c r="J85" i="32"/>
  <c r="I85" i="32"/>
  <c r="H85" i="32"/>
  <c r="G85" i="32"/>
  <c r="F85" i="32"/>
  <c r="AC84" i="32"/>
  <c r="AB84" i="32"/>
  <c r="AA84" i="32"/>
  <c r="Z84" i="32"/>
  <c r="Y84" i="32"/>
  <c r="X84" i="32"/>
  <c r="W84" i="32"/>
  <c r="V84" i="32"/>
  <c r="U84" i="32"/>
  <c r="T84" i="32"/>
  <c r="S84" i="32"/>
  <c r="R84" i="32"/>
  <c r="Q84" i="32"/>
  <c r="P84" i="32"/>
  <c r="O84" i="32"/>
  <c r="N84" i="32"/>
  <c r="M84" i="32"/>
  <c r="L84" i="32"/>
  <c r="K84" i="32"/>
  <c r="J84" i="32"/>
  <c r="I84" i="32"/>
  <c r="H84" i="32"/>
  <c r="G84" i="32"/>
  <c r="F84" i="32"/>
  <c r="AC83" i="32"/>
  <c r="AB83" i="32"/>
  <c r="AA83" i="32"/>
  <c r="Z83" i="32"/>
  <c r="Y83" i="32"/>
  <c r="X83" i="32"/>
  <c r="W83" i="32"/>
  <c r="V83" i="32"/>
  <c r="U83" i="32"/>
  <c r="T83" i="32"/>
  <c r="S83" i="32"/>
  <c r="R83" i="32"/>
  <c r="Q83" i="32"/>
  <c r="P83" i="32"/>
  <c r="O83" i="32"/>
  <c r="N83" i="32"/>
  <c r="M83" i="32"/>
  <c r="L83" i="32"/>
  <c r="K83" i="32"/>
  <c r="J83" i="32"/>
  <c r="I83" i="32"/>
  <c r="H83" i="32"/>
  <c r="G83" i="32"/>
  <c r="F83" i="32"/>
  <c r="AC82" i="32"/>
  <c r="AB82" i="32"/>
  <c r="AA82" i="32"/>
  <c r="Z82" i="32"/>
  <c r="Y82" i="32"/>
  <c r="X82" i="32"/>
  <c r="W82" i="32"/>
  <c r="V82" i="32"/>
  <c r="U82" i="32"/>
  <c r="T82" i="32"/>
  <c r="S82" i="32"/>
  <c r="R82" i="32"/>
  <c r="Q82" i="32"/>
  <c r="P82" i="32"/>
  <c r="O82" i="32"/>
  <c r="N82" i="32"/>
  <c r="M82" i="32"/>
  <c r="L82" i="32"/>
  <c r="K82" i="32"/>
  <c r="J82" i="32"/>
  <c r="I82" i="32"/>
  <c r="H82" i="32"/>
  <c r="G82" i="32"/>
  <c r="F82" i="32"/>
  <c r="AC81" i="32"/>
  <c r="AB81" i="32"/>
  <c r="AA81" i="32"/>
  <c r="Z81" i="32"/>
  <c r="Y81" i="32"/>
  <c r="X81" i="32"/>
  <c r="W81" i="32"/>
  <c r="V81" i="32"/>
  <c r="U81" i="32"/>
  <c r="T81" i="32"/>
  <c r="S81" i="32"/>
  <c r="R81" i="32"/>
  <c r="Q81" i="32"/>
  <c r="P81" i="32"/>
  <c r="O81" i="32"/>
  <c r="N81" i="32"/>
  <c r="M81" i="32"/>
  <c r="L81" i="32"/>
  <c r="K81" i="32"/>
  <c r="J81" i="32"/>
  <c r="I81" i="32"/>
  <c r="H81" i="32"/>
  <c r="G81" i="32"/>
  <c r="F81" i="32"/>
  <c r="AC80" i="32"/>
  <c r="AB80" i="32"/>
  <c r="AA80" i="32"/>
  <c r="Z80" i="32"/>
  <c r="Y80" i="32"/>
  <c r="X80" i="32"/>
  <c r="W80" i="32"/>
  <c r="V80" i="32"/>
  <c r="U80" i="32"/>
  <c r="T80" i="32"/>
  <c r="S80" i="32"/>
  <c r="R80" i="32"/>
  <c r="Q80" i="32"/>
  <c r="P80" i="32"/>
  <c r="O80" i="32"/>
  <c r="N80" i="32"/>
  <c r="M80" i="32"/>
  <c r="L80" i="32"/>
  <c r="K80" i="32"/>
  <c r="J80" i="32"/>
  <c r="I80" i="32"/>
  <c r="H80" i="32"/>
  <c r="G80" i="32"/>
  <c r="F80" i="32"/>
  <c r="AC79" i="32"/>
  <c r="AB79" i="32"/>
  <c r="AA79" i="32"/>
  <c r="Z79" i="32"/>
  <c r="Y79" i="32"/>
  <c r="X79" i="32"/>
  <c r="W79" i="32"/>
  <c r="V79" i="32"/>
  <c r="U79" i="32"/>
  <c r="T79" i="32"/>
  <c r="S79" i="32"/>
  <c r="R79" i="32"/>
  <c r="Q79" i="32"/>
  <c r="P79" i="32"/>
  <c r="O79" i="32"/>
  <c r="N79" i="32"/>
  <c r="M79" i="32"/>
  <c r="L79" i="32"/>
  <c r="K79" i="32"/>
  <c r="J79" i="32"/>
  <c r="I79" i="32"/>
  <c r="H79" i="32"/>
  <c r="G79" i="32"/>
  <c r="F79" i="32"/>
  <c r="AC78" i="32"/>
  <c r="AB78" i="32"/>
  <c r="AA78" i="32"/>
  <c r="Z78" i="32"/>
  <c r="Y78" i="32"/>
  <c r="X78" i="32"/>
  <c r="W78" i="32"/>
  <c r="V78" i="32"/>
  <c r="U78" i="32"/>
  <c r="T78" i="32"/>
  <c r="S78" i="32"/>
  <c r="R78" i="32"/>
  <c r="Q78" i="32"/>
  <c r="P78" i="32"/>
  <c r="O78" i="32"/>
  <c r="N78" i="32"/>
  <c r="M78" i="32"/>
  <c r="L78" i="32"/>
  <c r="K78" i="32"/>
  <c r="J78" i="32"/>
  <c r="I78" i="32"/>
  <c r="H78" i="32"/>
  <c r="G78" i="32"/>
  <c r="F78" i="32"/>
  <c r="AC77" i="32"/>
  <c r="AB77" i="32"/>
  <c r="AA77" i="32"/>
  <c r="Z77" i="32"/>
  <c r="Y77" i="32"/>
  <c r="X77" i="32"/>
  <c r="W77" i="32"/>
  <c r="V77" i="32"/>
  <c r="U77" i="32"/>
  <c r="T77" i="32"/>
  <c r="S77" i="32"/>
  <c r="R77" i="32"/>
  <c r="Q77" i="32"/>
  <c r="P77" i="32"/>
  <c r="O77" i="32"/>
  <c r="N77" i="32"/>
  <c r="M77" i="32"/>
  <c r="L77" i="32"/>
  <c r="K77" i="32"/>
  <c r="J77" i="32"/>
  <c r="I77" i="32"/>
  <c r="H77" i="32"/>
  <c r="G77" i="32"/>
  <c r="F77" i="32"/>
  <c r="AC76" i="32"/>
  <c r="AB76" i="32"/>
  <c r="AA76" i="32"/>
  <c r="Z76" i="32"/>
  <c r="Y76" i="32"/>
  <c r="X76" i="32"/>
  <c r="W76" i="32"/>
  <c r="V76" i="32"/>
  <c r="U76" i="32"/>
  <c r="T76" i="32"/>
  <c r="S76" i="32"/>
  <c r="R76" i="32"/>
  <c r="Q76" i="32"/>
  <c r="P76" i="32"/>
  <c r="O76" i="32"/>
  <c r="N76" i="32"/>
  <c r="M76" i="32"/>
  <c r="L76" i="32"/>
  <c r="K76" i="32"/>
  <c r="J76" i="32"/>
  <c r="I76" i="32"/>
  <c r="H76" i="32"/>
  <c r="G76" i="32"/>
  <c r="F76" i="32"/>
  <c r="AC75" i="32"/>
  <c r="AB75" i="32"/>
  <c r="AA75" i="32"/>
  <c r="Z75" i="32"/>
  <c r="Y75" i="32"/>
  <c r="X75" i="32"/>
  <c r="W75" i="32"/>
  <c r="V75" i="32"/>
  <c r="U75" i="32"/>
  <c r="T75" i="32"/>
  <c r="S75" i="32"/>
  <c r="R75" i="32"/>
  <c r="Q75" i="32"/>
  <c r="P75" i="32"/>
  <c r="O75" i="32"/>
  <c r="N75" i="32"/>
  <c r="M75" i="32"/>
  <c r="L75" i="32"/>
  <c r="K75" i="32"/>
  <c r="J75" i="32"/>
  <c r="I75" i="32"/>
  <c r="H75" i="32"/>
  <c r="G75" i="32"/>
  <c r="F75" i="32"/>
  <c r="AC74" i="32"/>
  <c r="AB74" i="32"/>
  <c r="AA74" i="32"/>
  <c r="Z74" i="32"/>
  <c r="Y74" i="32"/>
  <c r="X74" i="32"/>
  <c r="W74" i="32"/>
  <c r="V74" i="32"/>
  <c r="U74" i="32"/>
  <c r="T74" i="32"/>
  <c r="S74" i="32"/>
  <c r="R74" i="32"/>
  <c r="Q74" i="32"/>
  <c r="P74" i="32"/>
  <c r="O74" i="32"/>
  <c r="N74" i="32"/>
  <c r="M74" i="32"/>
  <c r="L74" i="32"/>
  <c r="K74" i="32"/>
  <c r="J74" i="32"/>
  <c r="I74" i="32"/>
  <c r="H74" i="32"/>
  <c r="G74" i="32"/>
  <c r="F74" i="32"/>
  <c r="AC73" i="32"/>
  <c r="AB73" i="32"/>
  <c r="AA73" i="32"/>
  <c r="Z73" i="32"/>
  <c r="Y73" i="32"/>
  <c r="X73" i="32"/>
  <c r="W73" i="32"/>
  <c r="V73" i="32"/>
  <c r="U73" i="32"/>
  <c r="T73" i="32"/>
  <c r="S73" i="32"/>
  <c r="R73" i="32"/>
  <c r="Q73" i="32"/>
  <c r="P73" i="32"/>
  <c r="O73" i="32"/>
  <c r="N73" i="32"/>
  <c r="M73" i="32"/>
  <c r="L73" i="32"/>
  <c r="K73" i="32"/>
  <c r="J73" i="32"/>
  <c r="I73" i="32"/>
  <c r="H73" i="32"/>
  <c r="G73" i="32"/>
  <c r="F73" i="32"/>
  <c r="AC72" i="32"/>
  <c r="AB72" i="32"/>
  <c r="AA72" i="32"/>
  <c r="Z72" i="32"/>
  <c r="Y72" i="32"/>
  <c r="X72" i="32"/>
  <c r="W72" i="32"/>
  <c r="V72" i="32"/>
  <c r="U72" i="32"/>
  <c r="T72" i="32"/>
  <c r="S72" i="32"/>
  <c r="R72" i="32"/>
  <c r="Q72" i="32"/>
  <c r="P72" i="32"/>
  <c r="O72" i="32"/>
  <c r="N72" i="32"/>
  <c r="M72" i="32"/>
  <c r="L72" i="32"/>
  <c r="K72" i="32"/>
  <c r="J72" i="32"/>
  <c r="I72" i="32"/>
  <c r="H72" i="32"/>
  <c r="G72" i="32"/>
  <c r="F72" i="32"/>
  <c r="AC71" i="32"/>
  <c r="AB71" i="32"/>
  <c r="AA71" i="32"/>
  <c r="Z71" i="32"/>
  <c r="Y71" i="32"/>
  <c r="X71" i="32"/>
  <c r="W71" i="32"/>
  <c r="V71" i="32"/>
  <c r="U71" i="32"/>
  <c r="T71" i="32"/>
  <c r="S71" i="32"/>
  <c r="R71" i="32"/>
  <c r="Q71" i="32"/>
  <c r="P71" i="32"/>
  <c r="O71" i="32"/>
  <c r="N71" i="32"/>
  <c r="M71" i="32"/>
  <c r="L71" i="32"/>
  <c r="K71" i="32"/>
  <c r="J71" i="32"/>
  <c r="I71" i="32"/>
  <c r="H71" i="32"/>
  <c r="G71" i="32"/>
  <c r="F71" i="32"/>
  <c r="AC70" i="32"/>
  <c r="AB70" i="32"/>
  <c r="AA70" i="32"/>
  <c r="Z70" i="32"/>
  <c r="Y70" i="32"/>
  <c r="X70" i="32"/>
  <c r="W70" i="32"/>
  <c r="V70" i="32"/>
  <c r="U70" i="32"/>
  <c r="T70" i="32"/>
  <c r="S70" i="32"/>
  <c r="R70" i="32"/>
  <c r="Q70" i="32"/>
  <c r="P70" i="32"/>
  <c r="O70" i="32"/>
  <c r="N70" i="32"/>
  <c r="M70" i="32"/>
  <c r="L70" i="32"/>
  <c r="K70" i="32"/>
  <c r="J70" i="32"/>
  <c r="I70" i="32"/>
  <c r="H70" i="32"/>
  <c r="G70" i="32"/>
  <c r="F70" i="32"/>
  <c r="AC69" i="32"/>
  <c r="AB69" i="32"/>
  <c r="AA69" i="32"/>
  <c r="Z69" i="32"/>
  <c r="Y69" i="32"/>
  <c r="X69" i="32"/>
  <c r="W69" i="32"/>
  <c r="V69" i="32"/>
  <c r="U69" i="32"/>
  <c r="T69" i="32"/>
  <c r="S69" i="32"/>
  <c r="R69" i="32"/>
  <c r="Q69" i="32"/>
  <c r="P69" i="32"/>
  <c r="O69" i="32"/>
  <c r="N69" i="32"/>
  <c r="M69" i="32"/>
  <c r="L69" i="32"/>
  <c r="K69" i="32"/>
  <c r="J69" i="32"/>
  <c r="I69" i="32"/>
  <c r="H69" i="32"/>
  <c r="G69" i="32"/>
  <c r="F69" i="32"/>
  <c r="AC68" i="32"/>
  <c r="AB68" i="32"/>
  <c r="AA68" i="32"/>
  <c r="Z68" i="32"/>
  <c r="Y68" i="32"/>
  <c r="X68" i="32"/>
  <c r="W68" i="32"/>
  <c r="V68" i="32"/>
  <c r="U68" i="32"/>
  <c r="T68" i="32"/>
  <c r="S68" i="32"/>
  <c r="R68" i="32"/>
  <c r="Q68" i="32"/>
  <c r="P68" i="32"/>
  <c r="O68" i="32"/>
  <c r="N68" i="32"/>
  <c r="M68" i="32"/>
  <c r="L68" i="32"/>
  <c r="K68" i="32"/>
  <c r="J68" i="32"/>
  <c r="I68" i="32"/>
  <c r="H68" i="32"/>
  <c r="G68" i="32"/>
  <c r="F68" i="32"/>
  <c r="AC67" i="32"/>
  <c r="AB67" i="32"/>
  <c r="AA67" i="32"/>
  <c r="Z67" i="32"/>
  <c r="Y67" i="32"/>
  <c r="X67" i="32"/>
  <c r="W67" i="32"/>
  <c r="V67" i="32"/>
  <c r="U67" i="32"/>
  <c r="T67" i="32"/>
  <c r="S67" i="32"/>
  <c r="R67" i="32"/>
  <c r="Q67" i="32"/>
  <c r="P67" i="32"/>
  <c r="O67" i="32"/>
  <c r="N67" i="32"/>
  <c r="M67" i="32"/>
  <c r="L67" i="32"/>
  <c r="K67" i="32"/>
  <c r="J67" i="32"/>
  <c r="I67" i="32"/>
  <c r="H67" i="32"/>
  <c r="G67" i="32"/>
  <c r="F67" i="32"/>
  <c r="AC66" i="32"/>
  <c r="AB66" i="32"/>
  <c r="AA66" i="32"/>
  <c r="Z66" i="32"/>
  <c r="Y66" i="32"/>
  <c r="X66" i="32"/>
  <c r="W66" i="32"/>
  <c r="V66" i="32"/>
  <c r="U66" i="32"/>
  <c r="T66" i="32"/>
  <c r="S66" i="32"/>
  <c r="R66" i="32"/>
  <c r="Q66" i="32"/>
  <c r="P66" i="32"/>
  <c r="O66" i="32"/>
  <c r="N66" i="32"/>
  <c r="M66" i="32"/>
  <c r="L66" i="32"/>
  <c r="K66" i="32"/>
  <c r="J66" i="32"/>
  <c r="I66" i="32"/>
  <c r="H66" i="32"/>
  <c r="G66" i="32"/>
  <c r="F66" i="32"/>
  <c r="AC65" i="32"/>
  <c r="AB65" i="32"/>
  <c r="AA65" i="32"/>
  <c r="Z65" i="32"/>
  <c r="Y65" i="32"/>
  <c r="X65" i="32"/>
  <c r="W65" i="32"/>
  <c r="V65" i="32"/>
  <c r="U65" i="32"/>
  <c r="T65" i="32"/>
  <c r="S65" i="32"/>
  <c r="R65" i="32"/>
  <c r="Q65" i="32"/>
  <c r="P65" i="32"/>
  <c r="O65" i="32"/>
  <c r="N65" i="32"/>
  <c r="M65" i="32"/>
  <c r="L65" i="32"/>
  <c r="K65" i="32"/>
  <c r="J65" i="32"/>
  <c r="I65" i="32"/>
  <c r="H65" i="32"/>
  <c r="G65" i="32"/>
  <c r="F65" i="32"/>
  <c r="AC64" i="32"/>
  <c r="AB64" i="32"/>
  <c r="AA64" i="32"/>
  <c r="Z64" i="32"/>
  <c r="Y64" i="32"/>
  <c r="X64" i="32"/>
  <c r="W64" i="32"/>
  <c r="V64" i="32"/>
  <c r="U64" i="32"/>
  <c r="T64" i="32"/>
  <c r="S64" i="32"/>
  <c r="R64" i="32"/>
  <c r="Q64" i="32"/>
  <c r="P64" i="32"/>
  <c r="O64" i="32"/>
  <c r="N64" i="32"/>
  <c r="M64" i="32"/>
  <c r="L64" i="32"/>
  <c r="K64" i="32"/>
  <c r="J64" i="32"/>
  <c r="I64" i="32"/>
  <c r="H64" i="32"/>
  <c r="G64" i="32"/>
  <c r="F64" i="32"/>
  <c r="AC63" i="32"/>
  <c r="AB63" i="32"/>
  <c r="AA63" i="32"/>
  <c r="Z63" i="32"/>
  <c r="Y63" i="32"/>
  <c r="X63" i="32"/>
  <c r="W63" i="32"/>
  <c r="V63" i="32"/>
  <c r="U63" i="32"/>
  <c r="T63" i="32"/>
  <c r="S63" i="32"/>
  <c r="R63" i="32"/>
  <c r="Q63" i="32"/>
  <c r="P63" i="32"/>
  <c r="O63" i="32"/>
  <c r="N63" i="32"/>
  <c r="M63" i="32"/>
  <c r="L63" i="32"/>
  <c r="K63" i="32"/>
  <c r="J63" i="32"/>
  <c r="I63" i="32"/>
  <c r="H63" i="32"/>
  <c r="G63" i="32"/>
  <c r="F63" i="32"/>
  <c r="AC62" i="32"/>
  <c r="AB62" i="32"/>
  <c r="AA62" i="32"/>
  <c r="Z62" i="32"/>
  <c r="Y62" i="32"/>
  <c r="X62" i="32"/>
  <c r="W62" i="32"/>
  <c r="V62" i="32"/>
  <c r="U62" i="32"/>
  <c r="T62" i="32"/>
  <c r="S62" i="32"/>
  <c r="R62" i="32"/>
  <c r="Q62" i="32"/>
  <c r="P62" i="32"/>
  <c r="O62" i="32"/>
  <c r="N62" i="32"/>
  <c r="M62" i="32"/>
  <c r="L62" i="32"/>
  <c r="K62" i="32"/>
  <c r="J62" i="32"/>
  <c r="I62" i="32"/>
  <c r="H62" i="32"/>
  <c r="G62" i="32"/>
  <c r="F62" i="32"/>
  <c r="AC61" i="32"/>
  <c r="AB61" i="32"/>
  <c r="AA61" i="32"/>
  <c r="Z61" i="32"/>
  <c r="Y61" i="32"/>
  <c r="X61" i="32"/>
  <c r="W61" i="32"/>
  <c r="V61" i="32"/>
  <c r="U61" i="32"/>
  <c r="T61" i="32"/>
  <c r="S61" i="32"/>
  <c r="R61" i="32"/>
  <c r="Q61" i="32"/>
  <c r="P61" i="32"/>
  <c r="O61" i="32"/>
  <c r="N61" i="32"/>
  <c r="M61" i="32"/>
  <c r="L61" i="32"/>
  <c r="K61" i="32"/>
  <c r="J61" i="32"/>
  <c r="I61" i="32"/>
  <c r="H61" i="32"/>
  <c r="G61" i="32"/>
  <c r="F61" i="32"/>
  <c r="AC60" i="32"/>
  <c r="AB60" i="32"/>
  <c r="AA60" i="32"/>
  <c r="Z60" i="32"/>
  <c r="Y60" i="32"/>
  <c r="X60" i="32"/>
  <c r="W60" i="32"/>
  <c r="V60" i="32"/>
  <c r="U60" i="32"/>
  <c r="T60" i="32"/>
  <c r="S60" i="32"/>
  <c r="R60" i="32"/>
  <c r="Q60" i="32"/>
  <c r="P60" i="32"/>
  <c r="O60" i="32"/>
  <c r="N60" i="32"/>
  <c r="M60" i="32"/>
  <c r="L60" i="32"/>
  <c r="K60" i="32"/>
  <c r="J60" i="32"/>
  <c r="I60" i="32"/>
  <c r="H60" i="32"/>
  <c r="G60" i="32"/>
  <c r="F60" i="32"/>
  <c r="AC59" i="32"/>
  <c r="AB59" i="32"/>
  <c r="AA59" i="32"/>
  <c r="Z59" i="32"/>
  <c r="Y59" i="32"/>
  <c r="X59" i="32"/>
  <c r="W59" i="32"/>
  <c r="V59" i="32"/>
  <c r="U59" i="32"/>
  <c r="T59" i="32"/>
  <c r="S59" i="32"/>
  <c r="R59" i="32"/>
  <c r="Q59" i="32"/>
  <c r="P59" i="32"/>
  <c r="O59" i="32"/>
  <c r="N59" i="32"/>
  <c r="M59" i="32"/>
  <c r="L59" i="32"/>
  <c r="K59" i="32"/>
  <c r="J59" i="32"/>
  <c r="I59" i="32"/>
  <c r="H59" i="32"/>
  <c r="G59" i="32"/>
  <c r="F59" i="32"/>
  <c r="AC58" i="32"/>
  <c r="AB58" i="32"/>
  <c r="AA58" i="32"/>
  <c r="Z58" i="32"/>
  <c r="Y58" i="32"/>
  <c r="X58" i="32"/>
  <c r="W58" i="32"/>
  <c r="V58" i="32"/>
  <c r="U58" i="32"/>
  <c r="T58" i="32"/>
  <c r="S58" i="32"/>
  <c r="R58" i="32"/>
  <c r="Q58" i="32"/>
  <c r="P58" i="32"/>
  <c r="O58" i="32"/>
  <c r="N58" i="32"/>
  <c r="M58" i="32"/>
  <c r="L58" i="32"/>
  <c r="K58" i="32"/>
  <c r="J58" i="32"/>
  <c r="I58" i="32"/>
  <c r="H58" i="32"/>
  <c r="G58" i="32"/>
  <c r="F58" i="32"/>
  <c r="AC57" i="32"/>
  <c r="AB57" i="32"/>
  <c r="AA57" i="32"/>
  <c r="Z57" i="32"/>
  <c r="Y57" i="32"/>
  <c r="X57" i="32"/>
  <c r="W57" i="32"/>
  <c r="V57" i="32"/>
  <c r="U57" i="32"/>
  <c r="T57" i="32"/>
  <c r="S57" i="32"/>
  <c r="R57" i="32"/>
  <c r="Q57" i="32"/>
  <c r="P57" i="32"/>
  <c r="O57" i="32"/>
  <c r="N57" i="32"/>
  <c r="M57" i="32"/>
  <c r="L57" i="32"/>
  <c r="K57" i="32"/>
  <c r="J57" i="32"/>
  <c r="I57" i="32"/>
  <c r="H57" i="32"/>
  <c r="G57" i="32"/>
  <c r="F57" i="32"/>
  <c r="AC56" i="32"/>
  <c r="AB56" i="32"/>
  <c r="AA56" i="32"/>
  <c r="Z56" i="32"/>
  <c r="Y56" i="32"/>
  <c r="X56" i="32"/>
  <c r="W56" i="32"/>
  <c r="V56" i="32"/>
  <c r="U56" i="32"/>
  <c r="T56" i="32"/>
  <c r="S56" i="32"/>
  <c r="R56" i="32"/>
  <c r="Q56" i="32"/>
  <c r="P56" i="32"/>
  <c r="O56" i="32"/>
  <c r="N56" i="32"/>
  <c r="M56" i="32"/>
  <c r="L56" i="32"/>
  <c r="K56" i="32"/>
  <c r="J56" i="32"/>
  <c r="I56" i="32"/>
  <c r="H56" i="32"/>
  <c r="G56" i="32"/>
  <c r="F56" i="32"/>
  <c r="AC55" i="32"/>
  <c r="AB55" i="32"/>
  <c r="AA55" i="32"/>
  <c r="Z55" i="32"/>
  <c r="Y55" i="32"/>
  <c r="X55" i="32"/>
  <c r="W55" i="32"/>
  <c r="V55" i="32"/>
  <c r="U55" i="32"/>
  <c r="T55" i="32"/>
  <c r="S55" i="32"/>
  <c r="R55" i="32"/>
  <c r="Q55" i="32"/>
  <c r="P55" i="32"/>
  <c r="O55" i="32"/>
  <c r="N55" i="32"/>
  <c r="M55" i="32"/>
  <c r="L55" i="32"/>
  <c r="K55" i="32"/>
  <c r="J55" i="32"/>
  <c r="I55" i="32"/>
  <c r="H55" i="32"/>
  <c r="G55" i="32"/>
  <c r="F55" i="32"/>
  <c r="AC54" i="32"/>
  <c r="AB54" i="32"/>
  <c r="AA54" i="32"/>
  <c r="Z54" i="32"/>
  <c r="Y54" i="32"/>
  <c r="X54" i="32"/>
  <c r="W54" i="32"/>
  <c r="V54" i="32"/>
  <c r="U54" i="32"/>
  <c r="T54" i="32"/>
  <c r="S54" i="32"/>
  <c r="R54" i="32"/>
  <c r="Q54" i="32"/>
  <c r="P54" i="32"/>
  <c r="O54" i="32"/>
  <c r="N54" i="32"/>
  <c r="M54" i="32"/>
  <c r="L54" i="32"/>
  <c r="K54" i="32"/>
  <c r="J54" i="32"/>
  <c r="I54" i="32"/>
  <c r="H54" i="32"/>
  <c r="G54" i="32"/>
  <c r="F54" i="32"/>
  <c r="AC53" i="32"/>
  <c r="AB53" i="32"/>
  <c r="AA53" i="32"/>
  <c r="Z53" i="32"/>
  <c r="Y53" i="32"/>
  <c r="X53" i="32"/>
  <c r="W53" i="32"/>
  <c r="V53" i="32"/>
  <c r="U53" i="32"/>
  <c r="T53" i="32"/>
  <c r="S53" i="32"/>
  <c r="R53" i="32"/>
  <c r="Q53" i="32"/>
  <c r="P53" i="32"/>
  <c r="O53" i="32"/>
  <c r="N53" i="32"/>
  <c r="M53" i="32"/>
  <c r="L53" i="32"/>
  <c r="K53" i="32"/>
  <c r="J53" i="32"/>
  <c r="I53" i="32"/>
  <c r="H53" i="32"/>
  <c r="G53" i="32"/>
  <c r="F53" i="32"/>
  <c r="AC52" i="32"/>
  <c r="AB52" i="32"/>
  <c r="AA52" i="32"/>
  <c r="Z52" i="32"/>
  <c r="Y52" i="32"/>
  <c r="X52" i="32"/>
  <c r="W52" i="32"/>
  <c r="V52" i="32"/>
  <c r="U52" i="32"/>
  <c r="T52" i="32"/>
  <c r="S52" i="32"/>
  <c r="R52" i="32"/>
  <c r="Q52" i="32"/>
  <c r="P52" i="32"/>
  <c r="O52" i="32"/>
  <c r="N52" i="32"/>
  <c r="M52" i="32"/>
  <c r="L52" i="32"/>
  <c r="K52" i="32"/>
  <c r="J52" i="32"/>
  <c r="I52" i="32"/>
  <c r="H52" i="32"/>
  <c r="G52" i="32"/>
  <c r="F52" i="32"/>
  <c r="AC51" i="32"/>
  <c r="AB51" i="32"/>
  <c r="AA51" i="32"/>
  <c r="Z51" i="32"/>
  <c r="Y51" i="32"/>
  <c r="X51" i="32"/>
  <c r="W51" i="32"/>
  <c r="V51" i="32"/>
  <c r="U51" i="32"/>
  <c r="T51" i="32"/>
  <c r="S51" i="32"/>
  <c r="R51" i="32"/>
  <c r="Q51" i="32"/>
  <c r="P51" i="32"/>
  <c r="O51" i="32"/>
  <c r="N51" i="32"/>
  <c r="M51" i="32"/>
  <c r="L51" i="32"/>
  <c r="K51" i="32"/>
  <c r="J51" i="32"/>
  <c r="I51" i="32"/>
  <c r="H51" i="32"/>
  <c r="G51" i="32"/>
  <c r="F51" i="32"/>
  <c r="AC50" i="32"/>
  <c r="AB50" i="32"/>
  <c r="AA50" i="32"/>
  <c r="Z50" i="32"/>
  <c r="Y50" i="32"/>
  <c r="X50" i="32"/>
  <c r="W50" i="32"/>
  <c r="V50" i="32"/>
  <c r="U50" i="32"/>
  <c r="T50" i="32"/>
  <c r="S50" i="32"/>
  <c r="R50" i="32"/>
  <c r="Q50" i="32"/>
  <c r="P50" i="32"/>
  <c r="O50" i="32"/>
  <c r="N50" i="32"/>
  <c r="M50" i="32"/>
  <c r="L50" i="32"/>
  <c r="K50" i="32"/>
  <c r="J50" i="32"/>
  <c r="I50" i="32"/>
  <c r="H50" i="32"/>
  <c r="G50" i="32"/>
  <c r="F50" i="32"/>
  <c r="AC49" i="32"/>
  <c r="AB49" i="32"/>
  <c r="AA49" i="32"/>
  <c r="Z49" i="32"/>
  <c r="Y49" i="32"/>
  <c r="X49" i="32"/>
  <c r="W49" i="32"/>
  <c r="V49" i="32"/>
  <c r="U49" i="32"/>
  <c r="T49" i="32"/>
  <c r="S49" i="32"/>
  <c r="R49" i="32"/>
  <c r="Q49" i="32"/>
  <c r="P49" i="32"/>
  <c r="O49" i="32"/>
  <c r="N49" i="32"/>
  <c r="M49" i="32"/>
  <c r="L49" i="32"/>
  <c r="K49" i="32"/>
  <c r="J49" i="32"/>
  <c r="I49" i="32"/>
  <c r="H49" i="32"/>
  <c r="G49" i="32"/>
  <c r="F49" i="32"/>
  <c r="AC48" i="32"/>
  <c r="AB48" i="32"/>
  <c r="AA48" i="32"/>
  <c r="Z48" i="32"/>
  <c r="Y48" i="32"/>
  <c r="X48" i="32"/>
  <c r="W48" i="32"/>
  <c r="V48" i="32"/>
  <c r="U48" i="32"/>
  <c r="T48" i="32"/>
  <c r="S48" i="32"/>
  <c r="R48" i="32"/>
  <c r="Q48" i="32"/>
  <c r="P48" i="32"/>
  <c r="O48" i="32"/>
  <c r="N48" i="32"/>
  <c r="M48" i="32"/>
  <c r="L48" i="32"/>
  <c r="K48" i="32"/>
  <c r="J48" i="32"/>
  <c r="I48" i="32"/>
  <c r="H48" i="32"/>
  <c r="G48" i="32"/>
  <c r="F48" i="32"/>
  <c r="AC47" i="32"/>
  <c r="AB47" i="32"/>
  <c r="AA47" i="32"/>
  <c r="Z47" i="32"/>
  <c r="Y47" i="32"/>
  <c r="X47" i="32"/>
  <c r="W47" i="32"/>
  <c r="V47" i="32"/>
  <c r="U47" i="32"/>
  <c r="T47" i="32"/>
  <c r="S47" i="32"/>
  <c r="R47" i="32"/>
  <c r="Q47" i="32"/>
  <c r="P47" i="32"/>
  <c r="O47" i="32"/>
  <c r="N47" i="32"/>
  <c r="M47" i="32"/>
  <c r="L47" i="32"/>
  <c r="K47" i="32"/>
  <c r="J47" i="32"/>
  <c r="I47" i="32"/>
  <c r="H47" i="32"/>
  <c r="G47" i="32"/>
  <c r="F47" i="32"/>
  <c r="AC46" i="32"/>
  <c r="AB46" i="32"/>
  <c r="AA46" i="32"/>
  <c r="Z46" i="32"/>
  <c r="Y46" i="32"/>
  <c r="X46" i="32"/>
  <c r="W46" i="32"/>
  <c r="V46" i="32"/>
  <c r="U46" i="32"/>
  <c r="T46" i="32"/>
  <c r="S46" i="32"/>
  <c r="R46" i="32"/>
  <c r="Q46" i="32"/>
  <c r="P46" i="32"/>
  <c r="O46" i="32"/>
  <c r="N46" i="32"/>
  <c r="M46" i="32"/>
  <c r="L46" i="32"/>
  <c r="K46" i="32"/>
  <c r="J46" i="32"/>
  <c r="I46" i="32"/>
  <c r="H46" i="32"/>
  <c r="G46" i="32"/>
  <c r="F46" i="32"/>
  <c r="AC45" i="32"/>
  <c r="AB45" i="32"/>
  <c r="AA45" i="32"/>
  <c r="Z45" i="32"/>
  <c r="Y45" i="32"/>
  <c r="X45" i="32"/>
  <c r="W45" i="32"/>
  <c r="V45" i="32"/>
  <c r="U45" i="32"/>
  <c r="T45" i="32"/>
  <c r="S45" i="32"/>
  <c r="R45" i="32"/>
  <c r="Q45" i="32"/>
  <c r="P45" i="32"/>
  <c r="O45" i="32"/>
  <c r="N45" i="32"/>
  <c r="M45" i="32"/>
  <c r="L45" i="32"/>
  <c r="K45" i="32"/>
  <c r="J45" i="32"/>
  <c r="I45" i="32"/>
  <c r="H45" i="32"/>
  <c r="G45" i="32"/>
  <c r="F45" i="32"/>
  <c r="AC44" i="32"/>
  <c r="AB44" i="32"/>
  <c r="AA44" i="32"/>
  <c r="Z44" i="32"/>
  <c r="Y44" i="32"/>
  <c r="X44" i="32"/>
  <c r="W44" i="32"/>
  <c r="V44" i="32"/>
  <c r="U44" i="32"/>
  <c r="T44" i="32"/>
  <c r="S44" i="32"/>
  <c r="R44" i="32"/>
  <c r="Q44" i="32"/>
  <c r="P44" i="32"/>
  <c r="O44" i="32"/>
  <c r="N44" i="32"/>
  <c r="M44" i="32"/>
  <c r="L44" i="32"/>
  <c r="K44" i="32"/>
  <c r="J44" i="32"/>
  <c r="I44" i="32"/>
  <c r="H44" i="32"/>
  <c r="G44" i="32"/>
  <c r="F44" i="32"/>
  <c r="AC43" i="32"/>
  <c r="AB43" i="32"/>
  <c r="AA43" i="32"/>
  <c r="Z43" i="32"/>
  <c r="Y43" i="32"/>
  <c r="X43" i="32"/>
  <c r="W43" i="32"/>
  <c r="V43" i="32"/>
  <c r="U43" i="32"/>
  <c r="T43" i="32"/>
  <c r="S43" i="32"/>
  <c r="R43" i="32"/>
  <c r="Q43" i="32"/>
  <c r="P43" i="32"/>
  <c r="O43" i="32"/>
  <c r="N43" i="32"/>
  <c r="M43" i="32"/>
  <c r="L43" i="32"/>
  <c r="K43" i="32"/>
  <c r="J43" i="32"/>
  <c r="I43" i="32"/>
  <c r="H43" i="32"/>
  <c r="G43" i="32"/>
  <c r="F43" i="32"/>
  <c r="AC42" i="32"/>
  <c r="AB42" i="32"/>
  <c r="AA42" i="32"/>
  <c r="Z42" i="32"/>
  <c r="Y42" i="32"/>
  <c r="X42" i="32"/>
  <c r="W42" i="32"/>
  <c r="V42" i="32"/>
  <c r="U42" i="32"/>
  <c r="T42" i="32"/>
  <c r="S42" i="32"/>
  <c r="R42" i="32"/>
  <c r="Q42" i="32"/>
  <c r="P42" i="32"/>
  <c r="O42" i="32"/>
  <c r="N42" i="32"/>
  <c r="M42" i="32"/>
  <c r="L42" i="32"/>
  <c r="K42" i="32"/>
  <c r="J42" i="32"/>
  <c r="I42" i="32"/>
  <c r="H42" i="32"/>
  <c r="G42" i="32"/>
  <c r="F42" i="32"/>
  <c r="AC41" i="32"/>
  <c r="AB41" i="32"/>
  <c r="AA41" i="32"/>
  <c r="Z41" i="32"/>
  <c r="Y41" i="32"/>
  <c r="X41" i="32"/>
  <c r="W41" i="32"/>
  <c r="V41" i="32"/>
  <c r="U41" i="32"/>
  <c r="T41" i="32"/>
  <c r="S41" i="32"/>
  <c r="R41" i="32"/>
  <c r="Q41" i="32"/>
  <c r="P41" i="32"/>
  <c r="O41" i="32"/>
  <c r="N41" i="32"/>
  <c r="M41" i="32"/>
  <c r="L41" i="32"/>
  <c r="K41" i="32"/>
  <c r="J41" i="32"/>
  <c r="I41" i="32"/>
  <c r="H41" i="32"/>
  <c r="G41" i="32"/>
  <c r="F41" i="32"/>
  <c r="AC40" i="32"/>
  <c r="AB40" i="32"/>
  <c r="AA40" i="32"/>
  <c r="Z40" i="32"/>
  <c r="Y40" i="32"/>
  <c r="X40" i="32"/>
  <c r="W40" i="32"/>
  <c r="V40" i="32"/>
  <c r="U40" i="32"/>
  <c r="T40" i="32"/>
  <c r="S40" i="32"/>
  <c r="R40" i="32"/>
  <c r="Q40" i="32"/>
  <c r="P40" i="32"/>
  <c r="O40" i="32"/>
  <c r="N40" i="32"/>
  <c r="M40" i="32"/>
  <c r="L40" i="32"/>
  <c r="K40" i="32"/>
  <c r="J40" i="32"/>
  <c r="I40" i="32"/>
  <c r="H40" i="32"/>
  <c r="G40" i="32"/>
  <c r="F40" i="32"/>
  <c r="AC39" i="32"/>
  <c r="AB39" i="32"/>
  <c r="AA39" i="32"/>
  <c r="Z39" i="32"/>
  <c r="Y39" i="32"/>
  <c r="X39" i="32"/>
  <c r="W39" i="32"/>
  <c r="V39" i="32"/>
  <c r="U39" i="32"/>
  <c r="T39" i="32"/>
  <c r="S39" i="32"/>
  <c r="R39" i="32"/>
  <c r="Q39" i="32"/>
  <c r="P39" i="32"/>
  <c r="O39" i="32"/>
  <c r="N39" i="32"/>
  <c r="M39" i="32"/>
  <c r="L39" i="32"/>
  <c r="K39" i="32"/>
  <c r="J39" i="32"/>
  <c r="I39" i="32"/>
  <c r="H39" i="32"/>
  <c r="G39" i="32"/>
  <c r="F39" i="32"/>
  <c r="AC38" i="32"/>
  <c r="AB38" i="32"/>
  <c r="AA38" i="32"/>
  <c r="Z38" i="32"/>
  <c r="Y38" i="32"/>
  <c r="X38" i="32"/>
  <c r="W38" i="32"/>
  <c r="V38" i="32"/>
  <c r="U38" i="32"/>
  <c r="T38" i="32"/>
  <c r="S38" i="32"/>
  <c r="R38" i="32"/>
  <c r="Q38" i="32"/>
  <c r="P38" i="32"/>
  <c r="O38" i="32"/>
  <c r="N38" i="32"/>
  <c r="M38" i="32"/>
  <c r="L38" i="32"/>
  <c r="K38" i="32"/>
  <c r="J38" i="32"/>
  <c r="I38" i="32"/>
  <c r="H38" i="32"/>
  <c r="G38" i="32"/>
  <c r="F38" i="32"/>
  <c r="AC37" i="32"/>
  <c r="AB37" i="32"/>
  <c r="AA37" i="32"/>
  <c r="Z37" i="32"/>
  <c r="Y37" i="32"/>
  <c r="X37" i="32"/>
  <c r="W37" i="32"/>
  <c r="V37" i="32"/>
  <c r="U37" i="32"/>
  <c r="T37" i="32"/>
  <c r="S37" i="32"/>
  <c r="R37" i="32"/>
  <c r="Q37" i="32"/>
  <c r="P37" i="32"/>
  <c r="O37" i="32"/>
  <c r="N37" i="32"/>
  <c r="M37" i="32"/>
  <c r="L37" i="32"/>
  <c r="K37" i="32"/>
  <c r="J37" i="32"/>
  <c r="I37" i="32"/>
  <c r="H37" i="32"/>
  <c r="G37" i="32"/>
  <c r="F37" i="32"/>
  <c r="AC36" i="32"/>
  <c r="AB36" i="32"/>
  <c r="AA36" i="32"/>
  <c r="Z36" i="32"/>
  <c r="Y36" i="32"/>
  <c r="X36" i="32"/>
  <c r="W36" i="32"/>
  <c r="V36" i="32"/>
  <c r="U36" i="32"/>
  <c r="T36" i="32"/>
  <c r="S36" i="32"/>
  <c r="R36" i="32"/>
  <c r="Q36" i="32"/>
  <c r="P36" i="32"/>
  <c r="O36" i="32"/>
  <c r="N36" i="32"/>
  <c r="M36" i="32"/>
  <c r="L36" i="32"/>
  <c r="K36" i="32"/>
  <c r="J36" i="32"/>
  <c r="I36" i="32"/>
  <c r="H36" i="32"/>
  <c r="G36" i="32"/>
  <c r="F36" i="32"/>
  <c r="AC35" i="32"/>
  <c r="AB35" i="32"/>
  <c r="AA35" i="32"/>
  <c r="Z35" i="32"/>
  <c r="Y35" i="32"/>
  <c r="X35" i="32"/>
  <c r="W35" i="32"/>
  <c r="V35" i="32"/>
  <c r="U35" i="32"/>
  <c r="T35" i="32"/>
  <c r="S35" i="32"/>
  <c r="R35" i="32"/>
  <c r="Q35" i="32"/>
  <c r="P35" i="32"/>
  <c r="O35" i="32"/>
  <c r="N35" i="32"/>
  <c r="M35" i="32"/>
  <c r="L35" i="32"/>
  <c r="K35" i="32"/>
  <c r="J35" i="32"/>
  <c r="I35" i="32"/>
  <c r="H35" i="32"/>
  <c r="G35" i="32"/>
  <c r="F35" i="32"/>
  <c r="AC34" i="32"/>
  <c r="AB34" i="32"/>
  <c r="AA34" i="32"/>
  <c r="Z34" i="32"/>
  <c r="Y34" i="32"/>
  <c r="X34" i="32"/>
  <c r="W34" i="32"/>
  <c r="V34" i="32"/>
  <c r="U34" i="32"/>
  <c r="T34" i="32"/>
  <c r="S34" i="32"/>
  <c r="R34" i="32"/>
  <c r="Q34" i="32"/>
  <c r="P34" i="32"/>
  <c r="O34" i="32"/>
  <c r="N34" i="32"/>
  <c r="M34" i="32"/>
  <c r="L34" i="32"/>
  <c r="K34" i="32"/>
  <c r="J34" i="32"/>
  <c r="I34" i="32"/>
  <c r="H34" i="32"/>
  <c r="G34" i="32"/>
  <c r="F34" i="32"/>
  <c r="AC33" i="32"/>
  <c r="AB33" i="32"/>
  <c r="AA33" i="32"/>
  <c r="Z33" i="32"/>
  <c r="Y33" i="32"/>
  <c r="X33" i="32"/>
  <c r="W33" i="32"/>
  <c r="V33" i="32"/>
  <c r="U33" i="32"/>
  <c r="T33" i="32"/>
  <c r="S33" i="32"/>
  <c r="R33" i="32"/>
  <c r="Q33" i="32"/>
  <c r="P33" i="32"/>
  <c r="O33" i="32"/>
  <c r="N33" i="32"/>
  <c r="M33" i="32"/>
  <c r="L33" i="32"/>
  <c r="K33" i="32"/>
  <c r="J33" i="32"/>
  <c r="I33" i="32"/>
  <c r="H33" i="32"/>
  <c r="G33" i="32"/>
  <c r="F33" i="32"/>
  <c r="AC32" i="32"/>
  <c r="AB32" i="32"/>
  <c r="AA32" i="32"/>
  <c r="Z32" i="32"/>
  <c r="Y32" i="32"/>
  <c r="X32" i="32"/>
  <c r="W32" i="32"/>
  <c r="V32" i="32"/>
  <c r="U32" i="32"/>
  <c r="T32" i="32"/>
  <c r="S32" i="32"/>
  <c r="R32" i="32"/>
  <c r="Q32" i="32"/>
  <c r="P32" i="32"/>
  <c r="O32" i="32"/>
  <c r="N32" i="32"/>
  <c r="M32" i="32"/>
  <c r="L32" i="32"/>
  <c r="K32" i="32"/>
  <c r="J32" i="32"/>
  <c r="I32" i="32"/>
  <c r="H32" i="32"/>
  <c r="G32" i="32"/>
  <c r="F32" i="32"/>
  <c r="AC31" i="32"/>
  <c r="AB31" i="32"/>
  <c r="AA31" i="32"/>
  <c r="Z31" i="32"/>
  <c r="Y31" i="32"/>
  <c r="X31" i="32"/>
  <c r="W31" i="32"/>
  <c r="V31" i="32"/>
  <c r="U31" i="32"/>
  <c r="T31" i="32"/>
  <c r="S31" i="32"/>
  <c r="R31" i="32"/>
  <c r="Q31" i="32"/>
  <c r="P31" i="32"/>
  <c r="O31" i="32"/>
  <c r="N31" i="32"/>
  <c r="M31" i="32"/>
  <c r="L31" i="32"/>
  <c r="K31" i="32"/>
  <c r="J31" i="32"/>
  <c r="I31" i="32"/>
  <c r="H31" i="32"/>
  <c r="G31" i="32"/>
  <c r="F31" i="32"/>
  <c r="AC30" i="32"/>
  <c r="AB30" i="32"/>
  <c r="AA30" i="32"/>
  <c r="Z30" i="32"/>
  <c r="Y30" i="32"/>
  <c r="X30" i="32"/>
  <c r="W30" i="32"/>
  <c r="V30" i="32"/>
  <c r="U30" i="32"/>
  <c r="T30" i="32"/>
  <c r="S30" i="32"/>
  <c r="R30" i="32"/>
  <c r="Q30" i="32"/>
  <c r="P30" i="32"/>
  <c r="O30" i="32"/>
  <c r="N30" i="32"/>
  <c r="M30" i="32"/>
  <c r="L30" i="32"/>
  <c r="K30" i="32"/>
  <c r="J30" i="32"/>
  <c r="I30" i="32"/>
  <c r="H30" i="32"/>
  <c r="G30" i="32"/>
  <c r="F30" i="32"/>
  <c r="AC29" i="32"/>
  <c r="AB29" i="32"/>
  <c r="AA29" i="32"/>
  <c r="Z29" i="32"/>
  <c r="Y29" i="32"/>
  <c r="X29" i="32"/>
  <c r="W29" i="32"/>
  <c r="V29" i="32"/>
  <c r="U29" i="32"/>
  <c r="T29" i="32"/>
  <c r="S29" i="32"/>
  <c r="R29" i="32"/>
  <c r="Q29" i="32"/>
  <c r="P29" i="32"/>
  <c r="O29" i="32"/>
  <c r="N29" i="32"/>
  <c r="M29" i="32"/>
  <c r="L29" i="32"/>
  <c r="K29" i="32"/>
  <c r="J29" i="32"/>
  <c r="I29" i="32"/>
  <c r="H29" i="32"/>
  <c r="G29" i="32"/>
  <c r="F29" i="32"/>
  <c r="AC28" i="32"/>
  <c r="AB28" i="32"/>
  <c r="AA28" i="32"/>
  <c r="Z28" i="32"/>
  <c r="Y28" i="32"/>
  <c r="X28" i="32"/>
  <c r="W28" i="32"/>
  <c r="V28" i="32"/>
  <c r="U28" i="32"/>
  <c r="T28" i="32"/>
  <c r="S28" i="32"/>
  <c r="R28" i="32"/>
  <c r="Q28" i="32"/>
  <c r="P28" i="32"/>
  <c r="O28" i="32"/>
  <c r="N28" i="32"/>
  <c r="M28" i="32"/>
  <c r="L28" i="32"/>
  <c r="K28" i="32"/>
  <c r="J28" i="32"/>
  <c r="I28" i="32"/>
  <c r="H28" i="32"/>
  <c r="G28" i="32"/>
  <c r="F28" i="32"/>
  <c r="AC27" i="32"/>
  <c r="AB27" i="32"/>
  <c r="AA27" i="32"/>
  <c r="Z27" i="32"/>
  <c r="Y27" i="32"/>
  <c r="X27" i="32"/>
  <c r="W27" i="32"/>
  <c r="V27" i="32"/>
  <c r="U27" i="32"/>
  <c r="T27" i="32"/>
  <c r="S27" i="32"/>
  <c r="R27" i="32"/>
  <c r="Q27" i="32"/>
  <c r="P27" i="32"/>
  <c r="O27" i="32"/>
  <c r="N27" i="32"/>
  <c r="M27" i="32"/>
  <c r="L27" i="32"/>
  <c r="K27" i="32"/>
  <c r="J27" i="32"/>
  <c r="I27" i="32"/>
  <c r="H27" i="32"/>
  <c r="G27" i="32"/>
  <c r="F27" i="32"/>
  <c r="AC26" i="32"/>
  <c r="AB26" i="32"/>
  <c r="AA26" i="32"/>
  <c r="Z26" i="32"/>
  <c r="Y26" i="32"/>
  <c r="X26" i="32"/>
  <c r="W26" i="32"/>
  <c r="V26" i="32"/>
  <c r="U26" i="32"/>
  <c r="T26" i="32"/>
  <c r="S26" i="32"/>
  <c r="R26" i="32"/>
  <c r="Q26" i="32"/>
  <c r="P26" i="32"/>
  <c r="O26" i="32"/>
  <c r="N26" i="32"/>
  <c r="M26" i="32"/>
  <c r="L26" i="32"/>
  <c r="K26" i="32"/>
  <c r="J26" i="32"/>
  <c r="I26" i="32"/>
  <c r="H26" i="32"/>
  <c r="G26" i="32"/>
  <c r="F26" i="32"/>
  <c r="AC25" i="32"/>
  <c r="AB25" i="32"/>
  <c r="AA25" i="32"/>
  <c r="Z25" i="32"/>
  <c r="Y25" i="32"/>
  <c r="X25" i="32"/>
  <c r="W25" i="32"/>
  <c r="V25" i="32"/>
  <c r="U25" i="32"/>
  <c r="T25" i="32"/>
  <c r="S25" i="32"/>
  <c r="R25" i="32"/>
  <c r="Q25" i="32"/>
  <c r="P25" i="32"/>
  <c r="O25" i="32"/>
  <c r="N25" i="32"/>
  <c r="M25" i="32"/>
  <c r="L25" i="32"/>
  <c r="K25" i="32"/>
  <c r="J25" i="32"/>
  <c r="I25" i="32"/>
  <c r="H25" i="32"/>
  <c r="G25" i="32"/>
  <c r="F25" i="32"/>
  <c r="AC24" i="32"/>
  <c r="AB24" i="32"/>
  <c r="AA24" i="32"/>
  <c r="Z24" i="32"/>
  <c r="Y24" i="32"/>
  <c r="X24" i="32"/>
  <c r="W24" i="32"/>
  <c r="V24" i="32"/>
  <c r="U24" i="32"/>
  <c r="T24" i="32"/>
  <c r="S24" i="32"/>
  <c r="R24" i="32"/>
  <c r="Q24" i="32"/>
  <c r="P24" i="32"/>
  <c r="O24" i="32"/>
  <c r="N24" i="32"/>
  <c r="M24" i="32"/>
  <c r="L24" i="32"/>
  <c r="K24" i="32"/>
  <c r="J24" i="32"/>
  <c r="I24" i="32"/>
  <c r="H24" i="32"/>
  <c r="G24" i="32"/>
  <c r="F24" i="32"/>
  <c r="AC23" i="32"/>
  <c r="AB23" i="32"/>
  <c r="AA23" i="32"/>
  <c r="Z23" i="32"/>
  <c r="Y23" i="32"/>
  <c r="X23" i="32"/>
  <c r="W23" i="32"/>
  <c r="V23" i="32"/>
  <c r="U23" i="32"/>
  <c r="T23" i="32"/>
  <c r="S23" i="32"/>
  <c r="R23" i="32"/>
  <c r="Q23" i="32"/>
  <c r="P23" i="32"/>
  <c r="O23" i="32"/>
  <c r="N23" i="32"/>
  <c r="M23" i="32"/>
  <c r="L23" i="32"/>
  <c r="K23" i="32"/>
  <c r="J23" i="32"/>
  <c r="I23" i="32"/>
  <c r="H23" i="32"/>
  <c r="G23" i="32"/>
  <c r="F23" i="32"/>
  <c r="AC22" i="32"/>
  <c r="AB22" i="32"/>
  <c r="AA22" i="32"/>
  <c r="Z22" i="32"/>
  <c r="Y22" i="32"/>
  <c r="X22" i="32"/>
  <c r="W22" i="32"/>
  <c r="V22" i="32"/>
  <c r="U22" i="32"/>
  <c r="T22" i="32"/>
  <c r="S22" i="32"/>
  <c r="R22" i="32"/>
  <c r="Q22" i="32"/>
  <c r="P22" i="32"/>
  <c r="O22" i="32"/>
  <c r="N22" i="32"/>
  <c r="M22" i="32"/>
  <c r="L22" i="32"/>
  <c r="K22" i="32"/>
  <c r="J22" i="32"/>
  <c r="I22" i="32"/>
  <c r="H22" i="32"/>
  <c r="G22" i="32"/>
  <c r="F22" i="32"/>
  <c r="AC21" i="32"/>
  <c r="AB21" i="32"/>
  <c r="AA21" i="32"/>
  <c r="Z21" i="32"/>
  <c r="Y21" i="32"/>
  <c r="X21" i="32"/>
  <c r="W21" i="32"/>
  <c r="V21" i="32"/>
  <c r="U21" i="32"/>
  <c r="T21" i="32"/>
  <c r="S21" i="32"/>
  <c r="R21" i="32"/>
  <c r="Q21" i="32"/>
  <c r="P21" i="32"/>
  <c r="O21" i="32"/>
  <c r="N21" i="32"/>
  <c r="M21" i="32"/>
  <c r="L21" i="32"/>
  <c r="K21" i="32"/>
  <c r="J21" i="32"/>
  <c r="I21" i="32"/>
  <c r="H21" i="32"/>
  <c r="G21" i="32"/>
  <c r="F21" i="32"/>
  <c r="AC20" i="32"/>
  <c r="AB20" i="32"/>
  <c r="AA20" i="32"/>
  <c r="Z20" i="32"/>
  <c r="Y20" i="32"/>
  <c r="X20" i="32"/>
  <c r="W20" i="32"/>
  <c r="V20" i="32"/>
  <c r="U20" i="32"/>
  <c r="T20" i="32"/>
  <c r="S20" i="32"/>
  <c r="R20" i="32"/>
  <c r="Q20" i="32"/>
  <c r="P20" i="32"/>
  <c r="O20" i="32"/>
  <c r="N20" i="32"/>
  <c r="M20" i="32"/>
  <c r="L20" i="32"/>
  <c r="K20" i="32"/>
  <c r="J20" i="32"/>
  <c r="I20" i="32"/>
  <c r="H20" i="32"/>
  <c r="G20" i="32"/>
  <c r="F20" i="32"/>
  <c r="AC19" i="32"/>
  <c r="AB19" i="32"/>
  <c r="AA19" i="32"/>
  <c r="Z19" i="32"/>
  <c r="Y19" i="32"/>
  <c r="X19" i="32"/>
  <c r="W19" i="32"/>
  <c r="V19" i="32"/>
  <c r="U19" i="32"/>
  <c r="T19" i="32"/>
  <c r="S19" i="32"/>
  <c r="R19" i="32"/>
  <c r="Q19" i="32"/>
  <c r="P19" i="32"/>
  <c r="O19" i="32"/>
  <c r="N19" i="32"/>
  <c r="M19" i="32"/>
  <c r="L19" i="32"/>
  <c r="K19" i="32"/>
  <c r="J19" i="32"/>
  <c r="I19" i="32"/>
  <c r="H19" i="32"/>
  <c r="G19" i="32"/>
  <c r="F19" i="32"/>
  <c r="AC18" i="32"/>
  <c r="AB18" i="32"/>
  <c r="AA18" i="32"/>
  <c r="Z18" i="32"/>
  <c r="Y18" i="32"/>
  <c r="X18" i="32"/>
  <c r="W18" i="32"/>
  <c r="V18" i="32"/>
  <c r="U18" i="32"/>
  <c r="T18" i="32"/>
  <c r="S18" i="32"/>
  <c r="R18" i="32"/>
  <c r="Q18" i="32"/>
  <c r="P18" i="32"/>
  <c r="O18" i="32"/>
  <c r="N18" i="32"/>
  <c r="M18" i="32"/>
  <c r="L18" i="32"/>
  <c r="K18" i="32"/>
  <c r="J18" i="32"/>
  <c r="I18" i="32"/>
  <c r="H18" i="32"/>
  <c r="G18" i="32"/>
  <c r="F18" i="32"/>
  <c r="AC17" i="32"/>
  <c r="AB17" i="32"/>
  <c r="AA17" i="32"/>
  <c r="Z17" i="32"/>
  <c r="Y17" i="32"/>
  <c r="X17" i="32"/>
  <c r="W17" i="32"/>
  <c r="V17" i="32"/>
  <c r="U17" i="32"/>
  <c r="T17" i="32"/>
  <c r="S17" i="32"/>
  <c r="R17" i="32"/>
  <c r="Q17" i="32"/>
  <c r="P17" i="32"/>
  <c r="O17" i="32"/>
  <c r="N17" i="32"/>
  <c r="M17" i="32"/>
  <c r="L17" i="32"/>
  <c r="K17" i="32"/>
  <c r="J17" i="32"/>
  <c r="I17" i="32"/>
  <c r="H17" i="32"/>
  <c r="G17" i="32"/>
  <c r="F17" i="32"/>
  <c r="AC16" i="32"/>
  <c r="AB16" i="32"/>
  <c r="AA16" i="32"/>
  <c r="Z16" i="32"/>
  <c r="Y16" i="32"/>
  <c r="X16" i="32"/>
  <c r="W16" i="32"/>
  <c r="V16" i="32"/>
  <c r="U16" i="32"/>
  <c r="T16" i="32"/>
  <c r="S16" i="32"/>
  <c r="R16" i="32"/>
  <c r="Q16" i="32"/>
  <c r="P16" i="32"/>
  <c r="O16" i="32"/>
  <c r="N16" i="32"/>
  <c r="M16" i="32"/>
  <c r="L16" i="32"/>
  <c r="K16" i="32"/>
  <c r="J16" i="32"/>
  <c r="I16" i="32"/>
  <c r="H16" i="32"/>
  <c r="G16" i="32"/>
  <c r="F16" i="32"/>
  <c r="AC15" i="32"/>
  <c r="AB15" i="32"/>
  <c r="AA15" i="32"/>
  <c r="Z15" i="32"/>
  <c r="Y15" i="32"/>
  <c r="X15" i="32"/>
  <c r="W15" i="32"/>
  <c r="V15" i="32"/>
  <c r="U15" i="32"/>
  <c r="T15" i="32"/>
  <c r="S15" i="32"/>
  <c r="R15" i="32"/>
  <c r="Q15" i="32"/>
  <c r="P15" i="32"/>
  <c r="O15" i="32"/>
  <c r="N15" i="32"/>
  <c r="M15" i="32"/>
  <c r="L15" i="32"/>
  <c r="K15" i="32"/>
  <c r="J15" i="32"/>
  <c r="I15" i="32"/>
  <c r="H15" i="32"/>
  <c r="G15" i="32"/>
  <c r="F15" i="32"/>
  <c r="AC14" i="32"/>
  <c r="AB14" i="32"/>
  <c r="AA14" i="32"/>
  <c r="Z14" i="32"/>
  <c r="Y14" i="32"/>
  <c r="X14" i="32"/>
  <c r="W14" i="32"/>
  <c r="V14" i="32"/>
  <c r="U14" i="32"/>
  <c r="T14" i="32"/>
  <c r="S14" i="32"/>
  <c r="R14" i="32"/>
  <c r="Q14" i="32"/>
  <c r="P14" i="32"/>
  <c r="O14" i="32"/>
  <c r="N14" i="32"/>
  <c r="M14" i="32"/>
  <c r="L14" i="32"/>
  <c r="K14" i="32"/>
  <c r="J14" i="32"/>
  <c r="I14" i="32"/>
  <c r="H14" i="32"/>
  <c r="G14" i="32"/>
  <c r="F14" i="32"/>
  <c r="AC13" i="32"/>
  <c r="AB13" i="32"/>
  <c r="AA13" i="32"/>
  <c r="Z13" i="32"/>
  <c r="Y13" i="32"/>
  <c r="X13" i="32"/>
  <c r="W13" i="32"/>
  <c r="V13" i="32"/>
  <c r="U13" i="32"/>
  <c r="T13" i="32"/>
  <c r="S13" i="32"/>
  <c r="R13" i="32"/>
  <c r="Q13" i="32"/>
  <c r="P13" i="32"/>
  <c r="O13" i="32"/>
  <c r="N13" i="32"/>
  <c r="M13" i="32"/>
  <c r="L13" i="32"/>
  <c r="K13" i="32"/>
  <c r="J13" i="32"/>
  <c r="I13" i="32"/>
  <c r="H13" i="32"/>
  <c r="G13" i="32"/>
  <c r="F13" i="32"/>
  <c r="AC12" i="32"/>
  <c r="AB12" i="32"/>
  <c r="AA12" i="32"/>
  <c r="Z12" i="32"/>
  <c r="Y12" i="32"/>
  <c r="X12" i="32"/>
  <c r="W12" i="32"/>
  <c r="V12" i="32"/>
  <c r="U12" i="32"/>
  <c r="T12" i="32"/>
  <c r="S12" i="32"/>
  <c r="R12" i="32"/>
  <c r="Q12" i="32"/>
  <c r="P12" i="32"/>
  <c r="O12" i="32"/>
  <c r="N12" i="32"/>
  <c r="M12" i="32"/>
  <c r="L12" i="32"/>
  <c r="K12" i="32"/>
  <c r="J12" i="32"/>
  <c r="I12" i="32"/>
  <c r="H12" i="32"/>
  <c r="G12" i="32"/>
  <c r="F12" i="32"/>
  <c r="AC11" i="32"/>
  <c r="AB11" i="32"/>
  <c r="AA11" i="32"/>
  <c r="Z11" i="32"/>
  <c r="Y11" i="32"/>
  <c r="X11" i="32"/>
  <c r="W11" i="32"/>
  <c r="V11" i="32"/>
  <c r="U11" i="32"/>
  <c r="T11" i="32"/>
  <c r="S11" i="32"/>
  <c r="R11" i="32"/>
  <c r="Q11" i="32"/>
  <c r="P11" i="32"/>
  <c r="O11" i="32"/>
  <c r="N11" i="32"/>
  <c r="M11" i="32"/>
  <c r="L11" i="32"/>
  <c r="K11" i="32"/>
  <c r="J11" i="32"/>
  <c r="I11" i="32"/>
  <c r="H11" i="32"/>
  <c r="G11" i="32"/>
  <c r="F11" i="32"/>
  <c r="AC10" i="32"/>
  <c r="AB10" i="32"/>
  <c r="AA10" i="32"/>
  <c r="Z10" i="32"/>
  <c r="Y10" i="32"/>
  <c r="X10" i="32"/>
  <c r="W10" i="32"/>
  <c r="V10" i="32"/>
  <c r="U10" i="32"/>
  <c r="T10" i="32"/>
  <c r="S10" i="32"/>
  <c r="R10" i="32"/>
  <c r="Q10" i="32"/>
  <c r="P10" i="32"/>
  <c r="O10" i="32"/>
  <c r="N10" i="32"/>
  <c r="M10" i="32"/>
  <c r="L10" i="32"/>
  <c r="K10" i="32"/>
  <c r="J10" i="32"/>
  <c r="I10" i="32"/>
  <c r="H10" i="32"/>
  <c r="G10" i="32"/>
  <c r="F10" i="32"/>
  <c r="J9" i="32"/>
  <c r="F9" i="32"/>
  <c r="J8" i="32"/>
  <c r="F8" i="32"/>
  <c r="F6" i="32"/>
  <c r="G6" i="32" s="1"/>
  <c r="H6" i="32" s="1"/>
  <c r="I6" i="32" s="1"/>
  <c r="J6" i="32" s="1"/>
  <c r="F95" i="23" l="1"/>
  <c r="J99" i="23"/>
  <c r="N96" i="23"/>
  <c r="N97" i="23"/>
  <c r="F98" i="23"/>
  <c r="N95" i="23"/>
  <c r="J97" i="23"/>
  <c r="J95" i="23"/>
  <c r="L99" i="23"/>
  <c r="J96" i="23"/>
  <c r="F97" i="23"/>
  <c r="L98" i="23"/>
  <c r="L97" i="23"/>
  <c r="H98" i="23"/>
  <c r="H99" i="23"/>
  <c r="H95" i="23"/>
  <c r="N98" i="23"/>
  <c r="F99" i="23"/>
  <c r="H96" i="23"/>
  <c r="H97" i="23"/>
  <c r="L96" i="23"/>
  <c r="F96" i="23"/>
  <c r="J98" i="23"/>
  <c r="L95" i="23"/>
  <c r="N99" i="23"/>
  <c r="G8" i="32"/>
  <c r="G9" i="32"/>
  <c r="H8" i="32"/>
  <c r="H9" i="32"/>
  <c r="I8" i="32"/>
  <c r="I9" i="32"/>
  <c r="K6" i="32"/>
  <c r="J7" i="32"/>
  <c r="F7" i="32"/>
  <c r="G7" i="32"/>
  <c r="K7" i="32"/>
  <c r="H7" i="32"/>
  <c r="I7" i="32"/>
  <c r="L6" i="32" l="1"/>
  <c r="K9" i="32"/>
  <c r="K8" i="32"/>
  <c r="M6" i="32" l="1"/>
  <c r="L9" i="32"/>
  <c r="L8" i="32"/>
  <c r="L7" i="32"/>
  <c r="N6" i="32" l="1"/>
  <c r="M9" i="32"/>
  <c r="M8" i="32"/>
  <c r="M7" i="32"/>
  <c r="N9" i="32" l="1"/>
  <c r="N8" i="32"/>
  <c r="N7" i="32"/>
  <c r="O6" i="32"/>
  <c r="O9" i="32" l="1"/>
  <c r="O8" i="32"/>
  <c r="P6" i="32"/>
  <c r="O7" i="32"/>
  <c r="P9" i="32" l="1"/>
  <c r="P8" i="32"/>
  <c r="P7" i="32"/>
  <c r="Q6" i="32"/>
  <c r="Q9" i="32" l="1"/>
  <c r="Q8" i="32"/>
  <c r="R6" i="32"/>
  <c r="Q7" i="32"/>
  <c r="R8" i="32" l="1"/>
  <c r="R9" i="32"/>
  <c r="S6" i="32"/>
  <c r="R7" i="32"/>
  <c r="S9" i="32" l="1"/>
  <c r="S8" i="32"/>
  <c r="T6" i="32"/>
  <c r="S7" i="32"/>
  <c r="T9" i="32" l="1"/>
  <c r="T8" i="32"/>
  <c r="U6" i="32"/>
  <c r="T7" i="32"/>
  <c r="U9" i="32" l="1"/>
  <c r="U8" i="32"/>
  <c r="V6" i="32"/>
  <c r="U7" i="32"/>
  <c r="V9" i="32" l="1"/>
  <c r="V8" i="32"/>
  <c r="W6" i="32"/>
  <c r="V7" i="32"/>
  <c r="W9" i="32" l="1"/>
  <c r="W8" i="32"/>
  <c r="X6" i="32"/>
  <c r="W7" i="32"/>
  <c r="X9" i="32" l="1"/>
  <c r="X8" i="32"/>
  <c r="Y6" i="32"/>
  <c r="X7" i="32"/>
  <c r="Y9" i="32" l="1"/>
  <c r="Y8" i="32"/>
  <c r="Y7" i="32"/>
  <c r="Z6" i="32"/>
  <c r="Z8" i="32" l="1"/>
  <c r="Z9" i="32"/>
  <c r="AA6" i="32"/>
  <c r="Z7" i="32"/>
  <c r="AA9" i="32" l="1"/>
  <c r="AA8" i="32"/>
  <c r="AB6" i="32"/>
  <c r="AA7" i="32"/>
  <c r="AB9" i="32" l="1"/>
  <c r="AB8" i="32"/>
  <c r="AC6" i="32"/>
  <c r="AB7" i="32"/>
  <c r="AC9" i="32" l="1"/>
  <c r="AC8" i="32"/>
  <c r="AC7" i="32"/>
</calcChain>
</file>

<file path=xl/sharedStrings.xml><?xml version="1.0" encoding="utf-8"?>
<sst xmlns="http://schemas.openxmlformats.org/spreadsheetml/2006/main" count="467" uniqueCount="298">
  <si>
    <t>Risk ID</t>
  </si>
  <si>
    <t>Risk Title</t>
  </si>
  <si>
    <t>Risk Description</t>
  </si>
  <si>
    <t>Risk Category</t>
  </si>
  <si>
    <t>Moderate</t>
  </si>
  <si>
    <t>Likely</t>
  </si>
  <si>
    <t>Unlikely</t>
  </si>
  <si>
    <t>Rare</t>
  </si>
  <si>
    <t>High</t>
  </si>
  <si>
    <t>Medium</t>
  </si>
  <si>
    <t>Low</t>
  </si>
  <si>
    <t>Risk Analysis</t>
  </si>
  <si>
    <t>Accept</t>
  </si>
  <si>
    <t>Risk Status</t>
  </si>
  <si>
    <t>Open</t>
  </si>
  <si>
    <t>Closed</t>
  </si>
  <si>
    <t>Risk Response Type</t>
  </si>
  <si>
    <t>Avoid</t>
  </si>
  <si>
    <t>Transfer</t>
  </si>
  <si>
    <t>Mitigate</t>
  </si>
  <si>
    <t>Risk Owner</t>
  </si>
  <si>
    <t>Existing measures and controls</t>
  </si>
  <si>
    <t>Residual Impact Level</t>
  </si>
  <si>
    <t>Residual Impact Rating</t>
  </si>
  <si>
    <t>Residual Likelihood Level</t>
  </si>
  <si>
    <t>Residual Likelihood Rating</t>
  </si>
  <si>
    <t>Risk Response</t>
  </si>
  <si>
    <t>Risk Due Date</t>
  </si>
  <si>
    <t>Overdue?</t>
  </si>
  <si>
    <t>Next Review Date</t>
  </si>
  <si>
    <t>Department</t>
  </si>
  <si>
    <t>New measures and controls</t>
  </si>
  <si>
    <t>Residual Risk</t>
  </si>
  <si>
    <t>Risk Response Strategy</t>
  </si>
  <si>
    <t>Risk Identification</t>
  </si>
  <si>
    <t>Tracking</t>
  </si>
  <si>
    <t>Risks of unauthorized access, exposure, or theft of sensitive data, including personal information and IP.</t>
  </si>
  <si>
    <t>Risks of infection from malicious software, including ransomware attacks that can lead to data encryption and financial demands.</t>
  </si>
  <si>
    <t>Insider Threats</t>
  </si>
  <si>
    <t>Risks posed by employees or contractors with access to systems, whether from malicious intent, negligence, or accidental data loss.</t>
  </si>
  <si>
    <t>Risks associated with the security practices of third-party service providers, vendors, and supply chain partners.</t>
  </si>
  <si>
    <t>Risks from deception techniques aimed at manipulating individuals into divulging sensitive information or granting unauthorized access.</t>
  </si>
  <si>
    <t>Risks of unauthorized access due to poor identity and access management practices, including compromised credentials.</t>
  </si>
  <si>
    <t>Risks of non-compliance with cybersecurity laws, standards, or regulations that could lead to fines, sanctions, or reputational damage.</t>
  </si>
  <si>
    <t>Operational Disruption</t>
  </si>
  <si>
    <t>Risks related to disruptions in business operations due to cyber incidents, such as DDoS attacks or IT system failures.</t>
  </si>
  <si>
    <t>Risks of inadequate or delayed response to cyber incidents, worsening impact, extending recovery times, and increasing costs.</t>
  </si>
  <si>
    <t xml:space="preserve">Supply Chain </t>
  </si>
  <si>
    <t>Risks related to weaknesses in various systems, network infrastructure, software, or hardware that could be exploited by attackers.</t>
  </si>
  <si>
    <t>Ransomware</t>
  </si>
  <si>
    <t>Data breach</t>
  </si>
  <si>
    <t>System Vulnerabilities</t>
  </si>
  <si>
    <t>Identity and Access</t>
  </si>
  <si>
    <t>Non-compliance</t>
  </si>
  <si>
    <t>Social Engineering</t>
  </si>
  <si>
    <t>Response and Recovery</t>
  </si>
  <si>
    <t>Category description</t>
  </si>
  <si>
    <t>Human Resources (HR)</t>
  </si>
  <si>
    <t>Finance</t>
  </si>
  <si>
    <t>Marketing</t>
  </si>
  <si>
    <t>Sales</t>
  </si>
  <si>
    <t>Information Technology (IT)</t>
  </si>
  <si>
    <t>Operations</t>
  </si>
  <si>
    <t>Research and Development (R&amp;D)</t>
  </si>
  <si>
    <t>Customer Service</t>
  </si>
  <si>
    <t>Legal</t>
  </si>
  <si>
    <t>Procurement</t>
  </si>
  <si>
    <t>Internal Audit</t>
  </si>
  <si>
    <t>Compliance</t>
  </si>
  <si>
    <t>Risk Management</t>
  </si>
  <si>
    <t>Product Development</t>
  </si>
  <si>
    <t>-- Select Department --</t>
  </si>
  <si>
    <t>-- Select Risk Category --</t>
  </si>
  <si>
    <t>Description</t>
  </si>
  <si>
    <t>-- Select Likelihood --</t>
  </si>
  <si>
    <t>Highly Likely</t>
  </si>
  <si>
    <t>Risks in this category are almost certain to occur, with a likelihood of 91 percent or more.</t>
  </si>
  <si>
    <t>Likely risks have a 61-90 percent chance of occurring. They require regular attention and a consistent strategy.</t>
  </si>
  <si>
    <t>Possible</t>
  </si>
  <si>
    <t>Possible risks have a 41-60 percent chance of occurring and may happen about half the time, needing attention.</t>
  </si>
  <si>
    <t>Unlikely risks have an 11-40 percent chance of occurring, and it’s wise to monitor them.</t>
  </si>
  <si>
    <t>These risks have a low probability of occurring, as the name suggests.</t>
  </si>
  <si>
    <t>Likelihood Level</t>
  </si>
  <si>
    <t>Likelihood Rating</t>
  </si>
  <si>
    <t>Impact Level</t>
  </si>
  <si>
    <t>Impact Rating</t>
  </si>
  <si>
    <t>Very Low</t>
  </si>
  <si>
    <t>Very High</t>
  </si>
  <si>
    <r>
      <rPr>
        <b/>
        <sz val="10"/>
        <color theme="1"/>
        <rFont val="Segoe UI"/>
        <family val="2"/>
      </rPr>
      <t xml:space="preserve">Negligible adverse effect </t>
    </r>
    <r>
      <rPr>
        <sz val="10"/>
        <color theme="1"/>
        <rFont val="Segoe UI"/>
        <family val="2"/>
      </rPr>
      <t>on organizational operations, organizational assets, individuals, other organizations, or the Nation.</t>
    </r>
  </si>
  <si>
    <r>
      <rPr>
        <b/>
        <sz val="10"/>
        <color theme="1"/>
        <rFont val="Segoe UI"/>
        <family val="2"/>
      </rPr>
      <t xml:space="preserve">Limited adverse </t>
    </r>
    <r>
      <rPr>
        <sz val="10"/>
        <color theme="1"/>
        <rFont val="Segoe UI"/>
        <family val="2"/>
      </rPr>
      <t>effect on organizational operations, organizational assets, individuals, other organizations, or the Nation. A limited adverse effect means that, for example, the threat event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r>
  </si>
  <si>
    <r>
      <rPr>
        <b/>
        <sz val="10"/>
        <color theme="1"/>
        <rFont val="Segoe UI"/>
        <family val="2"/>
      </rPr>
      <t>Serious adverse effect</t>
    </r>
    <r>
      <rPr>
        <sz val="10"/>
        <color theme="1"/>
        <rFont val="Segoe UI"/>
        <family val="2"/>
      </rPr>
      <t xml:space="preserve"> on organizational operations, organizational assets, individuals, other organizations, or the Nation. A serious adverse effect means that, for example, the threat event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life-threatening injuries.</t>
    </r>
  </si>
  <si>
    <r>
      <rPr>
        <b/>
        <sz val="10"/>
        <color theme="1"/>
        <rFont val="Segoe UI"/>
        <family val="2"/>
      </rPr>
      <t>Severe or catastrophic adverse effect</t>
    </r>
    <r>
      <rPr>
        <sz val="10"/>
        <color theme="1"/>
        <rFont val="Segoe UI"/>
        <family val="2"/>
      </rPr>
      <t xml:space="preserve"> on organizational operations, organizational assets, individuals, other organizations, or the Nation. A severe or catastrophic adverse effect means that, for example, the threat event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life-threatening injuries.</t>
    </r>
  </si>
  <si>
    <r>
      <rPr>
        <b/>
        <sz val="10"/>
        <color theme="1"/>
        <rFont val="Segoe UI"/>
        <family val="2"/>
      </rPr>
      <t>Multiple severe or catastrophic adverse effects</t>
    </r>
    <r>
      <rPr>
        <sz val="10"/>
        <color theme="1"/>
        <rFont val="Segoe UI"/>
        <family val="2"/>
      </rPr>
      <t xml:space="preserve"> on organizational operations, organizational assets, individuals, other organizations, or the Nation.</t>
    </r>
  </si>
  <si>
    <t>-- Select Risk Response --</t>
  </si>
  <si>
    <t>-- Select Impact --</t>
  </si>
  <si>
    <t>-- Select Risk Status --</t>
  </si>
  <si>
    <t>Status comments</t>
  </si>
  <si>
    <t>Inherent Risk Level</t>
  </si>
  <si>
    <t>Risk Rating</t>
  </si>
  <si>
    <t>Risk Level</t>
  </si>
  <si>
    <t>--- Error ---</t>
  </si>
  <si>
    <t>Inherent Risk Rating</t>
  </si>
  <si>
    <t>Residual Risk Level</t>
  </si>
  <si>
    <t>Residual Risk Rating</t>
  </si>
  <si>
    <t>IMPACT</t>
  </si>
  <si>
    <t>LIKELIHOOD</t>
  </si>
  <si>
    <t>Risk Close Date</t>
  </si>
  <si>
    <t>In Progress</t>
  </si>
  <si>
    <t>Due Month</t>
  </si>
  <si>
    <t>Calculations for Pivots</t>
  </si>
  <si>
    <t>Residual-I-L-Combo</t>
  </si>
  <si>
    <t>Current Risk Level</t>
  </si>
  <si>
    <t>Mitigated?</t>
  </si>
  <si>
    <t>Task ID</t>
  </si>
  <si>
    <t>Task Title</t>
  </si>
  <si>
    <t>Task Description</t>
  </si>
  <si>
    <t>Assignee</t>
  </si>
  <si>
    <t>Due Date</t>
  </si>
  <si>
    <t>Comments</t>
  </si>
  <si>
    <t>Related Risks</t>
  </si>
  <si>
    <t>Status</t>
  </si>
  <si>
    <t>Due Year</t>
  </si>
  <si>
    <t>Risk-ID-Title-Combo</t>
  </si>
  <si>
    <t>Created Date</t>
  </si>
  <si>
    <t>On Hold</t>
  </si>
  <si>
    <t>Not Started</t>
  </si>
  <si>
    <t>Gantt start</t>
  </si>
  <si>
    <t>Interval (months)</t>
  </si>
  <si>
    <t>Risks</t>
  </si>
  <si>
    <t>Start</t>
  </si>
  <si>
    <t>Due</t>
  </si>
  <si>
    <t>1 - Risk 1</t>
  </si>
  <si>
    <t>2 - Risk 2</t>
  </si>
  <si>
    <t>3 - Risk 3</t>
  </si>
  <si>
    <t>4 - Risk 4</t>
  </si>
  <si>
    <t>Task Status</t>
  </si>
  <si>
    <t>-- Select Task Status --</t>
  </si>
  <si>
    <t>ASSET INVENTORY</t>
  </si>
  <si>
    <t>Asset ID</t>
  </si>
  <si>
    <t>Asset Name</t>
  </si>
  <si>
    <t>Asset Owner</t>
  </si>
  <si>
    <t>Asset classification</t>
  </si>
  <si>
    <t xml:space="preserve">Website </t>
  </si>
  <si>
    <t>Donor Information</t>
  </si>
  <si>
    <t>Volunteer records</t>
  </si>
  <si>
    <t>Beneficiary data</t>
  </si>
  <si>
    <t>Safe guarding records</t>
  </si>
  <si>
    <t>Social media accounts</t>
  </si>
  <si>
    <t>Financial records</t>
  </si>
  <si>
    <t>Email system</t>
  </si>
  <si>
    <t>Microsoft 365/ Google workspace</t>
  </si>
  <si>
    <t>Staff laptops</t>
  </si>
  <si>
    <t>Mobile Phones</t>
  </si>
  <si>
    <t>Office Building</t>
  </si>
  <si>
    <t>Backup data</t>
  </si>
  <si>
    <t>Online Donation Platform</t>
  </si>
  <si>
    <t>Public</t>
  </si>
  <si>
    <t>Confidential</t>
  </si>
  <si>
    <t>Internal</t>
  </si>
  <si>
    <t>A001</t>
  </si>
  <si>
    <t>A002</t>
  </si>
  <si>
    <t>A003</t>
  </si>
  <si>
    <t>A004</t>
  </si>
  <si>
    <t>A005</t>
  </si>
  <si>
    <t>A006</t>
  </si>
  <si>
    <t>A007</t>
  </si>
  <si>
    <t>A008</t>
  </si>
  <si>
    <t>A009</t>
  </si>
  <si>
    <t>A010</t>
  </si>
  <si>
    <t>A011</t>
  </si>
  <si>
    <t>A012</t>
  </si>
  <si>
    <t>A013</t>
  </si>
  <si>
    <t>A014</t>
  </si>
  <si>
    <t>IT Manager</t>
  </si>
  <si>
    <t>Fundraising Manager</t>
  </si>
  <si>
    <t>Volunteer Coordinator</t>
  </si>
  <si>
    <t>Safeguard Lead</t>
  </si>
  <si>
    <t>Safeguard lead</t>
  </si>
  <si>
    <t>Finance Manager</t>
  </si>
  <si>
    <t>Facilities Manager</t>
  </si>
  <si>
    <t>A015</t>
  </si>
  <si>
    <t>Policies and Procedures</t>
  </si>
  <si>
    <t>Board of Trustees</t>
  </si>
  <si>
    <t xml:space="preserve">Asset </t>
  </si>
  <si>
    <t>Threat</t>
  </si>
  <si>
    <t>Vulnerability</t>
  </si>
  <si>
    <t>Website (Web Application)</t>
  </si>
  <si>
    <t>Likelihood</t>
  </si>
  <si>
    <t>Imapct</t>
  </si>
  <si>
    <t>Risk score</t>
  </si>
  <si>
    <t>Third -Party server/ Hosting
 provider</t>
  </si>
  <si>
    <t>Beneficiary Data</t>
  </si>
  <si>
    <t>Safeguarding Records</t>
  </si>
  <si>
    <t>Staff laptops/Mobile devices</t>
  </si>
  <si>
    <t>Financial Records</t>
  </si>
  <si>
    <t>Social Media Account</t>
  </si>
  <si>
    <t>Policices and Procedures</t>
  </si>
  <si>
    <t>Backup Data</t>
  </si>
  <si>
    <t>A016</t>
  </si>
  <si>
    <t>Third party Server/Hosting Provider</t>
  </si>
  <si>
    <t>Data Protection Officer/ Safeguarding Lead</t>
  </si>
  <si>
    <t>Severe</t>
  </si>
  <si>
    <t>Certain</t>
  </si>
  <si>
    <t>Data Center disasters or host level cyberattacks</t>
  </si>
  <si>
    <t>Total reliance on Third party without 
independent backups</t>
  </si>
  <si>
    <t>Email System/ 
Microsoft 365/Google Workspace</t>
  </si>
  <si>
    <t>Fraud, Human error, Cyber attack</t>
  </si>
  <si>
    <t>Financial records are alreted, lost or misused</t>
  </si>
  <si>
    <t>Social media accounts are compromised
Risk of reputational damage through 
offensive hacker post</t>
  </si>
  <si>
    <t>Accidental file deletion or hardrive failure, 
Regulatory changes, poor review process</t>
  </si>
  <si>
    <t>Data loss due to backup failure, 
Backup data is unavailable during an incident</t>
  </si>
  <si>
    <t>Donation platform is compromised or 
unavailable, funds are diverted</t>
  </si>
  <si>
    <t>cyber attack,system failure,  cyber criminals
hijacking payment links</t>
  </si>
  <si>
    <t>IT Admin</t>
  </si>
  <si>
    <t>Volunteer cordinator</t>
  </si>
  <si>
    <t>Safeguarding lead</t>
  </si>
  <si>
    <t>Fundraising director</t>
  </si>
  <si>
    <t>Fianance Director</t>
  </si>
  <si>
    <t>Financial Director</t>
  </si>
  <si>
    <t>Operations Manager</t>
  </si>
  <si>
    <t>Risk Evaluation</t>
  </si>
  <si>
    <t>Data Loss due to provider outages or system 
failure, website downtime</t>
  </si>
  <si>
    <t>Using a well known reliable
 Hosting provider</t>
  </si>
  <si>
    <t>Stored in a spreadsheet on the
 office Laptop</t>
  </si>
  <si>
    <t>Files saved on the Finance 
Director's Laptop</t>
  </si>
  <si>
    <t>Normal door locks on the front 
entrance</t>
  </si>
  <si>
    <t>Staff uses their own security lock 
Antivirus installed in Laptops/Mobile devices</t>
  </si>
  <si>
    <t>Turn on notifications for unrecognised login attempts</t>
  </si>
  <si>
    <t>Third Party processor is used so the charity never handles raw card data, session timeout after 15mins</t>
  </si>
  <si>
    <t>Backups run automatically to an 
attached hard drive</t>
  </si>
  <si>
    <t>stored digitally in Cloud account,
Restricted access ( stritctly to frontline staff)</t>
  </si>
  <si>
    <t>Physical Files kept in a file cabinet 
Digital Files kept in a shared 
folder</t>
  </si>
  <si>
    <t>Basic spam and phishing filter is 
enabled by the charity's provider</t>
  </si>
  <si>
    <t>Staff and relevant parties have
 physical  copies on their desktops</t>
  </si>
  <si>
    <t>Risk Treatment Plan</t>
  </si>
  <si>
    <t>RISK TREATMENT PLAN</t>
  </si>
  <si>
    <t>low</t>
  </si>
  <si>
    <t>very high</t>
  </si>
  <si>
    <t>Secure storage of Donor's Information, Access control</t>
  </si>
  <si>
    <t>outdated software, weak passwords (default administrative password), Exposed session token, insecure login pages (HTTP)</t>
  </si>
  <si>
    <t>Session Hijacking by Hackers (XSS), SQL injection (hackers Manipulate input fields to insert malicious commands)</t>
  </si>
  <si>
    <t>Hackers Changing website content, breaking donation forms or stealing  or destroying sensitive data</t>
  </si>
  <si>
    <t>Strong Admin passwords
All Data in Transit is encrypted (Full HTTPS Coverage)</t>
  </si>
  <si>
    <t>Require MFA for all useraccounts and 
adminstrative panels,
Deploy a Web Application Firewall ( Block attacks like SQL injection and cross site scripting), parameterised queries completely blocking sql injection</t>
  </si>
  <si>
    <t>Inadequate access control, Data Stored in
 unsecured files, Inadequate staff awareness/training,  Lack of data retention policy</t>
  </si>
  <si>
    <t>Unauthorised access to  Sensitive Data,
Life threatening breaches, Legal penalties, Reputational damage,</t>
  </si>
  <si>
    <t>Cyber attack, Inside Misuse of 
personal information,</t>
  </si>
  <si>
    <t>Encrypt sensitive data,
 conduct regualar access reviews
Provide data protection training
Implement strigent access control</t>
  </si>
  <si>
    <t>Hackers targeting personal information, 
social enginerring, Ransomeware attacks,</t>
  </si>
  <si>
    <t>Weak access controls, Unable to spot phishing 
emails(Lack of awareness), Unencrypted 
personal device, Poor offboarding procedure, 
Shared Staff Accounts</t>
  </si>
  <si>
    <t>Cybercriminals targeting data, Third part breaches,
Phishing &amp; social engineering</t>
  </si>
  <si>
    <t>weak access controls, poor data handling,
misconfigoured clod storage, unpatched
software</t>
  </si>
  <si>
    <t>moderate</t>
  </si>
  <si>
    <t>high</t>
  </si>
  <si>
    <t>Implement Role Based Access Control (RBAC)
encrypt donor data, and provide GDPR awareness to Staffs, Third Party due deligence, clear data privacy clauses in vendor contracts, MFA. Firewalls and regular patching</t>
  </si>
  <si>
    <t>unauthorised access to donor personal information,  Reputational damage, regulatory fines, data breach</t>
  </si>
  <si>
    <t>Insider threats, Nosy staff or external hackers
 encrypting safeguarding serevers and also
 threaten to leak child protection details on 
dark web</t>
  </si>
  <si>
    <t>Keeping physical files unlocked and digital 
files in shared folders, week access control, lack of clear data sharing policy.</t>
  </si>
  <si>
    <t xml:space="preserve">Safeguarding information is 
accessed by unauthorised persons, data leak Reputational damage, Legal penality from (ICO), </t>
  </si>
  <si>
    <t>Restricted folder permission, External 
sharing disabled, mandatory MFA, , 
Apply principle of least priviledge</t>
  </si>
  <si>
    <t xml:space="preserve"> High</t>
  </si>
  <si>
    <t xml:space="preserve"> Very HIgh</t>
  </si>
  <si>
    <t>Weak security controls, Third party dependence, 
outdated website plugins</t>
  </si>
  <si>
    <t>Apply strict MFA, Run automated
 vulnerability scan and always apply 
patch were necessary</t>
  </si>
  <si>
    <t>Spear Phishing, credential theft, account take over (BEC)
or data exfiltration by hackers</t>
  </si>
  <si>
    <t>Weak Passwords, Lack of user awareness, 
Not enabling two step verification (MFA)
Missing domain authentication records (SPF, DKIM, DMARC)</t>
  </si>
  <si>
    <t>Stop domain spoofing, Restrict App consent, 
Bloack Hidden forwaring rules.</t>
  </si>
  <si>
    <t>Email accounts are compromised, accounts lockout loss of data within cloud systems,</t>
  </si>
  <si>
    <t xml:space="preserve">Loss of device or malware infection through email phishing could expose sensitive data, </t>
  </si>
  <si>
    <t>Theft, Malware, Malware &amp; Ransomware</t>
  </si>
  <si>
    <t>Lack of encryption and endpoint protection,
 No BitLocker/FileVault , Outdare operating
 system and aoo, lack of MDM, unregulated 
BYOD</t>
  </si>
  <si>
    <t>Vwer High</t>
  </si>
  <si>
    <t>Apply Patch Management sutomated 
weeklly, Hard frive should be encrypted 
via bit locker</t>
  </si>
  <si>
    <t>Lack or regualar accounting backups, 
weak financial controls, insecure spreadsheet ledger storage. Single Authorization payment workflow.</t>
  </si>
  <si>
    <t>segregation of duties, Implement Access 
control and Authentication</t>
  </si>
  <si>
    <t>Hackers hijacking account to post scam 
messages, brand Impersonation by cybercriminals. Attackers takeover the acount and lock the admin out</t>
  </si>
  <si>
    <t>Lack of MFA, reusing weak passwords across 
channels or sharing login info, unrestricted access rights.</t>
  </si>
  <si>
    <t>Monitor Account activity, 
Use strong unique password and use MFA, establish a clear policy on what staff can post. Access right withdrawn during offboarding</t>
  </si>
  <si>
    <t>Operational downtime, Policy  fail compliance requirements, Risk of regulatory penalty</t>
  </si>
  <si>
    <t>No backup in the cloud. Lack of scheduled 
policy review, outdated policy, lack of policy approval from Board of Trustees, Jargon or unclear written policies, policy missing version
control</t>
  </si>
  <si>
    <t>Board of trustees signs off policies annually
, policies should be updated against 
new threats, communicate policy to team
 and organise short training for staffs ,</t>
  </si>
  <si>
    <t xml:space="preserve">Ransomware,  Physical theft/disaster, 
insider threat, </t>
  </si>
  <si>
    <t>Lack of testing and backup monitoring, physical 
theft or diasaster, insufficient Backup retention
 policy, Lack of Encryption on backup files</t>
  </si>
  <si>
    <t>Automated backup validation and 
mandatory quartely test, 
Backup admin Login locked with 
separate MFA, Backup should be 
encrypted both at rest and in transit</t>
  </si>
  <si>
    <t>Physical theft, fire outbreak, flooding,  Taligating</t>
  </si>
  <si>
    <t>Risk of physical destruction of building, lost of paper work and Disruption to charity operations, unauthorised access</t>
  </si>
  <si>
    <t>Limited physical security controls,
 Lack of smoke alarms, lack of visiot tracking logs, clear desk policy failure</t>
  </si>
  <si>
    <t>implement Electronic badge entry and strict 
visitor policies, fire proof filing cabinets for 
paper records, automated offsite cloud
 backups, enforce clear desk and clear 
screen policy</t>
  </si>
  <si>
    <t>None - Continous Monitoring</t>
  </si>
  <si>
    <t>open</t>
  </si>
  <si>
    <t>None - Monitoring</t>
  </si>
  <si>
    <t>Action</t>
  </si>
  <si>
    <t>Automatically acceptable no management action needed</t>
  </si>
  <si>
    <t>Acceptable if only the cost of fixing is too high (cost of mitigation is greater than impact) or Risk score/level is within the  Organisation's risk appetite.Risk acceptance with sign off</t>
  </si>
  <si>
    <t>Too dangerous to accepted. The risk should be mitigated</t>
  </si>
  <si>
    <t>Unacceptable, It should be actively mitigated</t>
  </si>
  <si>
    <t>Volunteer personal details being stolen or lost,
 Data breach</t>
  </si>
  <si>
    <t xml:space="preserve"> Confidential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</si>
</sst>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409]dd\-mmm\-yy;@"/>
    <numFmt numFmtId="166" formatCode=";;;"/>
    <numFmt numFmtId="167" formatCode="[$-409]d\-mmm\-yyyy;@"/>
  </numFmts>
  <fonts count="37" x14ac:knownFonts="1">
    <font>
      <sz val="11"/>
      <color theme="1"/>
      <name val="Calibri"/>
      <family val="2"/>
      <scheme val="minor"/>
    </font>
    <font>
      <sz val="11"/>
      <color theme="1"/>
      <name val="Segoe UI"/>
      <family val="2"/>
    </font>
    <font>
      <sz val="11"/>
      <color theme="1"/>
      <name val="Segoe UI"/>
      <family val="2"/>
    </font>
    <font>
      <b/>
      <sz val="11"/>
      <color theme="1"/>
      <name val="Calibri"/>
      <family val="2"/>
      <scheme val="minor"/>
    </font>
    <font>
      <sz val="12"/>
      <color theme="1"/>
      <name val="Calibri"/>
      <family val="2"/>
      <scheme val="minor"/>
    </font>
    <font>
      <b/>
      <sz val="18"/>
      <color theme="3"/>
      <name val="Calibri Light"/>
      <family val="2"/>
      <scheme val="major"/>
    </font>
    <font>
      <u/>
      <sz val="12"/>
      <color theme="3" tint="0.39994506668294322"/>
      <name val="Calibri"/>
      <family val="2"/>
      <scheme val="minor"/>
    </font>
    <font>
      <b/>
      <sz val="24"/>
      <color rgb="FF0070C0"/>
      <name val="Segoe UI"/>
      <family val="2"/>
    </font>
    <font>
      <sz val="12"/>
      <color rgb="FF0070C0"/>
      <name val="Segoe UI"/>
      <family val="2"/>
    </font>
    <font>
      <sz val="12"/>
      <color theme="1"/>
      <name val="Segoe UI"/>
      <family val="2"/>
    </font>
    <font>
      <b/>
      <sz val="10"/>
      <color rgb="FF0070C0"/>
      <name val="Segoe UI"/>
      <family val="2"/>
    </font>
    <font>
      <sz val="10"/>
      <color theme="1"/>
      <name val="Segoe UI"/>
      <family val="2"/>
    </font>
    <font>
      <b/>
      <sz val="10"/>
      <color theme="1"/>
      <name val="Segoe UI"/>
      <family val="2"/>
    </font>
    <font>
      <sz val="10"/>
      <name val="Arial"/>
      <family val="2"/>
    </font>
    <font>
      <sz val="10"/>
      <color indexed="8"/>
      <name val="Times New Roman"/>
      <family val="1"/>
    </font>
    <font>
      <sz val="8"/>
      <name val="Calibri"/>
      <family val="2"/>
      <scheme val="minor"/>
    </font>
    <font>
      <b/>
      <sz val="12"/>
      <color theme="0"/>
      <name val="Segoe UI"/>
      <family val="2"/>
    </font>
    <font>
      <b/>
      <sz val="12"/>
      <color rgb="FF003060"/>
      <name val="Segoe UI"/>
      <family val="2"/>
    </font>
    <font>
      <i/>
      <sz val="10"/>
      <color theme="1"/>
      <name val="Segoe UI"/>
      <family val="2"/>
    </font>
    <font>
      <b/>
      <sz val="10"/>
      <name val="Segoe UI"/>
      <family val="2"/>
    </font>
    <font>
      <b/>
      <sz val="10"/>
      <color theme="0"/>
      <name val="Segoe UI"/>
      <family val="2"/>
    </font>
    <font>
      <i/>
      <sz val="14"/>
      <color theme="1"/>
      <name val="Segoe UI"/>
      <family val="2"/>
    </font>
    <font>
      <sz val="12"/>
      <color theme="0"/>
      <name val="Segoe UI"/>
      <family val="2"/>
    </font>
    <font>
      <b/>
      <sz val="28"/>
      <color theme="4" tint="-0.249977111117893"/>
      <name val="Segoe UI"/>
      <family val="2"/>
    </font>
    <font>
      <sz val="14"/>
      <color theme="1" tint="0.499984740745262"/>
      <name val="Segoe UI Black"/>
      <family val="2"/>
    </font>
    <font>
      <b/>
      <sz val="16"/>
      <color rgb="FF0070C0"/>
      <name val="Segoe UI"/>
      <family val="2"/>
    </font>
    <font>
      <sz val="16"/>
      <color theme="1" tint="0.499984740745262"/>
      <name val="Segoe UI Black"/>
      <family val="2"/>
    </font>
    <font>
      <b/>
      <sz val="16"/>
      <color theme="1"/>
      <name val="Segoe UI"/>
      <family val="2"/>
    </font>
    <font>
      <sz val="26"/>
      <color theme="1"/>
      <name val="Segoe UI Black"/>
      <family val="2"/>
    </font>
    <font>
      <sz val="26"/>
      <color theme="0"/>
      <name val="Segoe UI Black"/>
      <family val="2"/>
    </font>
    <font>
      <b/>
      <sz val="16"/>
      <color theme="0"/>
      <name val="Segoe UI"/>
      <family val="2"/>
    </font>
    <font>
      <sz val="22"/>
      <color theme="1" tint="0.499984740745262"/>
      <name val="Segoe UI Black"/>
      <family val="2"/>
    </font>
    <font>
      <sz val="16"/>
      <color theme="1"/>
      <name val="Segoe UI"/>
    </font>
    <font>
      <sz val="20"/>
      <color theme="1"/>
      <name val="Arial Black"/>
      <family val="2"/>
    </font>
    <font>
      <b/>
      <sz val="20"/>
      <color theme="1"/>
      <name val="Arial Black"/>
      <family val="2"/>
    </font>
    <font>
      <b/>
      <sz val="48"/>
      <name val="Segoe UI"/>
      <family val="2"/>
    </font>
    <font>
      <b/>
      <sz val="10"/>
      <color rgb="FF0070C0"/>
      <name val="Arial"/>
      <family val="2"/>
    </font>
  </fonts>
  <fills count="20">
    <fill>
      <patternFill patternType="none"/>
    </fill>
    <fill>
      <patternFill patternType="gray125"/>
    </fill>
    <fill>
      <patternFill patternType="solid">
        <fgColor rgb="FFF3FAFF"/>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2" tint="-9.9978637043366805E-2"/>
        <bgColor indexed="64"/>
      </patternFill>
    </fill>
    <fill>
      <patternFill patternType="solid">
        <fgColor rgb="FF80000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4"/>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C00000"/>
        <bgColor indexed="64"/>
      </patternFill>
    </fill>
    <fill>
      <patternFill patternType="solid">
        <fgColor rgb="FFFF3300"/>
        <bgColor indexed="64"/>
      </patternFill>
    </fill>
  </fills>
  <borders count="38">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style="thin">
        <color theme="4" tint="0.39997558519241921"/>
      </bottom>
      <diagonal/>
    </border>
    <border>
      <left/>
      <right/>
      <top style="thin">
        <color theme="1"/>
      </top>
      <bottom style="thin">
        <color theme="4" tint="0.39997558519241921"/>
      </bottom>
      <diagonal/>
    </border>
    <border>
      <left/>
      <right style="thin">
        <color theme="1"/>
      </right>
      <top style="thin">
        <color theme="1"/>
      </top>
      <bottom style="thin">
        <color theme="4" tint="0.39997558519241921"/>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theme="1"/>
      </top>
      <bottom/>
      <diagonal/>
    </border>
    <border>
      <left/>
      <right style="thin">
        <color theme="1"/>
      </right>
      <top style="thin">
        <color theme="1"/>
      </top>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5">
    <xf numFmtId="0" fontId="0" fillId="0" borderId="0"/>
    <xf numFmtId="0" fontId="4" fillId="0" borderId="0"/>
    <xf numFmtId="0" fontId="5" fillId="0" borderId="0" applyNumberFormat="0" applyFill="0" applyBorder="0" applyAlignment="0" applyProtection="0"/>
    <xf numFmtId="0" fontId="6" fillId="0" borderId="0" applyNumberFormat="0" applyFill="0" applyBorder="0" applyAlignment="0" applyProtection="0"/>
    <xf numFmtId="0" fontId="13" fillId="0" borderId="0"/>
  </cellStyleXfs>
  <cellXfs count="156">
    <xf numFmtId="0" fontId="0" fillId="0" borderId="0" xfId="0"/>
    <xf numFmtId="0" fontId="9" fillId="0" borderId="0" xfId="1" applyFont="1" applyAlignment="1">
      <alignment vertical="center"/>
    </xf>
    <xf numFmtId="0" fontId="11" fillId="0" borderId="0" xfId="0" applyFont="1"/>
    <xf numFmtId="0" fontId="13" fillId="0" borderId="0" xfId="0" applyFont="1"/>
    <xf numFmtId="0" fontId="14" fillId="0" borderId="0" xfId="0" applyFont="1"/>
    <xf numFmtId="0" fontId="14" fillId="0" borderId="0" xfId="0" applyFont="1" applyAlignment="1">
      <alignment horizontal="center" vertical="top" wrapText="1"/>
    </xf>
    <xf numFmtId="0" fontId="0" fillId="0" borderId="0" xfId="0" applyAlignment="1">
      <alignment wrapText="1"/>
    </xf>
    <xf numFmtId="0" fontId="0" fillId="0" borderId="0" xfId="0" applyAlignment="1">
      <alignment horizontal="center"/>
    </xf>
    <xf numFmtId="0" fontId="11" fillId="0" borderId="3" xfId="0" applyFont="1" applyBorder="1"/>
    <xf numFmtId="0" fontId="10" fillId="2" borderId="3" xfId="2" applyFont="1" applyFill="1" applyBorder="1" applyAlignment="1" applyProtection="1">
      <alignment vertical="center" wrapText="1"/>
    </xf>
    <xf numFmtId="0" fontId="10" fillId="2" borderId="3" xfId="2" applyFont="1" applyFill="1" applyBorder="1" applyAlignment="1">
      <alignment vertical="center"/>
    </xf>
    <xf numFmtId="0" fontId="0" fillId="0" borderId="0" xfId="0" applyAlignment="1">
      <alignment vertical="center" wrapText="1"/>
    </xf>
    <xf numFmtId="0" fontId="11" fillId="0" borderId="3" xfId="0" applyFont="1" applyBorder="1" applyAlignment="1">
      <alignment vertical="center" wrapText="1"/>
    </xf>
    <xf numFmtId="0" fontId="11" fillId="0" borderId="3" xfId="0" quotePrefix="1" applyFont="1" applyBorder="1" applyAlignment="1">
      <alignment vertical="center" wrapText="1"/>
    </xf>
    <xf numFmtId="0" fontId="10" fillId="2" borderId="3" xfId="2" applyFont="1" applyFill="1" applyBorder="1" applyAlignment="1">
      <alignment vertical="center" wrapText="1"/>
    </xf>
    <xf numFmtId="0" fontId="10" fillId="2" borderId="3" xfId="2" applyFont="1" applyFill="1" applyBorder="1" applyAlignment="1" applyProtection="1">
      <alignment horizontal="left" vertical="center" wrapText="1"/>
    </xf>
    <xf numFmtId="0" fontId="0" fillId="0" borderId="0" xfId="0" applyAlignment="1">
      <alignment vertical="top"/>
    </xf>
    <xf numFmtId="0" fontId="0" fillId="0" borderId="0" xfId="0" applyAlignment="1">
      <alignment horizontal="center" vertical="top"/>
    </xf>
    <xf numFmtId="0" fontId="19" fillId="6" borderId="3" xfId="2" applyFont="1" applyFill="1" applyBorder="1" applyAlignment="1" applyProtection="1">
      <alignment horizontal="left" vertical="center" wrapText="1"/>
    </xf>
    <xf numFmtId="0" fontId="20" fillId="5" borderId="3" xfId="2" applyFont="1" applyFill="1" applyBorder="1" applyAlignment="1" applyProtection="1">
      <alignment vertical="center" wrapText="1"/>
    </xf>
    <xf numFmtId="0" fontId="2" fillId="0" borderId="0" xfId="0" applyFont="1"/>
    <xf numFmtId="0" fontId="2" fillId="0" borderId="0" xfId="0" applyFont="1" applyAlignment="1">
      <alignment horizontal="center" vertical="center"/>
    </xf>
    <xf numFmtId="0" fontId="21" fillId="0" borderId="0" xfId="0" applyFont="1"/>
    <xf numFmtId="0" fontId="0" fillId="0" borderId="3" xfId="0" applyBorder="1" applyAlignment="1">
      <alignment horizontal="center" vertical="center"/>
    </xf>
    <xf numFmtId="0" fontId="0" fillId="0" borderId="0" xfId="0" applyAlignment="1">
      <alignment horizontal="center" vertical="center"/>
    </xf>
    <xf numFmtId="0" fontId="19" fillId="11" borderId="0" xfId="2" applyFont="1" applyFill="1" applyBorder="1" applyAlignment="1" applyProtection="1">
      <alignment vertical="center" wrapText="1"/>
    </xf>
    <xf numFmtId="0" fontId="0" fillId="0" borderId="3" xfId="0" applyBorder="1"/>
    <xf numFmtId="164" fontId="0" fillId="0" borderId="0" xfId="0" applyNumberFormat="1"/>
    <xf numFmtId="165" fontId="0" fillId="0" borderId="0" xfId="0" applyNumberFormat="1"/>
    <xf numFmtId="0" fontId="1" fillId="0" borderId="8" xfId="0" applyFont="1" applyBorder="1" applyAlignment="1">
      <alignment horizontal="center" vertical="center"/>
    </xf>
    <xf numFmtId="15" fontId="2" fillId="0" borderId="8" xfId="0" applyNumberFormat="1" applyFont="1" applyBorder="1" applyAlignment="1">
      <alignment horizontal="center" vertical="center"/>
    </xf>
    <xf numFmtId="0" fontId="2" fillId="0" borderId="8" xfId="0" applyFont="1" applyBorder="1" applyAlignment="1">
      <alignment horizontal="center" vertical="center"/>
    </xf>
    <xf numFmtId="167" fontId="10" fillId="2" borderId="3" xfId="2" applyNumberFormat="1" applyFont="1" applyFill="1" applyBorder="1" applyAlignment="1" applyProtection="1">
      <alignment horizontal="left" vertical="center" wrapText="1"/>
    </xf>
    <xf numFmtId="0" fontId="27" fillId="0" borderId="4" xfId="0" quotePrefix="1" applyFont="1" applyBorder="1" applyAlignment="1">
      <alignment horizontal="center" vertical="center" wrapText="1"/>
    </xf>
    <xf numFmtId="0" fontId="7" fillId="0" borderId="0" xfId="2" applyFont="1" applyFill="1" applyAlignment="1" applyProtection="1">
      <alignment horizontal="left" vertical="center"/>
    </xf>
    <xf numFmtId="0" fontId="8" fillId="0" borderId="0" xfId="1" applyFont="1" applyAlignment="1">
      <alignment vertical="center"/>
    </xf>
    <xf numFmtId="0" fontId="8" fillId="0" borderId="0" xfId="1" applyFont="1" applyAlignment="1">
      <alignment horizontal="center" vertical="center"/>
    </xf>
    <xf numFmtId="0" fontId="8" fillId="0" borderId="0" xfId="1" applyFont="1" applyAlignment="1">
      <alignment vertical="center" wrapText="1"/>
    </xf>
    <xf numFmtId="0" fontId="30" fillId="0" borderId="7" xfId="0" quotePrefix="1" applyFont="1" applyBorder="1" applyAlignment="1">
      <alignment horizontal="center" vertical="center" wrapText="1"/>
    </xf>
    <xf numFmtId="0" fontId="11" fillId="0" borderId="3" xfId="0" quotePrefix="1" applyFont="1" applyBorder="1" applyAlignment="1">
      <alignment horizontal="center" vertical="center" wrapText="1"/>
    </xf>
    <xf numFmtId="0" fontId="0" fillId="4" borderId="3" xfId="0" applyFill="1" applyBorder="1"/>
    <xf numFmtId="166" fontId="0" fillId="0" borderId="0" xfId="0" applyNumberFormat="1" applyAlignment="1">
      <alignment horizontal="center" vertical="center"/>
    </xf>
    <xf numFmtId="0" fontId="32" fillId="0" borderId="13" xfId="0" quotePrefix="1" applyFont="1" applyBorder="1" applyAlignment="1">
      <alignment horizontal="center" vertical="center" wrapText="1"/>
    </xf>
    <xf numFmtId="0" fontId="32" fillId="0" borderId="14" xfId="0" quotePrefix="1" applyFont="1" applyBorder="1" applyAlignment="1">
      <alignment horizontal="center" vertical="center" wrapText="1"/>
    </xf>
    <xf numFmtId="165" fontId="3" fillId="9" borderId="15" xfId="0" applyNumberFormat="1" applyFont="1" applyFill="1" applyBorder="1" applyAlignment="1">
      <alignment horizontal="center" vertical="center" textRotation="90"/>
    </xf>
    <xf numFmtId="165" fontId="3" fillId="9" borderId="16" xfId="0" applyNumberFormat="1" applyFont="1" applyFill="1" applyBorder="1" applyAlignment="1">
      <alignment horizontal="center" vertical="center" textRotation="90"/>
    </xf>
    <xf numFmtId="165" fontId="3" fillId="9" borderId="17" xfId="0" applyNumberFormat="1" applyFont="1" applyFill="1" applyBorder="1" applyAlignment="1">
      <alignment horizontal="center" vertical="center" textRotation="90"/>
    </xf>
    <xf numFmtId="166" fontId="0" fillId="0" borderId="18" xfId="0" applyNumberFormat="1" applyBorder="1" applyAlignment="1">
      <alignment horizontal="center" vertical="center"/>
    </xf>
    <xf numFmtId="166" fontId="0" fillId="0" borderId="19" xfId="0" applyNumberFormat="1" applyBorder="1" applyAlignment="1">
      <alignment horizontal="center" vertical="center"/>
    </xf>
    <xf numFmtId="166" fontId="0" fillId="0" borderId="20" xfId="0" applyNumberFormat="1" applyBorder="1" applyAlignment="1">
      <alignment horizontal="center" vertical="center"/>
    </xf>
    <xf numFmtId="166" fontId="0" fillId="0" borderId="21" xfId="0" applyNumberFormat="1" applyBorder="1" applyAlignment="1">
      <alignment horizontal="center" vertical="center"/>
    </xf>
    <xf numFmtId="166" fontId="0" fillId="0" borderId="22" xfId="0" applyNumberFormat="1" applyBorder="1" applyAlignment="1">
      <alignment horizontal="center" vertical="center"/>
    </xf>
    <xf numFmtId="164" fontId="0" fillId="0" borderId="19" xfId="0" applyNumberFormat="1" applyBorder="1" applyAlignment="1">
      <alignment horizontal="right"/>
    </xf>
    <xf numFmtId="0" fontId="0" fillId="0" borderId="18" xfId="0" applyBorder="1"/>
    <xf numFmtId="0" fontId="0" fillId="0" borderId="19" xfId="0" applyBorder="1"/>
    <xf numFmtId="0" fontId="2" fillId="0" borderId="18" xfId="0" applyFont="1" applyBorder="1"/>
    <xf numFmtId="0" fontId="2" fillId="0" borderId="19" xfId="0" applyFont="1" applyBorder="1"/>
    <xf numFmtId="0" fontId="2" fillId="0" borderId="20" xfId="0" applyFont="1" applyBorder="1"/>
    <xf numFmtId="0" fontId="21" fillId="0" borderId="21" xfId="0" applyFont="1" applyBorder="1"/>
    <xf numFmtId="0" fontId="2" fillId="0" borderId="22" xfId="0" applyFont="1" applyBorder="1"/>
    <xf numFmtId="0" fontId="0" fillId="0" borderId="13" xfId="0" pivotButton="1" applyBorder="1"/>
    <xf numFmtId="0" fontId="0" fillId="0" borderId="26" xfId="0" applyBorder="1" applyAlignment="1">
      <alignment horizontal="left"/>
    </xf>
    <xf numFmtId="0" fontId="0" fillId="0" borderId="27" xfId="0" applyBorder="1" applyAlignment="1">
      <alignment horizontal="left"/>
    </xf>
    <xf numFmtId="0" fontId="0" fillId="0" borderId="28" xfId="0" applyBorder="1" applyAlignment="1">
      <alignment horizontal="left"/>
    </xf>
    <xf numFmtId="164" fontId="0" fillId="0" borderId="22" xfId="0" applyNumberFormat="1" applyBorder="1" applyAlignment="1">
      <alignment horizontal="right"/>
    </xf>
    <xf numFmtId="165" fontId="0" fillId="0" borderId="23" xfId="0" applyNumberFormat="1" applyBorder="1" applyAlignment="1">
      <alignment horizontal="right"/>
    </xf>
    <xf numFmtId="164" fontId="0" fillId="0" borderId="24" xfId="0" applyNumberFormat="1" applyBorder="1" applyAlignment="1">
      <alignment horizontal="right"/>
    </xf>
    <xf numFmtId="165" fontId="0" fillId="0" borderId="18" xfId="0" applyNumberFormat="1" applyBorder="1" applyAlignment="1">
      <alignment horizontal="right"/>
    </xf>
    <xf numFmtId="165" fontId="0" fillId="0" borderId="20" xfId="0" applyNumberFormat="1" applyBorder="1" applyAlignment="1">
      <alignment horizontal="right"/>
    </xf>
    <xf numFmtId="0" fontId="0" fillId="0" borderId="14" xfId="0" applyBorder="1" applyAlignment="1">
      <alignment horizontal="right"/>
    </xf>
    <xf numFmtId="0" fontId="0" fillId="0" borderId="25" xfId="0" applyBorder="1" applyAlignment="1">
      <alignment horizontal="right"/>
    </xf>
    <xf numFmtId="0" fontId="33" fillId="0" borderId="0" xfId="0" applyFont="1"/>
    <xf numFmtId="0" fontId="3" fillId="0" borderId="0" xfId="0" applyFont="1"/>
    <xf numFmtId="0" fontId="0" fillId="0" borderId="4" xfId="0" applyBorder="1"/>
    <xf numFmtId="0" fontId="0" fillId="0" borderId="33" xfId="0" applyBorder="1"/>
    <xf numFmtId="0" fontId="0" fillId="0" borderId="3" xfId="0" applyBorder="1" applyAlignment="1">
      <alignment horizontal="center"/>
    </xf>
    <xf numFmtId="0" fontId="17" fillId="3" borderId="34" xfId="2" applyFont="1" applyFill="1" applyBorder="1" applyAlignment="1" applyProtection="1">
      <alignment vertical="center"/>
    </xf>
    <xf numFmtId="0" fontId="0" fillId="0" borderId="3" xfId="0" applyBorder="1" applyAlignment="1">
      <alignment wrapText="1"/>
    </xf>
    <xf numFmtId="0" fontId="0" fillId="0" borderId="3" xfId="0" applyBorder="1" applyAlignment="1">
      <alignment vertical="top"/>
    </xf>
    <xf numFmtId="0" fontId="0" fillId="0" borderId="3" xfId="0" applyBorder="1" applyAlignment="1">
      <alignment horizontal="center" vertical="top"/>
    </xf>
    <xf numFmtId="167" fontId="0" fillId="0" borderId="3" xfId="0" applyNumberFormat="1" applyBorder="1" applyAlignment="1">
      <alignment vertical="top"/>
    </xf>
    <xf numFmtId="0" fontId="0" fillId="0" borderId="3" xfId="0" applyBorder="1" applyAlignment="1">
      <alignment vertical="top" wrapText="1"/>
    </xf>
    <xf numFmtId="0" fontId="0" fillId="0" borderId="34" xfId="0" applyBorder="1" applyAlignment="1">
      <alignment vertical="top"/>
    </xf>
    <xf numFmtId="0" fontId="0" fillId="0" borderId="34" xfId="0" applyBorder="1" applyAlignment="1">
      <alignment horizontal="center" vertical="top"/>
    </xf>
    <xf numFmtId="167" fontId="0" fillId="0" borderId="34" xfId="0" applyNumberFormat="1" applyBorder="1" applyAlignment="1">
      <alignment vertical="top"/>
    </xf>
    <xf numFmtId="0" fontId="0" fillId="0" borderId="34" xfId="0" applyBorder="1" applyAlignment="1">
      <alignment vertical="top" wrapText="1"/>
    </xf>
    <xf numFmtId="0" fontId="0" fillId="0" borderId="34" xfId="0" applyBorder="1" applyAlignment="1">
      <alignment horizontal="center" vertical="top" wrapText="1"/>
    </xf>
    <xf numFmtId="0" fontId="10" fillId="2" borderId="4" xfId="2" applyFont="1" applyFill="1" applyBorder="1" applyAlignment="1" applyProtection="1">
      <alignment vertical="center" wrapText="1"/>
    </xf>
    <xf numFmtId="0" fontId="0" fillId="0" borderId="9" xfId="0" applyBorder="1" applyAlignment="1">
      <alignment vertical="top" wrapText="1"/>
    </xf>
    <xf numFmtId="0" fontId="0" fillId="0" borderId="4" xfId="0" applyBorder="1" applyAlignment="1">
      <alignment vertical="top" wrapText="1"/>
    </xf>
    <xf numFmtId="0" fontId="0" fillId="0" borderId="9" xfId="0" applyBorder="1" applyAlignment="1">
      <alignment vertical="top"/>
    </xf>
    <xf numFmtId="0" fontId="0" fillId="0" borderId="7" xfId="0" applyBorder="1" applyAlignment="1">
      <alignment horizontal="center"/>
    </xf>
    <xf numFmtId="0" fontId="11" fillId="16" borderId="3" xfId="0" quotePrefix="1" applyFont="1" applyFill="1" applyBorder="1" applyAlignment="1">
      <alignment vertical="center" wrapText="1"/>
    </xf>
    <xf numFmtId="0" fontId="11" fillId="17" borderId="3" xfId="0" quotePrefix="1" applyFont="1" applyFill="1" applyBorder="1" applyAlignment="1">
      <alignment vertical="center" wrapText="1"/>
    </xf>
    <xf numFmtId="0" fontId="13" fillId="18" borderId="3" xfId="0" applyFont="1" applyFill="1" applyBorder="1"/>
    <xf numFmtId="0" fontId="11" fillId="19" borderId="3" xfId="0" quotePrefix="1" applyFont="1" applyFill="1" applyBorder="1" applyAlignment="1">
      <alignment vertical="center" wrapText="1"/>
    </xf>
    <xf numFmtId="0" fontId="36" fillId="0" borderId="3" xfId="0" applyFont="1" applyBorder="1" applyAlignment="1">
      <alignment horizontal="center"/>
    </xf>
    <xf numFmtId="0" fontId="35" fillId="0" borderId="1" xfId="2" applyFont="1" applyFill="1" applyBorder="1" applyAlignment="1" applyProtection="1">
      <alignment horizontal="center" vertical="center"/>
    </xf>
    <xf numFmtId="0" fontId="7" fillId="0" borderId="1" xfId="2" applyFont="1" applyFill="1" applyBorder="1" applyAlignment="1" applyProtection="1">
      <alignment horizontal="center" vertical="center"/>
    </xf>
    <xf numFmtId="0" fontId="22" fillId="10" borderId="6" xfId="1" applyFont="1" applyFill="1" applyBorder="1" applyAlignment="1">
      <alignment horizontal="center" vertical="center" wrapText="1"/>
    </xf>
    <xf numFmtId="0" fontId="22" fillId="10" borderId="0" xfId="1" applyFont="1" applyFill="1" applyAlignment="1">
      <alignment horizontal="center" vertical="center" wrapText="1"/>
    </xf>
    <xf numFmtId="0" fontId="17" fillId="7" borderId="34" xfId="1" applyFont="1" applyFill="1" applyBorder="1" applyAlignment="1">
      <alignment horizontal="left" vertical="center"/>
    </xf>
    <xf numFmtId="0" fontId="16" fillId="8" borderId="34" xfId="1" applyFont="1" applyFill="1" applyBorder="1" applyAlignment="1">
      <alignment horizontal="left" vertical="center"/>
    </xf>
    <xf numFmtId="0" fontId="17" fillId="6" borderId="34" xfId="0" applyFont="1" applyFill="1" applyBorder="1" applyAlignment="1">
      <alignment horizontal="left" vertical="center" wrapText="1"/>
    </xf>
    <xf numFmtId="0" fontId="16" fillId="5" borderId="34" xfId="0" applyFont="1" applyFill="1" applyBorder="1" applyAlignment="1">
      <alignment horizontal="left" vertical="center" wrapText="1"/>
    </xf>
    <xf numFmtId="0" fontId="24" fillId="0" borderId="0" xfId="0" applyFont="1" applyAlignment="1">
      <alignment horizontal="center" vertical="center"/>
    </xf>
    <xf numFmtId="0" fontId="30" fillId="0" borderId="9" xfId="0" quotePrefix="1" applyFont="1" applyBorder="1" applyAlignment="1">
      <alignment horizontal="center" vertical="center" wrapText="1"/>
    </xf>
    <xf numFmtId="0" fontId="30" fillId="0" borderId="2" xfId="0" quotePrefix="1" applyFont="1" applyBorder="1" applyAlignment="1">
      <alignment horizontal="center" vertical="center" wrapText="1"/>
    </xf>
    <xf numFmtId="0" fontId="30" fillId="0" borderId="11" xfId="0" quotePrefix="1" applyFont="1" applyBorder="1" applyAlignment="1">
      <alignment horizontal="center" vertical="center" wrapText="1"/>
    </xf>
    <xf numFmtId="0" fontId="27" fillId="0" borderId="12" xfId="0" quotePrefix="1" applyFont="1" applyBorder="1" applyAlignment="1">
      <alignment horizontal="center" vertical="center" wrapText="1"/>
    </xf>
    <xf numFmtId="0" fontId="27" fillId="0" borderId="1" xfId="0" quotePrefix="1" applyFont="1" applyBorder="1" applyAlignment="1">
      <alignment horizontal="center" vertical="center" wrapText="1"/>
    </xf>
    <xf numFmtId="0" fontId="27" fillId="0" borderId="10" xfId="0" quotePrefix="1" applyFont="1" applyBorder="1" applyAlignment="1">
      <alignment horizontal="center" vertical="center" wrapText="1"/>
    </xf>
    <xf numFmtId="0" fontId="29" fillId="14" borderId="9" xfId="0" applyFont="1" applyFill="1" applyBorder="1" applyAlignment="1">
      <alignment horizontal="center" vertical="center"/>
    </xf>
    <xf numFmtId="0" fontId="29" fillId="14" borderId="11" xfId="0" applyFont="1" applyFill="1" applyBorder="1" applyAlignment="1">
      <alignment horizontal="center" vertical="center"/>
    </xf>
    <xf numFmtId="0" fontId="28" fillId="13" borderId="4" xfId="0" applyFont="1" applyFill="1" applyBorder="1" applyAlignment="1">
      <alignment horizontal="center" vertical="center"/>
    </xf>
    <xf numFmtId="0" fontId="28" fillId="13" borderId="7" xfId="0" applyFont="1" applyFill="1" applyBorder="1" applyAlignment="1">
      <alignment horizontal="center" vertical="center"/>
    </xf>
    <xf numFmtId="0" fontId="29" fillId="14" borderId="4" xfId="0" applyFont="1" applyFill="1" applyBorder="1" applyAlignment="1">
      <alignment horizontal="center" vertical="center"/>
    </xf>
    <xf numFmtId="0" fontId="29" fillId="14" borderId="7" xfId="0" applyFont="1" applyFill="1" applyBorder="1" applyAlignment="1">
      <alignment horizontal="center" vertical="center"/>
    </xf>
    <xf numFmtId="0" fontId="28" fillId="13" borderId="4" xfId="0" quotePrefix="1" applyFont="1" applyFill="1" applyBorder="1" applyAlignment="1">
      <alignment horizontal="center" vertical="center"/>
    </xf>
    <xf numFmtId="0" fontId="28" fillId="13" borderId="7" xfId="0" quotePrefix="1" applyFont="1" applyFill="1" applyBorder="1" applyAlignment="1">
      <alignment horizontal="center" vertical="center"/>
    </xf>
    <xf numFmtId="0" fontId="28" fillId="13" borderId="9" xfId="0" applyFont="1" applyFill="1" applyBorder="1" applyAlignment="1">
      <alignment horizontal="center" vertical="center"/>
    </xf>
    <xf numFmtId="0" fontId="28" fillId="13" borderId="11" xfId="0" applyFont="1" applyFill="1" applyBorder="1" applyAlignment="1">
      <alignment horizontal="center" vertical="center"/>
    </xf>
    <xf numFmtId="0" fontId="29" fillId="14" borderId="9" xfId="0" quotePrefix="1" applyFont="1" applyFill="1" applyBorder="1" applyAlignment="1">
      <alignment horizontal="center" vertical="center"/>
    </xf>
    <xf numFmtId="0" fontId="29" fillId="14" borderId="11" xfId="0" quotePrefix="1" applyFont="1" applyFill="1" applyBorder="1" applyAlignment="1">
      <alignment horizontal="center" vertical="center"/>
    </xf>
    <xf numFmtId="0" fontId="23" fillId="0" borderId="0" xfId="0" applyFont="1" applyAlignment="1">
      <alignment horizontal="center" vertical="center"/>
    </xf>
    <xf numFmtId="0" fontId="29" fillId="12" borderId="4" xfId="0" applyFont="1" applyFill="1" applyBorder="1" applyAlignment="1">
      <alignment horizontal="center" vertical="center"/>
    </xf>
    <xf numFmtId="0" fontId="29" fillId="12" borderId="7" xfId="0" applyFont="1" applyFill="1" applyBorder="1" applyAlignment="1">
      <alignment horizontal="center" vertical="center"/>
    </xf>
    <xf numFmtId="0" fontId="26" fillId="0" borderId="0" xfId="0" applyFont="1" applyAlignment="1">
      <alignment horizontal="center" vertical="center" textRotation="90"/>
    </xf>
    <xf numFmtId="0" fontId="26" fillId="0" borderId="5" xfId="0" applyFont="1" applyBorder="1" applyAlignment="1">
      <alignment horizontal="center" vertical="center" textRotation="90"/>
    </xf>
    <xf numFmtId="0" fontId="28" fillId="13" borderId="3" xfId="0" applyFont="1" applyFill="1" applyBorder="1" applyAlignment="1">
      <alignment horizontal="center" vertical="center"/>
    </xf>
    <xf numFmtId="0" fontId="29" fillId="14" borderId="4" xfId="0" quotePrefix="1" applyFont="1" applyFill="1" applyBorder="1" applyAlignment="1">
      <alignment horizontal="center" vertical="center"/>
    </xf>
    <xf numFmtId="0" fontId="29" fillId="14" borderId="7" xfId="0" quotePrefix="1" applyFont="1" applyFill="1" applyBorder="1" applyAlignment="1">
      <alignment horizontal="center" vertical="center"/>
    </xf>
    <xf numFmtId="0" fontId="31" fillId="0" borderId="0" xfId="0" applyFont="1" applyAlignment="1">
      <alignment horizontal="center" vertical="center"/>
    </xf>
    <xf numFmtId="0" fontId="32" fillId="0" borderId="13" xfId="0" quotePrefix="1" applyFont="1" applyBorder="1" applyAlignment="1">
      <alignment horizontal="center" vertical="center" wrapText="1"/>
    </xf>
    <xf numFmtId="0" fontId="28" fillId="13" borderId="13" xfId="0" applyFont="1" applyFill="1" applyBorder="1" applyAlignment="1">
      <alignment horizontal="center" vertical="center"/>
    </xf>
    <xf numFmtId="0" fontId="29" fillId="14" borderId="13" xfId="0" quotePrefix="1" applyFont="1" applyFill="1" applyBorder="1" applyAlignment="1">
      <alignment horizontal="center" vertical="center"/>
    </xf>
    <xf numFmtId="0" fontId="29" fillId="14" borderId="13" xfId="0" applyFont="1" applyFill="1" applyBorder="1" applyAlignment="1">
      <alignment horizontal="center" vertical="center"/>
    </xf>
    <xf numFmtId="0" fontId="28" fillId="13" borderId="13" xfId="0" quotePrefix="1" applyFont="1" applyFill="1" applyBorder="1" applyAlignment="1">
      <alignment horizontal="center" vertical="center"/>
    </xf>
    <xf numFmtId="0" fontId="31" fillId="0" borderId="0" xfId="0" applyFont="1" applyAlignment="1">
      <alignment horizontal="right" vertical="center" textRotation="90"/>
    </xf>
    <xf numFmtId="0" fontId="29" fillId="12" borderId="13" xfId="0" applyFont="1" applyFill="1" applyBorder="1" applyAlignment="1">
      <alignment horizontal="center" vertical="center"/>
    </xf>
    <xf numFmtId="0" fontId="25" fillId="6" borderId="1" xfId="2" applyFont="1" applyFill="1" applyBorder="1" applyAlignment="1" applyProtection="1">
      <alignment horizontal="center" vertical="center"/>
    </xf>
    <xf numFmtId="0" fontId="0" fillId="0" borderId="34" xfId="0" applyBorder="1" applyAlignment="1">
      <alignment horizontal="center" vertical="center" wrapText="1"/>
    </xf>
    <xf numFmtId="0" fontId="0" fillId="0" borderId="37" xfId="0" applyBorder="1" applyAlignment="1">
      <alignment horizontal="center" vertical="center" wrapText="1"/>
    </xf>
    <xf numFmtId="0" fontId="0" fillId="0" borderId="33" xfId="0" applyBorder="1" applyAlignment="1">
      <alignment horizontal="center" vertical="center" wrapText="1"/>
    </xf>
    <xf numFmtId="0" fontId="13" fillId="0" borderId="34" xfId="0" applyFont="1" applyBorder="1" applyAlignment="1">
      <alignment horizontal="center"/>
    </xf>
    <xf numFmtId="0" fontId="13" fillId="0" borderId="37" xfId="0" applyFont="1" applyBorder="1" applyAlignment="1">
      <alignment horizontal="center"/>
    </xf>
    <xf numFmtId="0" fontId="13" fillId="0" borderId="33" xfId="0" applyFont="1" applyBorder="1" applyAlignment="1">
      <alignment horizontal="center"/>
    </xf>
    <xf numFmtId="0" fontId="18" fillId="0" borderId="0" xfId="0" applyFont="1" applyAlignment="1">
      <alignment horizontal="center" vertical="center" wrapText="1"/>
    </xf>
    <xf numFmtId="0" fontId="13" fillId="0" borderId="1" xfId="0" applyFont="1" applyBorder="1" applyAlignment="1">
      <alignment horizontal="center"/>
    </xf>
    <xf numFmtId="0" fontId="34" fillId="0" borderId="0" xfId="0" applyFont="1" applyAlignment="1">
      <alignment horizontal="center"/>
    </xf>
    <xf numFmtId="0" fontId="3" fillId="15" borderId="35" xfId="0" applyFont="1" applyFill="1" applyBorder="1" applyAlignment="1">
      <alignment horizontal="center"/>
    </xf>
    <xf numFmtId="0" fontId="3" fillId="15" borderId="36" xfId="0" applyFont="1" applyFill="1" applyBorder="1" applyAlignment="1">
      <alignment horizontal="center"/>
    </xf>
    <xf numFmtId="0" fontId="3" fillId="15" borderId="29" xfId="0" applyFont="1" applyFill="1" applyBorder="1" applyAlignment="1">
      <alignment horizontal="center"/>
    </xf>
    <xf numFmtId="0" fontId="3" fillId="15" borderId="32" xfId="0" applyFont="1" applyFill="1" applyBorder="1" applyAlignment="1">
      <alignment horizontal="center"/>
    </xf>
    <xf numFmtId="0" fontId="3" fillId="15" borderId="30" xfId="0" applyFont="1" applyFill="1" applyBorder="1" applyAlignment="1">
      <alignment horizontal="center"/>
    </xf>
    <xf numFmtId="0" fontId="3" fillId="15" borderId="31" xfId="0" applyFont="1" applyFill="1" applyBorder="1" applyAlignment="1">
      <alignment horizontal="center"/>
    </xf>
  </cellXfs>
  <cellStyles count="5">
    <cellStyle name="% 2" xfId="4" xr:uid="{FDA5B7BA-44B0-470D-AD1A-EAC352803EBA}"/>
    <cellStyle name="Hyperlink 2" xfId="3" xr:uid="{BCDF27FF-64D2-47D0-841B-B8585D46FAFA}"/>
    <cellStyle name="Normal" xfId="0" builtinId="0"/>
    <cellStyle name="Normal 2" xfId="1" xr:uid="{4B63B38A-3E55-482E-B2C3-EB25CAF41629}"/>
    <cellStyle name="Title 2" xfId="2" xr:uid="{90969FF0-57EA-47EC-A937-E19DA0FE550E}"/>
  </cellStyles>
  <dxfs count="53">
    <dxf>
      <fill>
        <patternFill patternType="solid">
          <fgColor auto="1"/>
          <bgColor theme="4" tint="-0.499984740745262"/>
        </patternFill>
      </fill>
      <border>
        <top/>
        <bottom style="thin">
          <color theme="0"/>
        </bottom>
      </border>
    </dxf>
    <dxf>
      <numFmt numFmtId="0" formatCode="General"/>
    </dxf>
    <dxf>
      <numFmt numFmtId="0" formatCode="General"/>
    </dxf>
    <dxf>
      <numFmt numFmtId="0" formatCode="General"/>
    </dxf>
    <dxf>
      <numFmt numFmtId="164" formatCode="[$-409]d\-mmm\-yy;@"/>
    </dxf>
    <dxf>
      <numFmt numFmtId="165" formatCode="[$-409]dd\-mmm\-yy;@"/>
    </dxf>
    <dxf>
      <font>
        <b/>
        <i val="0"/>
        <strike val="0"/>
        <condense val="0"/>
        <extend val="0"/>
        <outline val="0"/>
        <shadow val="0"/>
        <u val="none"/>
        <vertAlign val="baseline"/>
        <sz val="10"/>
        <color auto="1"/>
        <name val="Segoe UI"/>
        <family val="2"/>
        <scheme val="none"/>
      </font>
      <fill>
        <patternFill patternType="solid">
          <fgColor indexed="64"/>
          <bgColor theme="2" tint="-9.9978637043366805E-2"/>
        </patternFill>
      </fill>
      <alignment horizontal="general" vertical="center" textRotation="0" wrapText="1" indent="0" justifyLastLine="0" shrinkToFit="0" readingOrder="0"/>
      <protection locked="1" hidden="0"/>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alignment horizontal="right"/>
    </dxf>
    <dxf>
      <alignment horizontal="right"/>
    </dxf>
    <dxf>
      <numFmt numFmtId="165" formatCode="[$-409]dd\-mmm\-yy;@"/>
    </dxf>
    <dxf>
      <numFmt numFmtId="164" formatCode="[$-409]d\-mmm\-yy;@"/>
    </dxf>
    <dxf>
      <alignment vertical="top" textRotation="0" wrapText="0" indent="0" justifyLastLine="0" shrinkToFit="0" readingOrder="0"/>
    </dxf>
    <dxf>
      <numFmt numFmtId="0" formatCode="General"/>
      <alignment vertical="top" textRotation="0" wrapText="1" indent="0" justifyLastLine="0" shrinkToFit="0" readingOrder="0"/>
    </dxf>
    <dxf>
      <alignment horizontal="general" vertical="top" textRotation="0" wrapText="0" indent="0" justifyLastLine="0" shrinkToFit="0" readingOrder="0"/>
    </dxf>
    <dxf>
      <numFmt numFmtId="167" formatCode="[$-409]d\-mmm\-yyyy;@"/>
      <alignment vertical="top" textRotation="0" wrapText="0" indent="0" justifyLastLine="0" shrinkToFit="0" readingOrder="0"/>
    </dxf>
    <dxf>
      <numFmt numFmtId="0" formatCode="General"/>
      <alignment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numFmt numFmtId="0" formatCode="General"/>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horizontal="general"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alignment vertical="top" textRotation="0" wrapText="0" indent="0" justifyLastLine="0" shrinkToFit="0" readingOrder="0"/>
    </dxf>
    <dxf>
      <border>
        <bottom style="thin">
          <color indexed="64"/>
        </bottom>
      </border>
    </dxf>
    <dxf>
      <font>
        <b/>
        <i val="0"/>
        <strike val="0"/>
        <condense val="0"/>
        <extend val="0"/>
        <outline val="0"/>
        <shadow val="0"/>
        <u val="none"/>
        <vertAlign val="baseline"/>
        <sz val="10"/>
        <color rgb="FF0070C0"/>
        <name val="Segoe UI"/>
        <family val="2"/>
        <scheme val="none"/>
      </font>
      <fill>
        <patternFill patternType="solid">
          <fgColor indexed="64"/>
          <bgColor rgb="FFF3FAFF"/>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b/>
        <color theme="1"/>
      </font>
      <border>
        <bottom style="thin">
          <color theme="4"/>
        </bottom>
        <vertical/>
        <horizontal/>
      </border>
    </dxf>
    <dxf>
      <font>
        <sz val="11"/>
        <color theme="1"/>
        <name val="Segoe UI"/>
        <family val="2"/>
        <scheme val="none"/>
      </font>
      <border diagonalUp="0" diagonalDown="0">
        <left/>
        <right/>
        <top/>
        <bottom/>
        <vertical/>
        <horizontal/>
      </border>
    </dxf>
    <dxf>
      <fill>
        <patternFill>
          <bgColor theme="0"/>
        </patternFill>
      </fill>
    </dxf>
    <dxf>
      <fill>
        <patternFill>
          <bgColor rgb="FFEFF6FE"/>
        </patternFill>
      </fill>
    </dxf>
    <dxf>
      <font>
        <b/>
        <i val="0"/>
      </font>
      <fill>
        <patternFill>
          <bgColor theme="4" tint="0.79998168889431442"/>
        </patternFill>
      </fill>
      <border>
        <left style="double">
          <color auto="1"/>
        </left>
        <right style="double">
          <color auto="1"/>
        </right>
        <top style="double">
          <color auto="1"/>
        </top>
        <bottom style="double">
          <color auto="1"/>
        </bottom>
      </border>
    </dxf>
    <dxf>
      <font>
        <b/>
        <i val="0"/>
      </font>
      <fill>
        <patternFill>
          <bgColor theme="4" tint="0.79998168889431442"/>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Custom Blue" pivot="0" count="5" xr9:uid="{3E7C2CE2-D3B8-46DC-821E-7938FE0D5890}">
      <tableStyleElement type="wholeTable" dxfId="52"/>
      <tableStyleElement type="headerRow" dxfId="51"/>
      <tableStyleElement type="totalRow" dxfId="50"/>
      <tableStyleElement type="firstRowStripe" dxfId="49"/>
      <tableStyleElement type="secondRowStripe" dxfId="48"/>
    </tableStyle>
    <tableStyle name="Custom slicer" pivot="0" table="0" count="10" xr9:uid="{07302A2B-CDBB-4F82-9327-9AF5F0D9D528}">
      <tableStyleElement type="wholeTable" dxfId="47"/>
      <tableStyleElement type="headerRow" dxfId="46"/>
    </tableStyle>
  </tableStyles>
  <colors>
    <mruColors>
      <color rgb="FFFF3300"/>
      <color rgb="FFFF6600"/>
      <color rgb="FFF28986"/>
      <color rgb="FF9BC2E6"/>
      <color rgb="FFF5F6FD"/>
      <color rgb="FF800000"/>
      <color rgb="FFFFDCD1"/>
      <color rgb="FF252B42"/>
      <color rgb="FFA29BFE"/>
      <color rgb="FFFF5E8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pivotCacheDefinition" Target="pivotCache/pivotCacheDefinition1.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 Id="rId22" Type="http://schemas.openxmlformats.org/officeDocument/2006/relationships/customXml" Target="../customXml/item8.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E86D4"/>
              </a:gs>
              <a:gs pos="100000">
                <a:srgbClr val="68BBE3"/>
              </a:gs>
            </a:gsLst>
            <a:lin ang="5400000" scaled="1"/>
          </a:gradFill>
          <a:ln w="19050">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rgbClr val="055C9D"/>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29BFE"/>
          </a:solidFill>
          <a:ln w="12700">
            <a:solidFill>
              <a:srgbClr val="252B42"/>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800000"/>
          </a:solidFill>
          <a:ln w="12700">
            <a:solidFill>
              <a:srgbClr val="252B42"/>
            </a:solidFill>
          </a:ln>
          <a:effectLst/>
        </c:spPr>
        <c:dLbl>
          <c:idx val="0"/>
          <c:layout>
            <c:manualLayout>
              <c:x val="0.11560927218778835"/>
              <c:y val="-5.7502255944805104E-2"/>
            </c:manualLayout>
          </c:layout>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2700">
            <a:solidFill>
              <a:srgbClr val="252B42"/>
            </a:solidFill>
          </a:ln>
          <a:effectLst/>
        </c:spPr>
        <c:dLbl>
          <c:idx val="0"/>
          <c:layout>
            <c:manualLayout>
              <c:x val="9.869084211152665E-2"/>
              <c:y val="0.11212939909236991"/>
            </c:manualLayout>
          </c:layout>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FFDCD1"/>
          </a:solidFill>
          <a:ln w="12700">
            <a:solidFill>
              <a:srgbClr val="252B42"/>
            </a:solidFill>
          </a:ln>
          <a:effectLst/>
        </c:spPr>
        <c:dLbl>
          <c:idx val="0"/>
          <c:layout>
            <c:manualLayout>
              <c:x val="-0.13111783309102826"/>
              <c:y val="8.6253383917207618E-2"/>
            </c:manualLayout>
          </c:layout>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757659697102377"/>
          <c:y val="0.1050258330016766"/>
          <c:w val="0.45105767595910179"/>
          <c:h val="0.81978928818998753"/>
        </c:manualLayout>
      </c:layout>
      <c:doughnutChart>
        <c:varyColors val="1"/>
        <c:ser>
          <c:idx val="0"/>
          <c:order val="0"/>
          <c:tx>
            <c:v>Series1</c:v>
          </c:tx>
          <c:spPr>
            <a:solidFill>
              <a:srgbClr val="A29BFE"/>
            </a:solidFill>
            <a:ln w="12700">
              <a:solidFill>
                <a:srgbClr val="252B42"/>
              </a:solidFill>
            </a:ln>
          </c:spPr>
          <c:explosion val="1"/>
          <c:dPt>
            <c:idx val="0"/>
            <c:bubble3D val="0"/>
            <c:spPr>
              <a:solidFill>
                <a:srgbClr val="800000"/>
              </a:solidFill>
              <a:ln w="12700">
                <a:solidFill>
                  <a:srgbClr val="252B42"/>
                </a:solidFill>
              </a:ln>
              <a:effectLst/>
            </c:spPr>
            <c:extLst>
              <c:ext xmlns:c16="http://schemas.microsoft.com/office/drawing/2014/chart" uri="{C3380CC4-5D6E-409C-BE32-E72D297353CC}">
                <c16:uniqueId val="{00000000-2677-4890-A92F-15BB0A2DBBF1}"/>
              </c:ext>
            </c:extLst>
          </c:dPt>
          <c:dPt>
            <c:idx val="1"/>
            <c:bubble3D val="0"/>
            <c:spPr>
              <a:solidFill>
                <a:schemeClr val="accent6">
                  <a:lumMod val="75000"/>
                </a:schemeClr>
              </a:solidFill>
              <a:ln w="12700">
                <a:solidFill>
                  <a:srgbClr val="252B42"/>
                </a:solidFill>
              </a:ln>
              <a:effectLst/>
            </c:spPr>
            <c:extLst>
              <c:ext xmlns:c16="http://schemas.microsoft.com/office/drawing/2014/chart" uri="{C3380CC4-5D6E-409C-BE32-E72D297353CC}">
                <c16:uniqueId val="{00000001-2677-4890-A92F-15BB0A2DBBF1}"/>
              </c:ext>
            </c:extLst>
          </c:dPt>
          <c:dPt>
            <c:idx val="2"/>
            <c:bubble3D val="0"/>
            <c:spPr>
              <a:solidFill>
                <a:srgbClr val="FFDCD1"/>
              </a:solidFill>
              <a:ln w="12700">
                <a:solidFill>
                  <a:srgbClr val="252B42"/>
                </a:solidFill>
              </a:ln>
              <a:effectLst/>
            </c:spPr>
            <c:extLst>
              <c:ext xmlns:c16="http://schemas.microsoft.com/office/drawing/2014/chart" uri="{C3380CC4-5D6E-409C-BE32-E72D297353CC}">
                <c16:uniqueId val="{00000002-2677-4890-A92F-15BB0A2DBBF1}"/>
              </c:ext>
            </c:extLst>
          </c:dPt>
          <c:dLbls>
            <c:dLbl>
              <c:idx val="0"/>
              <c:layout>
                <c:manualLayout>
                  <c:x val="0.11560927218778835"/>
                  <c:y val="-5.7502255944805104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677-4890-A92F-15BB0A2DBBF1}"/>
                </c:ext>
              </c:extLst>
            </c:dLbl>
            <c:dLbl>
              <c:idx val="1"/>
              <c:layout>
                <c:manualLayout>
                  <c:x val="9.869084211152665E-2"/>
                  <c:y val="0.1121293990923699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677-4890-A92F-15BB0A2DBBF1}"/>
                </c:ext>
              </c:extLst>
            </c:dLbl>
            <c:dLbl>
              <c:idx val="2"/>
              <c:layout>
                <c:manualLayout>
                  <c:x val="-0.13111783309102826"/>
                  <c:y val="8.625338391720761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677-4890-A92F-15BB0A2DBBF1}"/>
                </c:ext>
              </c:extLst>
            </c:dLbl>
            <c:spPr>
              <a:noFill/>
              <a:ln>
                <a:noFill/>
              </a:ln>
              <a:effectLst/>
            </c:spPr>
            <c:txPr>
              <a:bodyPr rot="0" spcFirstLastPara="1" vertOverflow="ellipsis" vert="horz" wrap="square" lIns="38100" tIns="19050" rIns="38100" bIns="19050" anchor="t" anchorCtr="0">
                <a:spAutoFit/>
              </a:bodyPr>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High</c:v>
              </c:pt>
              <c:pt idx="1">
                <c:v>Low</c:v>
              </c:pt>
              <c:pt idx="2">
                <c:v>Medium</c:v>
              </c:pt>
            </c:strLit>
          </c:cat>
          <c:val>
            <c:numLit>
              <c:formatCode>General</c:formatCode>
              <c:ptCount val="3"/>
              <c:pt idx="0">
                <c:v>5</c:v>
              </c:pt>
              <c:pt idx="1">
                <c:v>3</c:v>
              </c:pt>
              <c:pt idx="2">
                <c:v>12</c:v>
              </c:pt>
            </c:numLit>
          </c:val>
          <c:extLst>
            <c:ext xmlns:c16="http://schemas.microsoft.com/office/drawing/2014/chart" uri="{C3380CC4-5D6E-409C-BE32-E72D297353CC}">
              <c16:uniqueId val="{00000000-6DA2-4A63-9DC1-226406D58D05}"/>
            </c:ext>
          </c:extLst>
        </c:ser>
        <c:dLbls>
          <c:showLegendKey val="0"/>
          <c:showVal val="0"/>
          <c:showCatName val="0"/>
          <c:showSerName val="0"/>
          <c:showPercent val="0"/>
          <c:showBubbleSize val="0"/>
          <c:showLeaderLines val="1"/>
        </c:dLbls>
        <c:firstSliceAng val="11"/>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rgbClr val="003060"/>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3060"/>
          </a:solidFill>
          <a:ln>
            <a:solidFill>
              <a:schemeClr val="bg1"/>
            </a:solidFill>
          </a:ln>
          <a:effectLst/>
        </c:spPr>
      </c:pivotFmt>
      <c:pivotFmt>
        <c:idx val="7"/>
        <c:spPr>
          <a:solidFill>
            <a:srgbClr val="0E86D4"/>
          </a:solidFill>
          <a:ln>
            <a:noFill/>
          </a:ln>
          <a:effectLst/>
        </c:spPr>
      </c:pivotFmt>
      <c:pivotFmt>
        <c:idx val="8"/>
        <c:spPr>
          <a:solidFill>
            <a:srgbClr val="68BBE3"/>
          </a:solidFill>
          <a:ln>
            <a:noFill/>
          </a:ln>
          <a:effectLst/>
        </c:spPr>
      </c:pivotFmt>
    </c:pivotFmts>
    <c:plotArea>
      <c:layout>
        <c:manualLayout>
          <c:layoutTarget val="inner"/>
          <c:xMode val="edge"/>
          <c:yMode val="edge"/>
          <c:x val="0.17976905032231796"/>
          <c:y val="5.8333361170776032E-2"/>
          <c:w val="0.66343008426346983"/>
          <c:h val="0.82426222425621132"/>
        </c:manualLayout>
      </c:layout>
      <c:doughnutChart>
        <c:varyColors val="1"/>
        <c:dLbls>
          <c:showLegendKey val="0"/>
          <c:showVal val="0"/>
          <c:showCatName val="0"/>
          <c:showSerName val="0"/>
          <c:showPercent val="0"/>
          <c:showBubbleSize val="0"/>
          <c:showLeaderLines val="0"/>
        </c:dLbls>
        <c:firstSliceAng val="0"/>
        <c:holeSize val="74"/>
      </c:doughnutChart>
      <c:spPr>
        <a:noFill/>
        <a:ln>
          <a:noFill/>
        </a:ln>
        <a:effectLst/>
      </c:spPr>
    </c:plotArea>
    <c:legend>
      <c:legendPos val="b"/>
      <c:layout>
        <c:manualLayout>
          <c:xMode val="edge"/>
          <c:yMode val="edge"/>
          <c:x val="4.2747806555208483E-2"/>
          <c:y val="0.82958223888567972"/>
          <c:w val="0.95725219344479151"/>
          <c:h val="0.146688942277001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29BFE"/>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rgbClr val="A29BFE"/>
            </a:solid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Ransomware</c:v>
              </c:pt>
              <c:pt idx="1">
                <c:v>Non-compliance</c:v>
              </c:pt>
              <c:pt idx="2">
                <c:v>Identity and Access</c:v>
              </c:pt>
              <c:pt idx="3">
                <c:v>Social Engineering</c:v>
              </c:pt>
              <c:pt idx="4">
                <c:v>Data breach</c:v>
              </c:pt>
              <c:pt idx="5">
                <c:v>Supply Chain </c:v>
              </c:pt>
              <c:pt idx="6">
                <c:v>Insider Threats</c:v>
              </c:pt>
              <c:pt idx="7">
                <c:v>System Vulnerabilities</c:v>
              </c:pt>
            </c:strLit>
          </c:cat>
          <c:val>
            <c:numLit>
              <c:formatCode>General</c:formatCode>
              <c:ptCount val="8"/>
              <c:pt idx="0">
                <c:v>1</c:v>
              </c:pt>
              <c:pt idx="1">
                <c:v>2</c:v>
              </c:pt>
              <c:pt idx="2">
                <c:v>2</c:v>
              </c:pt>
              <c:pt idx="3">
                <c:v>2</c:v>
              </c:pt>
              <c:pt idx="4">
                <c:v>2</c:v>
              </c:pt>
              <c:pt idx="5">
                <c:v>2</c:v>
              </c:pt>
              <c:pt idx="6">
                <c:v>2</c:v>
              </c:pt>
              <c:pt idx="7">
                <c:v>4</c:v>
              </c:pt>
            </c:numLit>
          </c:val>
          <c:extLst>
            <c:ext xmlns:c16="http://schemas.microsoft.com/office/drawing/2014/chart" uri="{C3380CC4-5D6E-409C-BE32-E72D297353CC}">
              <c16:uniqueId val="{00000000-D04A-40CC-9333-D59F8F910A4E}"/>
            </c:ext>
          </c:extLst>
        </c:ser>
        <c:dLbls>
          <c:showLegendKey val="0"/>
          <c:showVal val="0"/>
          <c:showCatName val="0"/>
          <c:showSerName val="0"/>
          <c:showPercent val="0"/>
          <c:showBubbleSize val="0"/>
        </c:dLbls>
        <c:gapWidth val="219"/>
        <c:axId val="1043159680"/>
        <c:axId val="1043158720"/>
      </c:barChart>
      <c:catAx>
        <c:axId val="1043159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43158720"/>
        <c:crosses val="autoZero"/>
        <c:auto val="1"/>
        <c:lblAlgn val="ctr"/>
        <c:lblOffset val="100"/>
        <c:noMultiLvlLbl val="0"/>
      </c:catAx>
      <c:valAx>
        <c:axId val="1043158720"/>
        <c:scaling>
          <c:orientation val="minMax"/>
        </c:scaling>
        <c:delete val="1"/>
        <c:axPos val="b"/>
        <c:numFmt formatCode="General" sourceLinked="1"/>
        <c:majorTickMark val="none"/>
        <c:minorTickMark val="none"/>
        <c:tickLblPos val="nextTo"/>
        <c:crossAx val="104315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val>
            <c:numRef>
              <c:f>#REF!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FD5-4333-8174-94446BA23B59}"/>
            </c:ext>
          </c:extLst>
        </c:ser>
        <c:dLbls>
          <c:showLegendKey val="0"/>
          <c:showVal val="0"/>
          <c:showCatName val="0"/>
          <c:showSerName val="0"/>
          <c:showPercent val="0"/>
          <c:showBubbleSize val="0"/>
        </c:dLbls>
        <c:gapWidth val="150"/>
        <c:axId val="1200276624"/>
        <c:axId val="1200266544"/>
      </c:barChart>
      <c:catAx>
        <c:axId val="12002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Segoe UI" panose="020B0502040204020203" pitchFamily="34" charset="0"/>
                <a:ea typeface="Segoe UI Black" panose="020B0A02040204020203" pitchFamily="34" charset="0"/>
                <a:cs typeface="Segoe UI" panose="020B0502040204020203" pitchFamily="34" charset="0"/>
              </a:defRPr>
            </a:pPr>
            <a:endParaRPr lang="en-US"/>
          </a:p>
        </c:txPr>
        <c:crossAx val="1200266544"/>
        <c:crosses val="autoZero"/>
        <c:auto val="1"/>
        <c:lblAlgn val="ctr"/>
        <c:lblOffset val="100"/>
        <c:noMultiLvlLbl val="0"/>
      </c:catAx>
      <c:valAx>
        <c:axId val="1200266544"/>
        <c:scaling>
          <c:orientation val="minMax"/>
        </c:scaling>
        <c:delete val="1"/>
        <c:axPos val="l"/>
        <c:numFmt formatCode="General" sourceLinked="1"/>
        <c:majorTickMark val="none"/>
        <c:minorTickMark val="none"/>
        <c:tickLblPos val="nextTo"/>
        <c:crossAx val="1200276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6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699-4BF7-AE76-A4A6DB2A26A7}"/>
            </c:ext>
          </c:extLst>
        </c:ser>
        <c:dLbls>
          <c:showLegendKey val="0"/>
          <c:showVal val="0"/>
          <c:showCatName val="0"/>
          <c:showSerName val="0"/>
          <c:showPercent val="0"/>
          <c:showBubbleSize val="0"/>
        </c:dLbls>
        <c:smooth val="0"/>
        <c:axId val="421097072"/>
        <c:axId val="421098032"/>
      </c:lineChart>
      <c:catAx>
        <c:axId val="421097072"/>
        <c:scaling>
          <c:orientation val="minMax"/>
        </c:scaling>
        <c:delete val="0"/>
        <c:axPos val="b"/>
        <c:majorGridlines>
          <c:spPr>
            <a:ln w="9525" cap="flat" cmpd="sng" algn="ctr">
              <a:solidFill>
                <a:schemeClr val="tx1">
                  <a:lumMod val="15000"/>
                  <a:lumOff val="85000"/>
                </a:schemeClr>
              </a:solidFill>
              <a:prstDash val="sysDot"/>
              <a:round/>
            </a:ln>
            <a:effectLst/>
          </c:spPr>
        </c:majorGridlines>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21098032"/>
        <c:crosses val="autoZero"/>
        <c:auto val="1"/>
        <c:lblAlgn val="ctr"/>
        <c:lblOffset val="100"/>
        <c:noMultiLvlLbl val="1"/>
      </c:catAx>
      <c:valAx>
        <c:axId val="421098032"/>
        <c:scaling>
          <c:orientation val="minMax"/>
        </c:scaling>
        <c:delete val="1"/>
        <c:axPos val="l"/>
        <c:numFmt formatCode="General" sourceLinked="1"/>
        <c:majorTickMark val="none"/>
        <c:minorTickMark val="none"/>
        <c:tickLblPos val="nextTo"/>
        <c:crossAx val="4210970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600">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582631</xdr:colOff>
      <xdr:row>53</xdr:row>
      <xdr:rowOff>150172</xdr:rowOff>
    </xdr:from>
    <xdr:to>
      <xdr:col>14</xdr:col>
      <xdr:colOff>242454</xdr:colOff>
      <xdr:row>84</xdr:row>
      <xdr:rowOff>41563</xdr:rowOff>
    </xdr:to>
    <xdr:grpSp>
      <xdr:nvGrpSpPr>
        <xdr:cNvPr id="3" name="Group 2">
          <a:extLst>
            <a:ext uri="{FF2B5EF4-FFF2-40B4-BE49-F238E27FC236}">
              <a16:creationId xmlns:a16="http://schemas.microsoft.com/office/drawing/2014/main" id="{33C9ED7B-1AED-3BCE-97DC-44E06C2DC9BA}"/>
            </a:ext>
          </a:extLst>
        </xdr:cNvPr>
        <xdr:cNvGrpSpPr/>
      </xdr:nvGrpSpPr>
      <xdr:grpSpPr>
        <a:xfrm>
          <a:off x="582631" y="10246672"/>
          <a:ext cx="8518073" cy="5796891"/>
          <a:chOff x="4801375" y="1700891"/>
          <a:chExt cx="5274944" cy="5592537"/>
        </a:xfrm>
      </xdr:grpSpPr>
      <xdr:sp macro="" textlink="">
        <xdr:nvSpPr>
          <xdr:cNvPr id="9" name="Rectangle: Rounded Corners 8">
            <a:extLst>
              <a:ext uri="{FF2B5EF4-FFF2-40B4-BE49-F238E27FC236}">
                <a16:creationId xmlns:a16="http://schemas.microsoft.com/office/drawing/2014/main" id="{09510BB3-45F8-BC6C-19F6-A9CF146F1C30}"/>
              </a:ext>
            </a:extLst>
          </xdr:cNvPr>
          <xdr:cNvSpPr/>
        </xdr:nvSpPr>
        <xdr:spPr>
          <a:xfrm>
            <a:off x="4942746" y="1700891"/>
            <a:ext cx="5133573" cy="5592537"/>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8" name="Chart 7">
            <a:extLst>
              <a:ext uri="{FF2B5EF4-FFF2-40B4-BE49-F238E27FC236}">
                <a16:creationId xmlns:a16="http://schemas.microsoft.com/office/drawing/2014/main" id="{AB68E320-1FFD-4AB7-83B3-3F3B39D1929A}"/>
              </a:ext>
            </a:extLst>
          </xdr:cNvPr>
          <xdr:cNvGraphicFramePr>
            <a:graphicFrameLocks/>
          </xdr:cNvGraphicFramePr>
        </xdr:nvGraphicFramePr>
        <xdr:xfrm>
          <a:off x="4801375" y="2617675"/>
          <a:ext cx="5213094" cy="441721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 name="TextBox 9">
            <a:extLst>
              <a:ext uri="{FF2B5EF4-FFF2-40B4-BE49-F238E27FC236}">
                <a16:creationId xmlns:a16="http://schemas.microsoft.com/office/drawing/2014/main" id="{C0241363-C737-AE5F-D619-FF3DF314C1DA}"/>
              </a:ext>
            </a:extLst>
          </xdr:cNvPr>
          <xdr:cNvSpPr txBox="1"/>
        </xdr:nvSpPr>
        <xdr:spPr>
          <a:xfrm>
            <a:off x="5039941" y="1870979"/>
            <a:ext cx="374487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5E8D"/>
                </a:solidFill>
                <a:latin typeface="Segoe UI Black" panose="020B0A02040204020203" pitchFamily="34" charset="0"/>
                <a:ea typeface="Segoe UI Black" panose="020B0A02040204020203" pitchFamily="34" charset="0"/>
              </a:rPr>
              <a:t>Active Risks - by Risk</a:t>
            </a:r>
            <a:r>
              <a:rPr lang="en-US" sz="1800" b="1" baseline="0">
                <a:solidFill>
                  <a:srgbClr val="FF5E8D"/>
                </a:solidFill>
                <a:latin typeface="Segoe UI Black" panose="020B0A02040204020203" pitchFamily="34" charset="0"/>
                <a:ea typeface="Segoe UI Black" panose="020B0A02040204020203" pitchFamily="34" charset="0"/>
              </a:rPr>
              <a:t> Levels</a:t>
            </a:r>
            <a:endParaRPr lang="en-US" sz="1800" b="1">
              <a:solidFill>
                <a:srgbClr val="FF5E8D"/>
              </a:solidFill>
              <a:latin typeface="Segoe UI Black" panose="020B0A02040204020203" pitchFamily="34" charset="0"/>
              <a:ea typeface="Segoe UI Black" panose="020B0A02040204020203" pitchFamily="34" charset="0"/>
            </a:endParaRPr>
          </a:p>
        </xdr:txBody>
      </xdr:sp>
      <xdr:cxnSp macro="">
        <xdr:nvCxnSpPr>
          <xdr:cNvPr id="26" name="Straight Connector 25">
            <a:extLst>
              <a:ext uri="{FF2B5EF4-FFF2-40B4-BE49-F238E27FC236}">
                <a16:creationId xmlns:a16="http://schemas.microsoft.com/office/drawing/2014/main" id="{E47032E7-33D4-2758-F5AE-890E1FE72E66}"/>
              </a:ext>
            </a:extLst>
          </xdr:cNvPr>
          <xdr:cNvCxnSpPr/>
        </xdr:nvCxnSpPr>
        <xdr:spPr>
          <a:xfrm flipV="1">
            <a:off x="5140114" y="2604879"/>
            <a:ext cx="4393842"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27" name="TextBox 26">
            <a:extLst>
              <a:ext uri="{FF2B5EF4-FFF2-40B4-BE49-F238E27FC236}">
                <a16:creationId xmlns:a16="http://schemas.microsoft.com/office/drawing/2014/main" id="{70096551-8169-B57E-FFA5-C1792B381FA8}"/>
              </a:ext>
            </a:extLst>
          </xdr:cNvPr>
          <xdr:cNvSpPr txBox="1"/>
        </xdr:nvSpPr>
        <xdr:spPr>
          <a:xfrm>
            <a:off x="5057143"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Shows</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the number of risks according to each Level</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xdr:col>
      <xdr:colOff>285748</xdr:colOff>
      <xdr:row>15</xdr:row>
      <xdr:rowOff>136071</xdr:rowOff>
    </xdr:from>
    <xdr:to>
      <xdr:col>7</xdr:col>
      <xdr:colOff>136070</xdr:colOff>
      <xdr:row>88</xdr:row>
      <xdr:rowOff>108856</xdr:rowOff>
    </xdr:to>
    <xdr:graphicFrame macro="">
      <xdr:nvGraphicFramePr>
        <xdr:cNvPr id="31" name="Donutchart">
          <a:extLst>
            <a:ext uri="{FF2B5EF4-FFF2-40B4-BE49-F238E27FC236}">
              <a16:creationId xmlns:a16="http://schemas.microsoft.com/office/drawing/2014/main" id="{B2E5149B-3F1B-42ED-A6C8-CDC357F5F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190502</xdr:colOff>
      <xdr:row>7</xdr:row>
      <xdr:rowOff>108855</xdr:rowOff>
    </xdr:from>
    <xdr:to>
      <xdr:col>5</xdr:col>
      <xdr:colOff>435428</xdr:colOff>
      <xdr:row>20</xdr:row>
      <xdr:rowOff>146276</xdr:rowOff>
    </xdr:to>
    <xdr:grpSp>
      <xdr:nvGrpSpPr>
        <xdr:cNvPr id="24" name="Group 23">
          <a:extLst>
            <a:ext uri="{FF2B5EF4-FFF2-40B4-BE49-F238E27FC236}">
              <a16:creationId xmlns:a16="http://schemas.microsoft.com/office/drawing/2014/main" id="{F87C2499-17C0-9B1B-3F3E-A47B794F7A37}"/>
            </a:ext>
          </a:extLst>
        </xdr:cNvPr>
        <xdr:cNvGrpSpPr/>
      </xdr:nvGrpSpPr>
      <xdr:grpSpPr>
        <a:xfrm>
          <a:off x="800102" y="1442355"/>
          <a:ext cx="3007176" cy="2513921"/>
          <a:chOff x="892971" y="1700890"/>
          <a:chExt cx="2998142" cy="2513921"/>
        </a:xfrm>
      </xdr:grpSpPr>
      <xdr:sp macro="" textlink="">
        <xdr:nvSpPr>
          <xdr:cNvPr id="7" name="Rectangle: Rounded Corners 6">
            <a:extLst>
              <a:ext uri="{FF2B5EF4-FFF2-40B4-BE49-F238E27FC236}">
                <a16:creationId xmlns:a16="http://schemas.microsoft.com/office/drawing/2014/main" id="{C9EDB577-3689-578D-A6E1-8AD87DB381BC}"/>
              </a:ext>
            </a:extLst>
          </xdr:cNvPr>
          <xdr:cNvSpPr/>
        </xdr:nvSpPr>
        <xdr:spPr>
          <a:xfrm>
            <a:off x="892971" y="1700890"/>
            <a:ext cx="2998142" cy="2513921"/>
          </a:xfrm>
          <a:prstGeom prst="roundRect">
            <a:avLst>
              <a:gd name="adj" fmla="val 9032"/>
            </a:avLst>
          </a:prstGeom>
          <a:solidFill>
            <a:srgbClr val="252B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 name="TextBox 10">
            <a:extLst>
              <a:ext uri="{FF2B5EF4-FFF2-40B4-BE49-F238E27FC236}">
                <a16:creationId xmlns:a16="http://schemas.microsoft.com/office/drawing/2014/main" id="{76D0F9FC-0D1C-65A7-F075-28BA289AE535}"/>
              </a:ext>
            </a:extLst>
          </xdr:cNvPr>
          <xdr:cNvSpPr txBox="1"/>
        </xdr:nvSpPr>
        <xdr:spPr>
          <a:xfrm>
            <a:off x="974408" y="1823354"/>
            <a:ext cx="2469696" cy="5306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Active Risks</a:t>
            </a:r>
          </a:p>
        </xdr:txBody>
      </xdr:sp>
      <xdr:sp macro="" textlink="">
        <xdr:nvSpPr>
          <xdr:cNvPr id="15" name="TextBox 14">
            <a:extLst>
              <a:ext uri="{FF2B5EF4-FFF2-40B4-BE49-F238E27FC236}">
                <a16:creationId xmlns:a16="http://schemas.microsoft.com/office/drawing/2014/main" id="{E778D425-EB67-6C76-C8C2-487137E0F9B1}"/>
              </a:ext>
            </a:extLst>
          </xdr:cNvPr>
          <xdr:cNvSpPr txBox="1"/>
        </xdr:nvSpPr>
        <xdr:spPr>
          <a:xfrm>
            <a:off x="961006" y="2177140"/>
            <a:ext cx="2700520"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Total risks under active management</a:t>
            </a:r>
          </a:p>
        </xdr:txBody>
      </xdr:sp>
      <xdr:cxnSp macro="">
        <xdr:nvCxnSpPr>
          <xdr:cNvPr id="30" name="Straight Connector 29">
            <a:extLst>
              <a:ext uri="{FF2B5EF4-FFF2-40B4-BE49-F238E27FC236}">
                <a16:creationId xmlns:a16="http://schemas.microsoft.com/office/drawing/2014/main" id="{193866EC-F1C0-FA9F-BF25-8652DD26D6FE}"/>
              </a:ext>
            </a:extLst>
          </xdr:cNvPr>
          <xdr:cNvCxnSpPr/>
        </xdr:nvCxnSpPr>
        <xdr:spPr>
          <a:xfrm>
            <a:off x="1056254" y="2509630"/>
            <a:ext cx="2631884" cy="25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EF!">
        <xdr:nvSpPr>
          <xdr:cNvPr id="34" name="percent_compliance">
            <a:extLst>
              <a:ext uri="{FF2B5EF4-FFF2-40B4-BE49-F238E27FC236}">
                <a16:creationId xmlns:a16="http://schemas.microsoft.com/office/drawing/2014/main" id="{E0D21FD1-28D3-04FE-982A-71BE6EADDE5A}"/>
              </a:ext>
            </a:extLst>
          </xdr:cNvPr>
          <xdr:cNvSpPr txBox="1"/>
        </xdr:nvSpPr>
        <xdr:spPr>
          <a:xfrm>
            <a:off x="1383025" y="2734037"/>
            <a:ext cx="1529504" cy="102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E42551-B7A9-41C7-B9FE-EEDA2B5C7408}" type="TxLink">
              <a:rPr lang="en-US" sz="6600" b="0" i="0" u="none" strike="noStrike">
                <a:solidFill>
                  <a:schemeClr val="bg1"/>
                </a:solidFill>
                <a:latin typeface="Segoe UI Black" panose="020B0A02040204020203" pitchFamily="34" charset="0"/>
                <a:ea typeface="Segoe UI Black" panose="020B0A02040204020203" pitchFamily="34" charset="0"/>
                <a:cs typeface="Segoe UI" panose="020B0502040204020203" pitchFamily="34" charset="0"/>
              </a:rPr>
              <a:pPr marL="0" indent="0" algn="ctr"/>
              <a:t>17</a:t>
            </a:fld>
            <a:endParaRPr lang="en-US" sz="413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6</xdr:col>
      <xdr:colOff>193221</xdr:colOff>
      <xdr:row>7</xdr:row>
      <xdr:rowOff>97969</xdr:rowOff>
    </xdr:from>
    <xdr:to>
      <xdr:col>11</xdr:col>
      <xdr:colOff>163285</xdr:colOff>
      <xdr:row>20</xdr:row>
      <xdr:rowOff>135390</xdr:rowOff>
    </xdr:to>
    <xdr:grpSp>
      <xdr:nvGrpSpPr>
        <xdr:cNvPr id="4" name="Group 3">
          <a:extLst>
            <a:ext uri="{FF2B5EF4-FFF2-40B4-BE49-F238E27FC236}">
              <a16:creationId xmlns:a16="http://schemas.microsoft.com/office/drawing/2014/main" id="{6F9256E2-61FC-4EFE-8435-30DC00996FC1}"/>
            </a:ext>
          </a:extLst>
        </xdr:cNvPr>
        <xdr:cNvGrpSpPr/>
      </xdr:nvGrpSpPr>
      <xdr:grpSpPr>
        <a:xfrm>
          <a:off x="4174671" y="1431469"/>
          <a:ext cx="3018064" cy="2513921"/>
          <a:chOff x="892971" y="1700890"/>
          <a:chExt cx="2521630" cy="2513921"/>
        </a:xfrm>
      </xdr:grpSpPr>
      <xdr:sp macro="" textlink="">
        <xdr:nvSpPr>
          <xdr:cNvPr id="12" name="Rectangle: Rounded Corners 11">
            <a:extLst>
              <a:ext uri="{FF2B5EF4-FFF2-40B4-BE49-F238E27FC236}">
                <a16:creationId xmlns:a16="http://schemas.microsoft.com/office/drawing/2014/main" id="{B426A916-E968-F95D-1557-6232C3426EB2}"/>
              </a:ext>
            </a:extLst>
          </xdr:cNvPr>
          <xdr:cNvSpPr/>
        </xdr:nvSpPr>
        <xdr:spPr>
          <a:xfrm>
            <a:off x="892971" y="1700890"/>
            <a:ext cx="2521630" cy="2513921"/>
          </a:xfrm>
          <a:prstGeom prst="roundRect">
            <a:avLst>
              <a:gd name="adj" fmla="val 9032"/>
            </a:avLst>
          </a:prstGeom>
          <a:solidFill>
            <a:srgbClr val="252B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 name="TextBox 19">
            <a:extLst>
              <a:ext uri="{FF2B5EF4-FFF2-40B4-BE49-F238E27FC236}">
                <a16:creationId xmlns:a16="http://schemas.microsoft.com/office/drawing/2014/main" id="{825FACDF-D39B-BB4E-6F5E-93C282FC8126}"/>
              </a:ext>
            </a:extLst>
          </xdr:cNvPr>
          <xdr:cNvSpPr txBox="1"/>
        </xdr:nvSpPr>
        <xdr:spPr>
          <a:xfrm>
            <a:off x="947398" y="1864176"/>
            <a:ext cx="2286116" cy="39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Mitigated Risks</a:t>
            </a:r>
          </a:p>
        </xdr:txBody>
      </xdr:sp>
      <xdr:sp macro="" textlink="">
        <xdr:nvSpPr>
          <xdr:cNvPr id="23" name="TextBox 22">
            <a:extLst>
              <a:ext uri="{FF2B5EF4-FFF2-40B4-BE49-F238E27FC236}">
                <a16:creationId xmlns:a16="http://schemas.microsoft.com/office/drawing/2014/main" id="{970A0FD3-705B-D64F-C266-C8A619314F9F}"/>
              </a:ext>
            </a:extLst>
          </xdr:cNvPr>
          <xdr:cNvSpPr txBox="1"/>
        </xdr:nvSpPr>
        <xdr:spPr>
          <a:xfrm>
            <a:off x="961006" y="2177140"/>
            <a:ext cx="2432275"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Percentage of risks</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that are mitigated so far</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25" name="Straight Connector 24">
            <a:extLst>
              <a:ext uri="{FF2B5EF4-FFF2-40B4-BE49-F238E27FC236}">
                <a16:creationId xmlns:a16="http://schemas.microsoft.com/office/drawing/2014/main" id="{1145DA43-7C69-B3CD-EC15-3F6BE86AFDF8}"/>
              </a:ext>
            </a:extLst>
          </xdr:cNvPr>
          <xdr:cNvCxnSpPr/>
        </xdr:nvCxnSpPr>
        <xdr:spPr>
          <a:xfrm>
            <a:off x="1022300" y="2509630"/>
            <a:ext cx="2289402" cy="25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EF!">
        <xdr:nvSpPr>
          <xdr:cNvPr id="28" name="percent_compliance">
            <a:extLst>
              <a:ext uri="{FF2B5EF4-FFF2-40B4-BE49-F238E27FC236}">
                <a16:creationId xmlns:a16="http://schemas.microsoft.com/office/drawing/2014/main" id="{22CAC42D-A46F-F90A-86A8-EBDEAD1E50A6}"/>
              </a:ext>
            </a:extLst>
          </xdr:cNvPr>
          <xdr:cNvSpPr txBox="1"/>
        </xdr:nvSpPr>
        <xdr:spPr>
          <a:xfrm>
            <a:off x="1383025" y="2734037"/>
            <a:ext cx="1529504" cy="102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0FF42C-731A-4887-BB13-72C208E1C68F}" type="TxLink">
              <a:rPr lang="en-US" sz="6600" b="0" i="0" u="none" strike="noStrike">
                <a:solidFill>
                  <a:schemeClr val="bg1"/>
                </a:solidFill>
                <a:latin typeface="Segoe UI Black" panose="020B0A02040204020203" pitchFamily="34" charset="0"/>
                <a:ea typeface="Segoe UI Black" panose="020B0A02040204020203" pitchFamily="34" charset="0"/>
                <a:cs typeface="Segoe UI" panose="020B0502040204020203" pitchFamily="34" charset="0"/>
              </a:rPr>
              <a:pPr marL="0" indent="0" algn="ctr"/>
              <a:t>5%</a:t>
            </a:fld>
            <a:endParaRPr lang="en-US" sz="3333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0</xdr:col>
      <xdr:colOff>41829</xdr:colOff>
      <xdr:row>0</xdr:row>
      <xdr:rowOff>98778</xdr:rowOff>
    </xdr:from>
    <xdr:to>
      <xdr:col>29</xdr:col>
      <xdr:colOff>259543</xdr:colOff>
      <xdr:row>7</xdr:row>
      <xdr:rowOff>23686</xdr:rowOff>
    </xdr:to>
    <xdr:grpSp>
      <xdr:nvGrpSpPr>
        <xdr:cNvPr id="18" name="Group 17">
          <a:extLst>
            <a:ext uri="{FF2B5EF4-FFF2-40B4-BE49-F238E27FC236}">
              <a16:creationId xmlns:a16="http://schemas.microsoft.com/office/drawing/2014/main" id="{DD652988-EAB1-E734-74FA-E2FE753812DE}"/>
            </a:ext>
          </a:extLst>
        </xdr:cNvPr>
        <xdr:cNvGrpSpPr>
          <a:grpSpLocks/>
        </xdr:cNvGrpSpPr>
      </xdr:nvGrpSpPr>
      <xdr:grpSpPr>
        <a:xfrm>
          <a:off x="41829" y="98778"/>
          <a:ext cx="18219964" cy="1258408"/>
          <a:chOff x="13607" y="0"/>
          <a:chExt cx="18301607" cy="1265464"/>
        </a:xfrm>
      </xdr:grpSpPr>
      <xdr:sp macro="" textlink="">
        <xdr:nvSpPr>
          <xdr:cNvPr id="16" name="Rectangle 15">
            <a:extLst>
              <a:ext uri="{FF2B5EF4-FFF2-40B4-BE49-F238E27FC236}">
                <a16:creationId xmlns:a16="http://schemas.microsoft.com/office/drawing/2014/main" id="{4A442A50-9C22-1ADC-BA9C-6B1D16E03F11}"/>
              </a:ext>
            </a:extLst>
          </xdr:cNvPr>
          <xdr:cNvSpPr/>
        </xdr:nvSpPr>
        <xdr:spPr>
          <a:xfrm>
            <a:off x="13607" y="0"/>
            <a:ext cx="18301607" cy="1265464"/>
          </a:xfrm>
          <a:prstGeom prst="rect">
            <a:avLst/>
          </a:prstGeom>
          <a:solidFill>
            <a:sysClr val="window" lastClr="FFFF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6" name="Rectangle 5">
            <a:extLst>
              <a:ext uri="{FF2B5EF4-FFF2-40B4-BE49-F238E27FC236}">
                <a16:creationId xmlns:a16="http://schemas.microsoft.com/office/drawing/2014/main" id="{5C11FBAE-C86B-13A1-C003-EA999969D7E4}"/>
              </a:ext>
            </a:extLst>
          </xdr:cNvPr>
          <xdr:cNvSpPr/>
        </xdr:nvSpPr>
        <xdr:spPr>
          <a:xfrm>
            <a:off x="3818796" y="121536"/>
            <a:ext cx="6005561"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DASHBOARD</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twoCellAnchor>
    <xdr:from>
      <xdr:col>1</xdr:col>
      <xdr:colOff>328708</xdr:colOff>
      <xdr:row>87</xdr:row>
      <xdr:rowOff>93916</xdr:rowOff>
    </xdr:from>
    <xdr:to>
      <xdr:col>15</xdr:col>
      <xdr:colOff>455709</xdr:colOff>
      <xdr:row>103</xdr:row>
      <xdr:rowOff>207842</xdr:rowOff>
    </xdr:to>
    <xdr:sp macro="" textlink="">
      <xdr:nvSpPr>
        <xdr:cNvPr id="22" name="Rectangle: Rounded Corners 21">
          <a:extLst>
            <a:ext uri="{FF2B5EF4-FFF2-40B4-BE49-F238E27FC236}">
              <a16:creationId xmlns:a16="http://schemas.microsoft.com/office/drawing/2014/main" id="{C00745E8-B6A3-5C71-E0FB-989A9A6B49A0}"/>
            </a:ext>
          </a:extLst>
        </xdr:cNvPr>
        <xdr:cNvSpPr/>
      </xdr:nvSpPr>
      <xdr:spPr>
        <a:xfrm>
          <a:off x="1030943" y="16798151"/>
          <a:ext cx="10316884" cy="5388162"/>
        </a:xfrm>
        <a:prstGeom prst="roundRect">
          <a:avLst>
            <a:gd name="adj" fmla="val 5942"/>
          </a:avLst>
        </a:prstGeom>
        <a:noFill/>
        <a:ln w="57150">
          <a:solidFill>
            <a:srgbClr val="A29BF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xdr:col>
      <xdr:colOff>560483</xdr:colOff>
      <xdr:row>88</xdr:row>
      <xdr:rowOff>80367</xdr:rowOff>
    </xdr:from>
    <xdr:to>
      <xdr:col>5</xdr:col>
      <xdr:colOff>5643</xdr:colOff>
      <xdr:row>90</xdr:row>
      <xdr:rowOff>144702</xdr:rowOff>
    </xdr:to>
    <xdr:sp macro="" textlink="">
      <xdr:nvSpPr>
        <xdr:cNvPr id="29" name="TextBox 28">
          <a:extLst>
            <a:ext uri="{FF2B5EF4-FFF2-40B4-BE49-F238E27FC236}">
              <a16:creationId xmlns:a16="http://schemas.microsoft.com/office/drawing/2014/main" id="{5FB5553D-ABCE-4C20-A2BB-D6C8AEFA051D}"/>
            </a:ext>
          </a:extLst>
        </xdr:cNvPr>
        <xdr:cNvSpPr txBox="1"/>
      </xdr:nvSpPr>
      <xdr:spPr>
        <a:xfrm>
          <a:off x="1172804" y="10557867"/>
          <a:ext cx="2221018" cy="445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1">
              <a:solidFill>
                <a:srgbClr val="FF5E8D"/>
              </a:solidFill>
              <a:latin typeface="Segoe UI Black" panose="020B0A02040204020203" pitchFamily="34" charset="0"/>
              <a:ea typeface="Segoe UI Black" panose="020B0A02040204020203" pitchFamily="34" charset="0"/>
              <a:cs typeface="Segoe UI" panose="020B0502040204020203" pitchFamily="34" charset="0"/>
            </a:rPr>
            <a:t>Risk Heatmap</a:t>
          </a:r>
        </a:p>
      </xdr:txBody>
    </xdr:sp>
    <xdr:clientData/>
  </xdr:twoCellAnchor>
  <xdr:twoCellAnchor>
    <xdr:from>
      <xdr:col>1</xdr:col>
      <xdr:colOff>560483</xdr:colOff>
      <xdr:row>90</xdr:row>
      <xdr:rowOff>139989</xdr:rowOff>
    </xdr:from>
    <xdr:to>
      <xdr:col>7</xdr:col>
      <xdr:colOff>107682</xdr:colOff>
      <xdr:row>92</xdr:row>
      <xdr:rowOff>74223</xdr:rowOff>
    </xdr:to>
    <xdr:sp macro="" textlink="">
      <xdr:nvSpPr>
        <xdr:cNvPr id="33" name="TextBox 32">
          <a:extLst>
            <a:ext uri="{FF2B5EF4-FFF2-40B4-BE49-F238E27FC236}">
              <a16:creationId xmlns:a16="http://schemas.microsoft.com/office/drawing/2014/main" id="{40426AFB-CA1E-4D5E-9A27-4FA420735EF6}"/>
            </a:ext>
          </a:extLst>
        </xdr:cNvPr>
        <xdr:cNvSpPr txBox="1"/>
      </xdr:nvSpPr>
      <xdr:spPr>
        <a:xfrm>
          <a:off x="1172804" y="10998489"/>
          <a:ext cx="3547699" cy="342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rgbClr val="252B42"/>
              </a:solidFill>
              <a:latin typeface="Segoe UI" panose="020B0502040204020203" pitchFamily="34" charset="0"/>
              <a:ea typeface="Segoe UI Black" panose="020B0A02040204020203" pitchFamily="34" charset="0"/>
              <a:cs typeface="Segoe UI" panose="020B0502040204020203" pitchFamily="34" charset="0"/>
            </a:rPr>
            <a:t>Heatmap showing all Active Risks</a:t>
          </a:r>
        </a:p>
      </xdr:txBody>
    </xdr:sp>
    <xdr:clientData/>
  </xdr:twoCellAnchor>
  <xdr:twoCellAnchor>
    <xdr:from>
      <xdr:col>1</xdr:col>
      <xdr:colOff>560482</xdr:colOff>
      <xdr:row>92</xdr:row>
      <xdr:rowOff>73060</xdr:rowOff>
    </xdr:from>
    <xdr:to>
      <xdr:col>14</xdr:col>
      <xdr:colOff>320452</xdr:colOff>
      <xdr:row>92</xdr:row>
      <xdr:rowOff>74220</xdr:rowOff>
    </xdr:to>
    <xdr:cxnSp macro="">
      <xdr:nvCxnSpPr>
        <xdr:cNvPr id="35" name="Straight Connector 34">
          <a:extLst>
            <a:ext uri="{FF2B5EF4-FFF2-40B4-BE49-F238E27FC236}">
              <a16:creationId xmlns:a16="http://schemas.microsoft.com/office/drawing/2014/main" id="{54159814-5774-4FD3-99B6-5FBB9DF9B963}"/>
            </a:ext>
          </a:extLst>
        </xdr:cNvPr>
        <xdr:cNvCxnSpPr/>
      </xdr:nvCxnSpPr>
      <xdr:spPr>
        <a:xfrm flipV="1">
          <a:off x="1172803" y="11339774"/>
          <a:ext cx="8046720" cy="1160"/>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70756</xdr:colOff>
      <xdr:row>7</xdr:row>
      <xdr:rowOff>111573</xdr:rowOff>
    </xdr:from>
    <xdr:to>
      <xdr:col>17</xdr:col>
      <xdr:colOff>40820</xdr:colOff>
      <xdr:row>20</xdr:row>
      <xdr:rowOff>148994</xdr:rowOff>
    </xdr:to>
    <xdr:grpSp>
      <xdr:nvGrpSpPr>
        <xdr:cNvPr id="47" name="Group 46">
          <a:extLst>
            <a:ext uri="{FF2B5EF4-FFF2-40B4-BE49-F238E27FC236}">
              <a16:creationId xmlns:a16="http://schemas.microsoft.com/office/drawing/2014/main" id="{16281D26-102B-34B8-21EE-F981F3C0BA19}"/>
            </a:ext>
          </a:extLst>
        </xdr:cNvPr>
        <xdr:cNvGrpSpPr/>
      </xdr:nvGrpSpPr>
      <xdr:grpSpPr>
        <a:xfrm>
          <a:off x="7709806" y="1445073"/>
          <a:ext cx="3018064" cy="2513921"/>
          <a:chOff x="892971" y="1700890"/>
          <a:chExt cx="2521630" cy="2513921"/>
        </a:xfrm>
      </xdr:grpSpPr>
      <xdr:sp macro="" textlink="">
        <xdr:nvSpPr>
          <xdr:cNvPr id="48" name="Rectangle: Rounded Corners 47">
            <a:extLst>
              <a:ext uri="{FF2B5EF4-FFF2-40B4-BE49-F238E27FC236}">
                <a16:creationId xmlns:a16="http://schemas.microsoft.com/office/drawing/2014/main" id="{7C50DEF6-631C-765C-3FCA-2E32C0B52006}"/>
              </a:ext>
            </a:extLst>
          </xdr:cNvPr>
          <xdr:cNvSpPr/>
        </xdr:nvSpPr>
        <xdr:spPr>
          <a:xfrm>
            <a:off x="892971" y="1700890"/>
            <a:ext cx="2521630" cy="2513921"/>
          </a:xfrm>
          <a:prstGeom prst="roundRect">
            <a:avLst>
              <a:gd name="adj" fmla="val 9032"/>
            </a:avLst>
          </a:prstGeom>
          <a:solidFill>
            <a:srgbClr val="252B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9" name="TextBox 48">
            <a:extLst>
              <a:ext uri="{FF2B5EF4-FFF2-40B4-BE49-F238E27FC236}">
                <a16:creationId xmlns:a16="http://schemas.microsoft.com/office/drawing/2014/main" id="{B69F82E3-A804-416A-3675-F2C9AA7507A1}"/>
              </a:ext>
            </a:extLst>
          </xdr:cNvPr>
          <xdr:cNvSpPr txBox="1"/>
        </xdr:nvSpPr>
        <xdr:spPr>
          <a:xfrm>
            <a:off x="947398" y="1864176"/>
            <a:ext cx="2286116" cy="39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Risk above tolerance</a:t>
            </a:r>
          </a:p>
        </xdr:txBody>
      </xdr:sp>
      <xdr:sp macro="" textlink="">
        <xdr:nvSpPr>
          <xdr:cNvPr id="50" name="TextBox 49">
            <a:extLst>
              <a:ext uri="{FF2B5EF4-FFF2-40B4-BE49-F238E27FC236}">
                <a16:creationId xmlns:a16="http://schemas.microsoft.com/office/drawing/2014/main" id="{F626814A-98DA-8C37-C27D-FE5D588E4954}"/>
              </a:ext>
            </a:extLst>
          </xdr:cNvPr>
          <xdr:cNvSpPr txBox="1"/>
        </xdr:nvSpPr>
        <xdr:spPr>
          <a:xfrm>
            <a:off x="961006" y="2177140"/>
            <a:ext cx="2432275"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of risks that exceed the tolerance level</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51" name="Straight Connector 50">
            <a:extLst>
              <a:ext uri="{FF2B5EF4-FFF2-40B4-BE49-F238E27FC236}">
                <a16:creationId xmlns:a16="http://schemas.microsoft.com/office/drawing/2014/main" id="{91F4EF14-FD11-1C4A-2067-DD36DAB7F88F}"/>
              </a:ext>
            </a:extLst>
          </xdr:cNvPr>
          <xdr:cNvCxnSpPr/>
        </xdr:nvCxnSpPr>
        <xdr:spPr>
          <a:xfrm>
            <a:off x="1022300" y="2509630"/>
            <a:ext cx="2289402" cy="25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EF!">
        <xdr:nvSpPr>
          <xdr:cNvPr id="52" name="percent_compliance">
            <a:extLst>
              <a:ext uri="{FF2B5EF4-FFF2-40B4-BE49-F238E27FC236}">
                <a16:creationId xmlns:a16="http://schemas.microsoft.com/office/drawing/2014/main" id="{93560452-6366-FF57-FD4D-97C01AE27B23}"/>
              </a:ext>
            </a:extLst>
          </xdr:cNvPr>
          <xdr:cNvSpPr txBox="1"/>
        </xdr:nvSpPr>
        <xdr:spPr>
          <a:xfrm>
            <a:off x="1037842" y="2734037"/>
            <a:ext cx="2252262" cy="102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D8F480-B4F4-44FF-9345-65C5E8F40614}" type="TxLink">
              <a:rPr lang="en-US" sz="6600" b="1" i="0" u="none" strike="noStrike">
                <a:solidFill>
                  <a:schemeClr val="bg1"/>
                </a:solidFill>
                <a:latin typeface="Segoe UI Black" panose="020B0A02040204020203" pitchFamily="34" charset="0"/>
                <a:ea typeface="Segoe UI Black" panose="020B0A02040204020203" pitchFamily="34" charset="0"/>
                <a:cs typeface="Calibri"/>
              </a:rPr>
              <a:pPr marL="0" indent="0" algn="ctr"/>
              <a:t>85%</a:t>
            </a:fld>
            <a:endParaRPr lang="en-US" sz="66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17</xdr:col>
      <xdr:colOff>601435</xdr:colOff>
      <xdr:row>7</xdr:row>
      <xdr:rowOff>111577</xdr:rowOff>
    </xdr:from>
    <xdr:to>
      <xdr:col>22</xdr:col>
      <xdr:colOff>571499</xdr:colOff>
      <xdr:row>20</xdr:row>
      <xdr:rowOff>148998</xdr:rowOff>
    </xdr:to>
    <xdr:grpSp>
      <xdr:nvGrpSpPr>
        <xdr:cNvPr id="57" name="Group 56">
          <a:extLst>
            <a:ext uri="{FF2B5EF4-FFF2-40B4-BE49-F238E27FC236}">
              <a16:creationId xmlns:a16="http://schemas.microsoft.com/office/drawing/2014/main" id="{CDD7C690-D838-1E3E-CD68-3C965874CAF4}"/>
            </a:ext>
          </a:extLst>
        </xdr:cNvPr>
        <xdr:cNvGrpSpPr/>
      </xdr:nvGrpSpPr>
      <xdr:grpSpPr>
        <a:xfrm>
          <a:off x="11288485" y="1445077"/>
          <a:ext cx="3018064" cy="2513921"/>
          <a:chOff x="892971" y="1700890"/>
          <a:chExt cx="2521630" cy="2513921"/>
        </a:xfrm>
      </xdr:grpSpPr>
      <xdr:sp macro="" textlink="">
        <xdr:nvSpPr>
          <xdr:cNvPr id="58" name="Rectangle: Rounded Corners 57">
            <a:extLst>
              <a:ext uri="{FF2B5EF4-FFF2-40B4-BE49-F238E27FC236}">
                <a16:creationId xmlns:a16="http://schemas.microsoft.com/office/drawing/2014/main" id="{11887F73-8817-C678-122D-3E504132A7D2}"/>
              </a:ext>
            </a:extLst>
          </xdr:cNvPr>
          <xdr:cNvSpPr/>
        </xdr:nvSpPr>
        <xdr:spPr>
          <a:xfrm>
            <a:off x="892971" y="1700890"/>
            <a:ext cx="2521630" cy="2513921"/>
          </a:xfrm>
          <a:prstGeom prst="roundRect">
            <a:avLst>
              <a:gd name="adj" fmla="val 9032"/>
            </a:avLst>
          </a:prstGeom>
          <a:solidFill>
            <a:srgbClr val="252B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59" name="TextBox 58">
            <a:extLst>
              <a:ext uri="{FF2B5EF4-FFF2-40B4-BE49-F238E27FC236}">
                <a16:creationId xmlns:a16="http://schemas.microsoft.com/office/drawing/2014/main" id="{A5D0862F-0E4E-C6D3-EAA3-F9AD65BD806D}"/>
              </a:ext>
            </a:extLst>
          </xdr:cNvPr>
          <xdr:cNvSpPr txBox="1"/>
        </xdr:nvSpPr>
        <xdr:spPr>
          <a:xfrm>
            <a:off x="947398" y="1864176"/>
            <a:ext cx="2286116" cy="39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Accepted Risks</a:t>
            </a:r>
          </a:p>
        </xdr:txBody>
      </xdr:sp>
      <xdr:sp macro="" textlink="">
        <xdr:nvSpPr>
          <xdr:cNvPr id="60" name="TextBox 59">
            <a:extLst>
              <a:ext uri="{FF2B5EF4-FFF2-40B4-BE49-F238E27FC236}">
                <a16:creationId xmlns:a16="http://schemas.microsoft.com/office/drawing/2014/main" id="{3E678E0B-CE09-0C3E-FC3F-230B184C0C20}"/>
              </a:ext>
            </a:extLst>
          </xdr:cNvPr>
          <xdr:cNvSpPr txBox="1"/>
        </xdr:nvSpPr>
        <xdr:spPr>
          <a:xfrm>
            <a:off x="961006" y="2177140"/>
            <a:ext cx="2432275"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Percentage of risks</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that have been accepted</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61" name="Straight Connector 60">
            <a:extLst>
              <a:ext uri="{FF2B5EF4-FFF2-40B4-BE49-F238E27FC236}">
                <a16:creationId xmlns:a16="http://schemas.microsoft.com/office/drawing/2014/main" id="{A4CFDB0B-D48D-9F8A-49E7-BF1273E06776}"/>
              </a:ext>
            </a:extLst>
          </xdr:cNvPr>
          <xdr:cNvCxnSpPr/>
        </xdr:nvCxnSpPr>
        <xdr:spPr>
          <a:xfrm>
            <a:off x="1022300" y="2509630"/>
            <a:ext cx="2289402" cy="25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EF!">
        <xdr:nvSpPr>
          <xdr:cNvPr id="62" name="percent_compliance">
            <a:extLst>
              <a:ext uri="{FF2B5EF4-FFF2-40B4-BE49-F238E27FC236}">
                <a16:creationId xmlns:a16="http://schemas.microsoft.com/office/drawing/2014/main" id="{343466BC-1202-60B5-C6C8-8DD24355F569}"/>
              </a:ext>
            </a:extLst>
          </xdr:cNvPr>
          <xdr:cNvSpPr txBox="1"/>
        </xdr:nvSpPr>
        <xdr:spPr>
          <a:xfrm>
            <a:off x="1162338" y="2734037"/>
            <a:ext cx="2014588" cy="102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6D1DF39-C396-4E43-BA55-CDF38F199D57}" type="TxLink">
              <a:rPr lang="en-US" sz="66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10%</a:t>
            </a:fld>
            <a:endParaRPr lang="en-US" sz="6600" b="0">
              <a:solidFill>
                <a:schemeClr val="bg1"/>
              </a:solidFill>
              <a:latin typeface="Segoe UI Black" panose="020B0A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absolute">
    <xdr:from>
      <xdr:col>23</xdr:col>
      <xdr:colOff>465365</xdr:colOff>
      <xdr:row>7</xdr:row>
      <xdr:rowOff>125183</xdr:rowOff>
    </xdr:from>
    <xdr:to>
      <xdr:col>28</xdr:col>
      <xdr:colOff>435429</xdr:colOff>
      <xdr:row>20</xdr:row>
      <xdr:rowOff>162604</xdr:rowOff>
    </xdr:to>
    <xdr:grpSp>
      <xdr:nvGrpSpPr>
        <xdr:cNvPr id="69" name="Group 68">
          <a:extLst>
            <a:ext uri="{FF2B5EF4-FFF2-40B4-BE49-F238E27FC236}">
              <a16:creationId xmlns:a16="http://schemas.microsoft.com/office/drawing/2014/main" id="{40D4A8C0-DE3F-F355-B021-455C2977B9C3}"/>
            </a:ext>
          </a:extLst>
        </xdr:cNvPr>
        <xdr:cNvGrpSpPr/>
      </xdr:nvGrpSpPr>
      <xdr:grpSpPr>
        <a:xfrm>
          <a:off x="14810015" y="1458683"/>
          <a:ext cx="3018064" cy="2513921"/>
          <a:chOff x="892971" y="1700890"/>
          <a:chExt cx="2521630" cy="2513921"/>
        </a:xfrm>
      </xdr:grpSpPr>
      <xdr:sp macro="" textlink="">
        <xdr:nvSpPr>
          <xdr:cNvPr id="70" name="Rectangle: Rounded Corners 69">
            <a:extLst>
              <a:ext uri="{FF2B5EF4-FFF2-40B4-BE49-F238E27FC236}">
                <a16:creationId xmlns:a16="http://schemas.microsoft.com/office/drawing/2014/main" id="{A74A0664-8119-F65D-A761-FBCA3C180B67}"/>
              </a:ext>
            </a:extLst>
          </xdr:cNvPr>
          <xdr:cNvSpPr/>
        </xdr:nvSpPr>
        <xdr:spPr>
          <a:xfrm>
            <a:off x="892971" y="1700890"/>
            <a:ext cx="2521630" cy="2513921"/>
          </a:xfrm>
          <a:prstGeom prst="roundRect">
            <a:avLst>
              <a:gd name="adj" fmla="val 9032"/>
            </a:avLst>
          </a:prstGeom>
          <a:solidFill>
            <a:srgbClr val="252B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TextBox 70">
            <a:extLst>
              <a:ext uri="{FF2B5EF4-FFF2-40B4-BE49-F238E27FC236}">
                <a16:creationId xmlns:a16="http://schemas.microsoft.com/office/drawing/2014/main" id="{CC3D0E85-EB83-0989-7BEC-1C7CB8B3586A}"/>
              </a:ext>
            </a:extLst>
          </xdr:cNvPr>
          <xdr:cNvSpPr txBox="1"/>
        </xdr:nvSpPr>
        <xdr:spPr>
          <a:xfrm>
            <a:off x="947398" y="1864176"/>
            <a:ext cx="2286116" cy="391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Segoe UI Black" panose="020B0A02040204020203" pitchFamily="34" charset="0"/>
                <a:ea typeface="Segoe UI Black" panose="020B0A02040204020203" pitchFamily="34" charset="0"/>
                <a:cs typeface="Segoe UI" panose="020B0502040204020203" pitchFamily="34" charset="0"/>
              </a:rPr>
              <a:t>Overdue Risks</a:t>
            </a:r>
          </a:p>
        </xdr:txBody>
      </xdr:sp>
      <xdr:sp macro="" textlink="">
        <xdr:nvSpPr>
          <xdr:cNvPr id="72" name="TextBox 71">
            <a:extLst>
              <a:ext uri="{FF2B5EF4-FFF2-40B4-BE49-F238E27FC236}">
                <a16:creationId xmlns:a16="http://schemas.microsoft.com/office/drawing/2014/main" id="{5D112397-B051-E358-76F8-9B79373E0F2D}"/>
              </a:ext>
            </a:extLst>
          </xdr:cNvPr>
          <xdr:cNvSpPr txBox="1"/>
        </xdr:nvSpPr>
        <xdr:spPr>
          <a:xfrm>
            <a:off x="961006" y="2177140"/>
            <a:ext cx="2432275" cy="3401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rPr>
              <a:t>Number of risks</a:t>
            </a:r>
            <a:r>
              <a:rPr lang="en-US" sz="1100" b="0" baseline="0">
                <a:solidFill>
                  <a:schemeClr val="bg1"/>
                </a:solidFill>
                <a:latin typeface="Segoe UI" panose="020B0502040204020203" pitchFamily="34" charset="0"/>
                <a:ea typeface="Segoe UI Black" panose="020B0A02040204020203" pitchFamily="34" charset="0"/>
                <a:cs typeface="Segoe UI" panose="020B0502040204020203" pitchFamily="34" charset="0"/>
              </a:rPr>
              <a:t> that are overdue</a:t>
            </a:r>
            <a:endParaRPr lang="en-US" sz="1100" b="0">
              <a:solidFill>
                <a:schemeClr val="bg1"/>
              </a:solidFill>
              <a:latin typeface="Segoe UI" panose="020B0502040204020203" pitchFamily="34" charset="0"/>
              <a:ea typeface="Segoe UI Black" panose="020B0A02040204020203" pitchFamily="34" charset="0"/>
              <a:cs typeface="Segoe UI" panose="020B0502040204020203" pitchFamily="34" charset="0"/>
            </a:endParaRPr>
          </a:p>
        </xdr:txBody>
      </xdr:sp>
      <xdr:cxnSp macro="">
        <xdr:nvCxnSpPr>
          <xdr:cNvPr id="73" name="Straight Connector 72">
            <a:extLst>
              <a:ext uri="{FF2B5EF4-FFF2-40B4-BE49-F238E27FC236}">
                <a16:creationId xmlns:a16="http://schemas.microsoft.com/office/drawing/2014/main" id="{71B57633-AE62-B239-38E3-7DF6F2A5C4C9}"/>
              </a:ext>
            </a:extLst>
          </xdr:cNvPr>
          <xdr:cNvCxnSpPr/>
        </xdr:nvCxnSpPr>
        <xdr:spPr>
          <a:xfrm>
            <a:off x="1022300" y="2509630"/>
            <a:ext cx="2289402" cy="25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REF!">
        <xdr:nvSpPr>
          <xdr:cNvPr id="74" name="percent_compliance">
            <a:extLst>
              <a:ext uri="{FF2B5EF4-FFF2-40B4-BE49-F238E27FC236}">
                <a16:creationId xmlns:a16="http://schemas.microsoft.com/office/drawing/2014/main" id="{E9421647-BD09-7480-8B33-8D7229E72009}"/>
              </a:ext>
            </a:extLst>
          </xdr:cNvPr>
          <xdr:cNvSpPr txBox="1"/>
        </xdr:nvSpPr>
        <xdr:spPr>
          <a:xfrm>
            <a:off x="1162338" y="2734037"/>
            <a:ext cx="2014588" cy="102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710F4F-BC43-4C5F-9B61-FBAE5DFC0A37}" type="TxLink">
              <a:rPr lang="en-US" sz="6600" b="0" i="0" u="none" strike="noStrike">
                <a:solidFill>
                  <a:schemeClr val="bg1"/>
                </a:solidFill>
                <a:latin typeface="Segoe UI Black" panose="020B0A02040204020203" pitchFamily="34" charset="0"/>
                <a:ea typeface="Segoe UI Black" panose="020B0A02040204020203" pitchFamily="34" charset="0"/>
                <a:cs typeface="Calibri"/>
              </a:rPr>
              <a:pPr marL="0" indent="0" algn="ctr"/>
              <a:t>12</a:t>
            </a:fld>
            <a:endParaRPr lang="en-US" sz="6600" b="0" i="0" u="none" strike="noStrike">
              <a:solidFill>
                <a:schemeClr val="bg1"/>
              </a:solidFill>
              <a:latin typeface="Segoe UI Black" panose="020B0A02040204020203" pitchFamily="34" charset="0"/>
              <a:ea typeface="Segoe UI Black" panose="020B0A02040204020203" pitchFamily="34" charset="0"/>
              <a:cs typeface="Calibri"/>
            </a:endParaRPr>
          </a:p>
        </xdr:txBody>
      </xdr:sp>
    </xdr:grpSp>
    <xdr:clientData/>
  </xdr:twoCellAnchor>
  <xdr:twoCellAnchor editAs="absolute">
    <xdr:from>
      <xdr:col>14</xdr:col>
      <xdr:colOff>565562</xdr:colOff>
      <xdr:row>54</xdr:row>
      <xdr:rowOff>12367</xdr:rowOff>
    </xdr:from>
    <xdr:to>
      <xdr:col>28</xdr:col>
      <xdr:colOff>394854</xdr:colOff>
      <xdr:row>84</xdr:row>
      <xdr:rowOff>117764</xdr:rowOff>
    </xdr:to>
    <xdr:grpSp>
      <xdr:nvGrpSpPr>
        <xdr:cNvPr id="5" name="Group 4">
          <a:extLst>
            <a:ext uri="{FF2B5EF4-FFF2-40B4-BE49-F238E27FC236}">
              <a16:creationId xmlns:a16="http://schemas.microsoft.com/office/drawing/2014/main" id="{5D81056B-2AE1-0006-7B5D-54D182B79F8F}"/>
            </a:ext>
          </a:extLst>
        </xdr:cNvPr>
        <xdr:cNvGrpSpPr/>
      </xdr:nvGrpSpPr>
      <xdr:grpSpPr>
        <a:xfrm>
          <a:off x="9423812" y="10299367"/>
          <a:ext cx="8363692" cy="5820397"/>
          <a:chOff x="9212032" y="4327069"/>
          <a:chExt cx="7905752" cy="5820397"/>
        </a:xfrm>
      </xdr:grpSpPr>
      <xdr:grpSp>
        <xdr:nvGrpSpPr>
          <xdr:cNvPr id="63" name="Group 62">
            <a:extLst>
              <a:ext uri="{FF2B5EF4-FFF2-40B4-BE49-F238E27FC236}">
                <a16:creationId xmlns:a16="http://schemas.microsoft.com/office/drawing/2014/main" id="{B16C4865-2813-7F35-0DB3-9DB132B3BF6B}"/>
              </a:ext>
            </a:extLst>
          </xdr:cNvPr>
          <xdr:cNvGrpSpPr/>
        </xdr:nvGrpSpPr>
        <xdr:grpSpPr>
          <a:xfrm>
            <a:off x="9212032" y="4327069"/>
            <a:ext cx="7905752" cy="5820397"/>
            <a:chOff x="4942746" y="1700891"/>
            <a:chExt cx="5133573" cy="5820397"/>
          </a:xfrm>
        </xdr:grpSpPr>
        <xdr:sp macro="" textlink="">
          <xdr:nvSpPr>
            <xdr:cNvPr id="64" name="Rectangle: Rounded Corners 63">
              <a:extLst>
                <a:ext uri="{FF2B5EF4-FFF2-40B4-BE49-F238E27FC236}">
                  <a16:creationId xmlns:a16="http://schemas.microsoft.com/office/drawing/2014/main" id="{0D287602-A3AB-9FF4-6AD6-41B53F169C5A}"/>
                </a:ext>
              </a:extLst>
            </xdr:cNvPr>
            <xdr:cNvSpPr/>
          </xdr:nvSpPr>
          <xdr:spPr>
            <a:xfrm>
              <a:off x="4942746" y="1700891"/>
              <a:ext cx="5133573" cy="5820397"/>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B18E3264-E5B1-A1F3-3CAF-4C0971AD5B75}"/>
                </a:ext>
              </a:extLst>
            </xdr:cNvPr>
            <xdr:cNvSpPr txBox="1"/>
          </xdr:nvSpPr>
          <xdr:spPr>
            <a:xfrm>
              <a:off x="5039941" y="1870979"/>
              <a:ext cx="374487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5E8D"/>
                  </a:solidFill>
                  <a:latin typeface="Segoe UI Black" panose="020B0A02040204020203" pitchFamily="34" charset="0"/>
                  <a:ea typeface="Segoe UI Black" panose="020B0A02040204020203" pitchFamily="34" charset="0"/>
                </a:rPr>
                <a:t>Risk Categories</a:t>
              </a:r>
            </a:p>
          </xdr:txBody>
        </xdr:sp>
        <xdr:cxnSp macro="">
          <xdr:nvCxnSpPr>
            <xdr:cNvPr id="67" name="Straight Connector 66">
              <a:extLst>
                <a:ext uri="{FF2B5EF4-FFF2-40B4-BE49-F238E27FC236}">
                  <a16:creationId xmlns:a16="http://schemas.microsoft.com/office/drawing/2014/main" id="{EC7D4E2A-F71A-8C3B-1DBA-4929A6990278}"/>
                </a:ext>
              </a:extLst>
            </xdr:cNvPr>
            <xdr:cNvCxnSpPr/>
          </xdr:nvCxnSpPr>
          <xdr:spPr>
            <a:xfrm flipV="1">
              <a:off x="5140114" y="2604879"/>
              <a:ext cx="4631348"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68" name="TextBox 67">
              <a:extLst>
                <a:ext uri="{FF2B5EF4-FFF2-40B4-BE49-F238E27FC236}">
                  <a16:creationId xmlns:a16="http://schemas.microsoft.com/office/drawing/2014/main" id="{9E8F2058-0268-A767-87BA-C007AC6EB777}"/>
                </a:ext>
              </a:extLst>
            </xdr:cNvPr>
            <xdr:cNvSpPr txBox="1"/>
          </xdr:nvSpPr>
          <xdr:spPr>
            <a:xfrm>
              <a:off x="5057143"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Shows the count of active</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risks under each Category</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graphicFrame macro="">
        <xdr:nvGraphicFramePr>
          <xdr:cNvPr id="2" name="Chart 1">
            <a:extLst>
              <a:ext uri="{FF2B5EF4-FFF2-40B4-BE49-F238E27FC236}">
                <a16:creationId xmlns:a16="http://schemas.microsoft.com/office/drawing/2014/main" id="{BA0537C7-91C7-4185-9787-AE1F383F1A6B}"/>
              </a:ext>
            </a:extLst>
          </xdr:cNvPr>
          <xdr:cNvGraphicFramePr>
            <a:graphicFrameLocks/>
          </xdr:cNvGraphicFramePr>
        </xdr:nvGraphicFramePr>
        <xdr:xfrm>
          <a:off x="9878782" y="5551711"/>
          <a:ext cx="7170968" cy="415018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16</xdr:col>
      <xdr:colOff>149678</xdr:colOff>
      <xdr:row>87</xdr:row>
      <xdr:rowOff>68036</xdr:rowOff>
    </xdr:from>
    <xdr:to>
      <xdr:col>28</xdr:col>
      <xdr:colOff>408215</xdr:colOff>
      <xdr:row>104</xdr:row>
      <xdr:rowOff>27216</xdr:rowOff>
    </xdr:to>
    <xdr:grpSp>
      <xdr:nvGrpSpPr>
        <xdr:cNvPr id="41" name="Group 40">
          <a:extLst>
            <a:ext uri="{FF2B5EF4-FFF2-40B4-BE49-F238E27FC236}">
              <a16:creationId xmlns:a16="http://schemas.microsoft.com/office/drawing/2014/main" id="{5D86D5B0-F91F-0D00-6457-6CD5DAF47FD0}"/>
            </a:ext>
          </a:extLst>
        </xdr:cNvPr>
        <xdr:cNvGrpSpPr/>
      </xdr:nvGrpSpPr>
      <xdr:grpSpPr>
        <a:xfrm>
          <a:off x="10227128" y="16641536"/>
          <a:ext cx="7573737" cy="5493205"/>
          <a:chOff x="10246178" y="10355036"/>
          <a:chExt cx="7573737" cy="5674180"/>
        </a:xfrm>
      </xdr:grpSpPr>
      <xdr:grpSp>
        <xdr:nvGrpSpPr>
          <xdr:cNvPr id="21" name="Group 20">
            <a:extLst>
              <a:ext uri="{FF2B5EF4-FFF2-40B4-BE49-F238E27FC236}">
                <a16:creationId xmlns:a16="http://schemas.microsoft.com/office/drawing/2014/main" id="{4B65C639-F34C-AF5D-9C68-BE441387D405}"/>
              </a:ext>
            </a:extLst>
          </xdr:cNvPr>
          <xdr:cNvGrpSpPr/>
        </xdr:nvGrpSpPr>
        <xdr:grpSpPr>
          <a:xfrm>
            <a:off x="10246178" y="10355036"/>
            <a:ext cx="7573737" cy="5674180"/>
            <a:chOff x="4942746" y="1700892"/>
            <a:chExt cx="5133573" cy="4887391"/>
          </a:xfrm>
        </xdr:grpSpPr>
        <xdr:sp macro="" textlink="">
          <xdr:nvSpPr>
            <xdr:cNvPr id="36" name="Rectangle: Rounded Corners 35">
              <a:extLst>
                <a:ext uri="{FF2B5EF4-FFF2-40B4-BE49-F238E27FC236}">
                  <a16:creationId xmlns:a16="http://schemas.microsoft.com/office/drawing/2014/main" id="{1A194975-2002-5DD3-641B-2AB5443CF5CD}"/>
                </a:ext>
              </a:extLst>
            </xdr:cNvPr>
            <xdr:cNvSpPr/>
          </xdr:nvSpPr>
          <xdr:spPr>
            <a:xfrm>
              <a:off x="4942746" y="1700892"/>
              <a:ext cx="5133573" cy="4887391"/>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36">
              <a:extLst>
                <a:ext uri="{FF2B5EF4-FFF2-40B4-BE49-F238E27FC236}">
                  <a16:creationId xmlns:a16="http://schemas.microsoft.com/office/drawing/2014/main" id="{5B31E161-6CD3-9CA4-058D-B429C284EE87}"/>
                </a:ext>
              </a:extLst>
            </xdr:cNvPr>
            <xdr:cNvSpPr txBox="1"/>
          </xdr:nvSpPr>
          <xdr:spPr>
            <a:xfrm>
              <a:off x="5039941" y="1870979"/>
              <a:ext cx="3744874"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5E8D"/>
                  </a:solidFill>
                  <a:latin typeface="Segoe UI Black" panose="020B0A02040204020203" pitchFamily="34" charset="0"/>
                  <a:ea typeface="Segoe UI Black" panose="020B0A02040204020203" pitchFamily="34" charset="0"/>
                </a:rPr>
                <a:t>New risks reported</a:t>
              </a:r>
            </a:p>
          </xdr:txBody>
        </xdr:sp>
        <xdr:cxnSp macro="">
          <xdr:nvCxnSpPr>
            <xdr:cNvPr id="38" name="Straight Connector 37">
              <a:extLst>
                <a:ext uri="{FF2B5EF4-FFF2-40B4-BE49-F238E27FC236}">
                  <a16:creationId xmlns:a16="http://schemas.microsoft.com/office/drawing/2014/main" id="{6B5868BA-2B6A-5D9D-8A06-F4C3039189AA}"/>
                </a:ext>
              </a:extLst>
            </xdr:cNvPr>
            <xdr:cNvCxnSpPr/>
          </xdr:nvCxnSpPr>
          <xdr:spPr>
            <a:xfrm flipV="1">
              <a:off x="5112563" y="2604879"/>
              <a:ext cx="4631348"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TextBox 38">
              <a:extLst>
                <a:ext uri="{FF2B5EF4-FFF2-40B4-BE49-F238E27FC236}">
                  <a16:creationId xmlns:a16="http://schemas.microsoft.com/office/drawing/2014/main" id="{7DF314F6-0298-B6A3-1F63-5D7C641B4A11}"/>
                </a:ext>
              </a:extLst>
            </xdr:cNvPr>
            <xdr:cNvSpPr txBox="1"/>
          </xdr:nvSpPr>
          <xdr:spPr>
            <a:xfrm>
              <a:off x="5057143"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Risks</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reported per month</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graphicFrame macro="">
        <xdr:nvGraphicFramePr>
          <xdr:cNvPr id="40" name="Chart 39">
            <a:extLst>
              <a:ext uri="{FF2B5EF4-FFF2-40B4-BE49-F238E27FC236}">
                <a16:creationId xmlns:a16="http://schemas.microsoft.com/office/drawing/2014/main" id="{F4074C0D-12C5-4B1A-82D4-D6282832AE60}"/>
              </a:ext>
            </a:extLst>
          </xdr:cNvPr>
          <xdr:cNvGraphicFramePr>
            <a:graphicFrameLocks/>
          </xdr:cNvGraphicFramePr>
        </xdr:nvGraphicFramePr>
        <xdr:xfrm>
          <a:off x="10531929" y="11585121"/>
          <a:ext cx="6855278" cy="402771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absolute">
    <xdr:from>
      <xdr:col>1</xdr:col>
      <xdr:colOff>238260</xdr:colOff>
      <xdr:row>21</xdr:row>
      <xdr:rowOff>167491</xdr:rowOff>
    </xdr:from>
    <xdr:to>
      <xdr:col>28</xdr:col>
      <xdr:colOff>398318</xdr:colOff>
      <xdr:row>52</xdr:row>
      <xdr:rowOff>58882</xdr:rowOff>
    </xdr:to>
    <xdr:grpSp>
      <xdr:nvGrpSpPr>
        <xdr:cNvPr id="54" name="Group 53">
          <a:extLst>
            <a:ext uri="{FF2B5EF4-FFF2-40B4-BE49-F238E27FC236}">
              <a16:creationId xmlns:a16="http://schemas.microsoft.com/office/drawing/2014/main" id="{DA4D04E3-389E-8A77-F284-CA40330C0D47}"/>
            </a:ext>
          </a:extLst>
        </xdr:cNvPr>
        <xdr:cNvGrpSpPr/>
      </xdr:nvGrpSpPr>
      <xdr:grpSpPr>
        <a:xfrm>
          <a:off x="847860" y="4167991"/>
          <a:ext cx="16943108" cy="5796891"/>
          <a:chOff x="844396" y="4167991"/>
          <a:chExt cx="16854786" cy="5796891"/>
        </a:xfrm>
      </xdr:grpSpPr>
      <xdr:grpSp>
        <xdr:nvGrpSpPr>
          <xdr:cNvPr id="42" name="Group 41">
            <a:extLst>
              <a:ext uri="{FF2B5EF4-FFF2-40B4-BE49-F238E27FC236}">
                <a16:creationId xmlns:a16="http://schemas.microsoft.com/office/drawing/2014/main" id="{14219B88-6D94-951C-491E-078B98119AD0}"/>
              </a:ext>
            </a:extLst>
          </xdr:cNvPr>
          <xdr:cNvGrpSpPr/>
        </xdr:nvGrpSpPr>
        <xdr:grpSpPr>
          <a:xfrm>
            <a:off x="844396" y="4167991"/>
            <a:ext cx="16854786" cy="5796891"/>
            <a:chOff x="4942746" y="1700891"/>
            <a:chExt cx="5133573" cy="5592537"/>
          </a:xfrm>
        </xdr:grpSpPr>
        <xdr:sp macro="" textlink="">
          <xdr:nvSpPr>
            <xdr:cNvPr id="43" name="Rectangle: Rounded Corners 42">
              <a:extLst>
                <a:ext uri="{FF2B5EF4-FFF2-40B4-BE49-F238E27FC236}">
                  <a16:creationId xmlns:a16="http://schemas.microsoft.com/office/drawing/2014/main" id="{E070F3FC-3DBA-E38A-7E39-CACE661B6231}"/>
                </a:ext>
              </a:extLst>
            </xdr:cNvPr>
            <xdr:cNvSpPr/>
          </xdr:nvSpPr>
          <xdr:spPr>
            <a:xfrm>
              <a:off x="4942746" y="1700891"/>
              <a:ext cx="5133573" cy="5592537"/>
            </a:xfrm>
            <a:prstGeom prst="roundRect">
              <a:avLst>
                <a:gd name="adj" fmla="val 6006"/>
              </a:avLst>
            </a:prstGeom>
            <a:solidFill>
              <a:srgbClr val="F5F5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403C9A6E-6247-7818-375D-2F7F7414DF4A}"/>
                </a:ext>
              </a:extLst>
            </xdr:cNvPr>
            <xdr:cNvSpPr txBox="1"/>
          </xdr:nvSpPr>
          <xdr:spPr>
            <a:xfrm>
              <a:off x="5039941" y="1870979"/>
              <a:ext cx="116972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5E8D"/>
                  </a:solidFill>
                  <a:latin typeface="Segoe UI Black" panose="020B0A02040204020203" pitchFamily="34" charset="0"/>
                  <a:ea typeface="Segoe UI Black" panose="020B0A02040204020203" pitchFamily="34" charset="0"/>
                </a:rPr>
                <a:t>Average Risk Score</a:t>
              </a:r>
            </a:p>
          </xdr:txBody>
        </xdr:sp>
        <xdr:cxnSp macro="">
          <xdr:nvCxnSpPr>
            <xdr:cNvPr id="46" name="Straight Connector 45">
              <a:extLst>
                <a:ext uri="{FF2B5EF4-FFF2-40B4-BE49-F238E27FC236}">
                  <a16:creationId xmlns:a16="http://schemas.microsoft.com/office/drawing/2014/main" id="{CAA3652D-ABC9-E3D9-643E-0949D0048F33}"/>
                </a:ext>
              </a:extLst>
            </xdr:cNvPr>
            <xdr:cNvCxnSpPr/>
          </xdr:nvCxnSpPr>
          <xdr:spPr>
            <a:xfrm flipV="1">
              <a:off x="5039941" y="2604879"/>
              <a:ext cx="4909464" cy="3922"/>
            </a:xfrm>
            <a:prstGeom prst="line">
              <a:avLst/>
            </a:prstGeom>
            <a:ln>
              <a:solidFill>
                <a:srgbClr val="252B42"/>
              </a:solidFill>
            </a:ln>
          </xdr:spPr>
          <xdr:style>
            <a:lnRef idx="1">
              <a:schemeClr val="accent1"/>
            </a:lnRef>
            <a:fillRef idx="0">
              <a:schemeClr val="accent1"/>
            </a:fillRef>
            <a:effectRef idx="0">
              <a:schemeClr val="accent1"/>
            </a:effectRef>
            <a:fontRef idx="minor">
              <a:schemeClr val="tx1"/>
            </a:fontRef>
          </xdr:style>
        </xdr:cxnSp>
        <xdr:sp macro="" textlink="">
          <xdr:nvSpPr>
            <xdr:cNvPr id="53" name="TextBox 52">
              <a:extLst>
                <a:ext uri="{FF2B5EF4-FFF2-40B4-BE49-F238E27FC236}">
                  <a16:creationId xmlns:a16="http://schemas.microsoft.com/office/drawing/2014/main" id="{86AC65E2-1017-19A7-E9F6-DF0E7CC5CED4}"/>
                </a:ext>
              </a:extLst>
            </xdr:cNvPr>
            <xdr:cNvSpPr txBox="1"/>
          </xdr:nvSpPr>
          <xdr:spPr>
            <a:xfrm>
              <a:off x="5039941" y="2256046"/>
              <a:ext cx="2889760" cy="367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Shows</a:t>
              </a:r>
              <a:r>
                <a:rPr lang="en-US" sz="1100" b="0" baseline="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rPr>
                <a:t> the average of all risks, over a 12 month period</a:t>
              </a:r>
              <a:endParaRPr lang="en-US" sz="1100" b="0">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grpSp>
      <xdr:graphicFrame macro="">
        <xdr:nvGraphicFramePr>
          <xdr:cNvPr id="32" name="Chart 31">
            <a:extLst>
              <a:ext uri="{FF2B5EF4-FFF2-40B4-BE49-F238E27FC236}">
                <a16:creationId xmlns:a16="http://schemas.microsoft.com/office/drawing/2014/main" id="{6DEB1CD3-5A7C-4E36-BECE-5D0CE2D20179}"/>
              </a:ext>
            </a:extLst>
          </xdr:cNvPr>
          <xdr:cNvGraphicFramePr>
            <a:graphicFrameLocks/>
          </xdr:cNvGraphicFramePr>
        </xdr:nvGraphicFramePr>
        <xdr:xfrm>
          <a:off x="1281546" y="5403272"/>
          <a:ext cx="15880772" cy="403513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22411</xdr:rowOff>
    </xdr:from>
    <xdr:to>
      <xdr:col>29</xdr:col>
      <xdr:colOff>403412</xdr:colOff>
      <xdr:row>0</xdr:row>
      <xdr:rowOff>1287875</xdr:rowOff>
    </xdr:to>
    <xdr:grpSp>
      <xdr:nvGrpSpPr>
        <xdr:cNvPr id="14" name="Group 13">
          <a:extLst>
            <a:ext uri="{FF2B5EF4-FFF2-40B4-BE49-F238E27FC236}">
              <a16:creationId xmlns:a16="http://schemas.microsoft.com/office/drawing/2014/main" id="{D7916C4E-5C46-4072-9B6A-F595758DE356}"/>
            </a:ext>
          </a:extLst>
        </xdr:cNvPr>
        <xdr:cNvGrpSpPr>
          <a:grpSpLocks noChangeAspect="1"/>
        </xdr:cNvGrpSpPr>
      </xdr:nvGrpSpPr>
      <xdr:grpSpPr>
        <a:xfrm>
          <a:off x="1" y="22411"/>
          <a:ext cx="16345253" cy="1265464"/>
          <a:chOff x="13608" y="0"/>
          <a:chExt cx="16349382" cy="1265464"/>
        </a:xfrm>
      </xdr:grpSpPr>
      <xdr:sp macro="" textlink="">
        <xdr:nvSpPr>
          <xdr:cNvPr id="15" name="Rectangle 14">
            <a:extLst>
              <a:ext uri="{FF2B5EF4-FFF2-40B4-BE49-F238E27FC236}">
                <a16:creationId xmlns:a16="http://schemas.microsoft.com/office/drawing/2014/main" id="{2A61B980-A8C0-A3BA-A987-525A4C495EDA}"/>
              </a:ext>
            </a:extLst>
          </xdr:cNvPr>
          <xdr:cNvSpPr/>
        </xdr:nvSpPr>
        <xdr:spPr>
          <a:xfrm>
            <a:off x="13608" y="0"/>
            <a:ext cx="16349382" cy="1265464"/>
          </a:xfrm>
          <a:prstGeom prst="rect">
            <a:avLst/>
          </a:prstGeom>
          <a:solidFill>
            <a:sysClr val="window" lastClr="FFFF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16" name="Rectangle 15">
            <a:extLst>
              <a:ext uri="{FF2B5EF4-FFF2-40B4-BE49-F238E27FC236}">
                <a16:creationId xmlns:a16="http://schemas.microsoft.com/office/drawing/2014/main" id="{1EA81CF9-D4D3-B19F-98A6-9D90F72CD79C}"/>
              </a:ext>
            </a:extLst>
          </xdr:cNvPr>
          <xdr:cNvSpPr/>
        </xdr:nvSpPr>
        <xdr:spPr>
          <a:xfrm>
            <a:off x="3818796" y="121536"/>
            <a:ext cx="6005561"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GANTT CHART</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612321</xdr:colOff>
      <xdr:row>0</xdr:row>
      <xdr:rowOff>1265464</xdr:rowOff>
    </xdr:to>
    <xdr:grpSp>
      <xdr:nvGrpSpPr>
        <xdr:cNvPr id="5" name="Group 4">
          <a:extLst>
            <a:ext uri="{FF2B5EF4-FFF2-40B4-BE49-F238E27FC236}">
              <a16:creationId xmlns:a16="http://schemas.microsoft.com/office/drawing/2014/main" id="{47AF6B37-1B4B-4031-A50B-DE7A8A140582}"/>
            </a:ext>
          </a:extLst>
        </xdr:cNvPr>
        <xdr:cNvGrpSpPr>
          <a:grpSpLocks noChangeAspect="1"/>
        </xdr:cNvGrpSpPr>
      </xdr:nvGrpSpPr>
      <xdr:grpSpPr>
        <a:xfrm>
          <a:off x="0" y="0"/>
          <a:ext cx="18320627" cy="1265464"/>
          <a:chOff x="13607" y="0"/>
          <a:chExt cx="18301607" cy="1265464"/>
        </a:xfrm>
      </xdr:grpSpPr>
      <xdr:sp macro="" textlink="">
        <xdr:nvSpPr>
          <xdr:cNvPr id="6" name="Rectangle 5">
            <a:extLst>
              <a:ext uri="{FF2B5EF4-FFF2-40B4-BE49-F238E27FC236}">
                <a16:creationId xmlns:a16="http://schemas.microsoft.com/office/drawing/2014/main" id="{F762D1B0-413E-B2E9-D73C-C66B4513FE80}"/>
              </a:ext>
            </a:extLst>
          </xdr:cNvPr>
          <xdr:cNvSpPr/>
        </xdr:nvSpPr>
        <xdr:spPr>
          <a:xfrm>
            <a:off x="13607" y="0"/>
            <a:ext cx="18301607" cy="1265464"/>
          </a:xfrm>
          <a:prstGeom prst="rect">
            <a:avLst/>
          </a:prstGeom>
          <a:solidFill>
            <a:sysClr val="window" lastClr="FFFF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7" name="Rectangle 6">
            <a:extLst>
              <a:ext uri="{FF2B5EF4-FFF2-40B4-BE49-F238E27FC236}">
                <a16:creationId xmlns:a16="http://schemas.microsoft.com/office/drawing/2014/main" id="{97D669B4-F89E-4906-FE24-0A7FC44910B0}"/>
              </a:ext>
            </a:extLst>
          </xdr:cNvPr>
          <xdr:cNvSpPr/>
        </xdr:nvSpPr>
        <xdr:spPr>
          <a:xfrm>
            <a:off x="1673678" y="121536"/>
            <a:ext cx="8150679"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800" b="1">
                <a:solidFill>
                  <a:sysClr val="windowText" lastClr="000000"/>
                </a:solidFill>
                <a:effectLst/>
                <a:latin typeface="Segoe UI" panose="020B0502040204020203" pitchFamily="34" charset="0"/>
                <a:ea typeface="+mn-ea"/>
                <a:cs typeface="Segoe UI" panose="020B0502040204020203" pitchFamily="34" charset="0"/>
              </a:rPr>
              <a:t>RISK REGISTER</a:t>
            </a:r>
            <a:endParaRPr lang="en-US" sz="48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1447352</xdr:colOff>
      <xdr:row>0</xdr:row>
      <xdr:rowOff>1260421</xdr:rowOff>
    </xdr:to>
    <xdr:grpSp>
      <xdr:nvGrpSpPr>
        <xdr:cNvPr id="4" name="Group 3">
          <a:extLst>
            <a:ext uri="{FF2B5EF4-FFF2-40B4-BE49-F238E27FC236}">
              <a16:creationId xmlns:a16="http://schemas.microsoft.com/office/drawing/2014/main" id="{15A90FC3-C6ED-4177-BB90-0C702610EF88}"/>
            </a:ext>
          </a:extLst>
        </xdr:cNvPr>
        <xdr:cNvGrpSpPr>
          <a:grpSpLocks noChangeAspect="1"/>
        </xdr:cNvGrpSpPr>
      </xdr:nvGrpSpPr>
      <xdr:grpSpPr>
        <a:xfrm>
          <a:off x="0" y="0"/>
          <a:ext cx="11500557" cy="1260421"/>
          <a:chOff x="13607" y="0"/>
          <a:chExt cx="11519678" cy="1265464"/>
        </a:xfrm>
      </xdr:grpSpPr>
      <xdr:sp macro="" textlink="">
        <xdr:nvSpPr>
          <xdr:cNvPr id="5" name="Rectangle 4">
            <a:extLst>
              <a:ext uri="{FF2B5EF4-FFF2-40B4-BE49-F238E27FC236}">
                <a16:creationId xmlns:a16="http://schemas.microsoft.com/office/drawing/2014/main" id="{D4B30F8D-3855-1FFE-21D2-8BF8252EE8CC}"/>
              </a:ext>
            </a:extLst>
          </xdr:cNvPr>
          <xdr:cNvSpPr/>
        </xdr:nvSpPr>
        <xdr:spPr>
          <a:xfrm>
            <a:off x="13607" y="0"/>
            <a:ext cx="11519678" cy="1265464"/>
          </a:xfrm>
          <a:prstGeom prst="rect">
            <a:avLst/>
          </a:prstGeom>
          <a:solidFill>
            <a:sysClr val="window" lastClr="FFFFFF"/>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kern="1200"/>
          </a:p>
        </xdr:txBody>
      </xdr:sp>
      <xdr:sp macro="" textlink="">
        <xdr:nvSpPr>
          <xdr:cNvPr id="6" name="Rectangle 5">
            <a:extLst>
              <a:ext uri="{FF2B5EF4-FFF2-40B4-BE49-F238E27FC236}">
                <a16:creationId xmlns:a16="http://schemas.microsoft.com/office/drawing/2014/main" id="{570A22AC-A452-C02F-A8D4-2931EF50B957}"/>
              </a:ext>
            </a:extLst>
          </xdr:cNvPr>
          <xdr:cNvSpPr/>
        </xdr:nvSpPr>
        <xdr:spPr>
          <a:xfrm>
            <a:off x="1673678" y="121536"/>
            <a:ext cx="8150679" cy="941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US" sz="4000" b="1">
                <a:solidFill>
                  <a:sysClr val="windowText" lastClr="000000"/>
                </a:solidFill>
                <a:effectLst/>
                <a:latin typeface="Segoe UI" panose="020B0502040204020203" pitchFamily="34" charset="0"/>
                <a:ea typeface="+mn-ea"/>
                <a:cs typeface="Segoe UI" panose="020B0502040204020203" pitchFamily="34" charset="0"/>
              </a:rPr>
              <a:t>Task</a:t>
            </a:r>
            <a:r>
              <a:rPr lang="en-US" sz="4000" b="1" baseline="0">
                <a:solidFill>
                  <a:sysClr val="windowText" lastClr="000000"/>
                </a:solidFill>
                <a:effectLst/>
                <a:latin typeface="Segoe UI" panose="020B0502040204020203" pitchFamily="34" charset="0"/>
                <a:ea typeface="+mn-ea"/>
                <a:cs typeface="Segoe UI" panose="020B0502040204020203" pitchFamily="34" charset="0"/>
              </a:rPr>
              <a:t> Tracker for Risks</a:t>
            </a:r>
            <a:endParaRPr lang="en-US" sz="4000" b="1">
              <a:solidFill>
                <a:sysClr val="windowText" lastClr="000000"/>
              </a:solidFill>
              <a:effectLst/>
              <a:latin typeface="Segoe UI" panose="020B0502040204020203" pitchFamily="34" charset="0"/>
              <a:cs typeface="Segoe UI" panose="020B0502040204020203" pitchFamily="34" charset="0"/>
            </a:endParaRPr>
          </a:p>
        </xdr:txBody>
      </xdr: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04.719456250001" createdVersion="8" refreshedVersion="8" minRefreshableVersion="3" recordCount="100" xr:uid="{27464020-68FD-499C-9056-39057724BEFD}">
  <cacheSource type="worksheet">
    <worksheetSource name="Tasks"/>
  </cacheSource>
  <cacheFields count="17">
    <cacheField name="Task ID" numFmtId="0">
      <sharedItems/>
    </cacheField>
    <cacheField name="Created Date" numFmtId="165">
      <sharedItems containsNonDate="0" containsDate="1" containsString="0" containsBlank="1" minDate="2024-02-03T00:00:00" maxDate="2024-04-10T00:00:00"/>
    </cacheField>
    <cacheField name="Task Title" numFmtId="0">
      <sharedItems containsBlank="1"/>
    </cacheField>
    <cacheField name="Task Description" numFmtId="0">
      <sharedItems containsBlank="1"/>
    </cacheField>
    <cacheField name="Assignee" numFmtId="0">
      <sharedItems containsBlank="1"/>
    </cacheField>
    <cacheField name="Status" numFmtId="0">
      <sharedItems containsBlank="1"/>
    </cacheField>
    <cacheField name="Due Date" numFmtId="164">
      <sharedItems containsNonDate="0" containsDate="1" containsString="0" containsBlank="1" minDate="2024-01-01T00:00:00" maxDate="2024-11-24T00:00:00"/>
    </cacheField>
    <cacheField name="Comments" numFmtId="0">
      <sharedItems containsBlank="1"/>
    </cacheField>
    <cacheField name="Risk ID" numFmtId="0">
      <sharedItems containsString="0" containsBlank="1" containsNumber="1" containsInteger="1" minValue="1" maxValue="4"/>
    </cacheField>
    <cacheField name="Risk Title" numFmtId="0">
      <sharedItems/>
    </cacheField>
    <cacheField name="Overdue?" numFmtId="0">
      <sharedItems/>
    </cacheField>
    <cacheField name="Due Month" numFmtId="0">
      <sharedItems containsNonDate="0" containsString="0" containsBlank="1"/>
    </cacheField>
    <cacheField name="Due Year" numFmtId="0">
      <sharedItems containsNonDate="0" containsString="0" containsBlank="1"/>
    </cacheField>
    <cacheField name="Risk-ID-Title-Combo" numFmtId="0">
      <sharedItems count="9">
        <s v="1 - Risk 1"/>
        <s v="2 - Risk 2"/>
        <s v="3 - Risk 3"/>
        <s v="4 - Risk 4"/>
        <s v=" - Error!"/>
        <s v="1 - Weak physical security" u="1"/>
        <s v="2 - Windows 7 use " u="1"/>
        <s v="3 - Phishing risk" u="1"/>
        <s v="4 - DDoS attack" u="1"/>
      </sharedItems>
    </cacheField>
    <cacheField name="Residual-I-L-Combo" numFmtId="0">
      <sharedItems containsNonDate="0" containsString="0" containsBlank="1"/>
    </cacheField>
    <cacheField name="Mitigated?" numFmtId="0">
      <sharedItems containsNonDate="0" containsString="0" containsBlank="1"/>
    </cacheField>
    <cacheField name="Current Risk Leve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ASK-001"/>
    <d v="2024-04-09T00:00:00"/>
    <s v="Implement New Firewall"/>
    <s v="Simple task description"/>
    <s v="Eve"/>
    <s v="Closed"/>
    <d v="2024-04-18T00:00:00"/>
    <s v="Pending review."/>
    <n v="1"/>
    <s v="Risk 1"/>
    <s v="No"/>
    <m/>
    <m/>
    <x v="0"/>
    <m/>
    <m/>
    <m/>
  </r>
  <r>
    <s v="TASK-002"/>
    <d v="2024-02-10T00:00:00"/>
    <s v="Update Documentation"/>
    <s v="Simple task description"/>
    <s v="Alice"/>
    <s v="Closed"/>
    <d v="2024-09-03T00:00:00"/>
    <s v="No comments"/>
    <n v="2"/>
    <s v="Risk 2"/>
    <s v="No"/>
    <m/>
    <m/>
    <x v="1"/>
    <m/>
    <m/>
    <m/>
  </r>
  <r>
    <s v="TASK-003"/>
    <d v="2024-02-09T00:00:00"/>
    <s v="Conduct Risk Assessment"/>
    <s v="Simple task description"/>
    <s v="Eve"/>
    <s v="In Progress"/>
    <d v="2024-07-31T00:00:00"/>
    <s v="Pending review."/>
    <n v="3"/>
    <s v="Risk 3"/>
    <s v="Yes"/>
    <m/>
    <m/>
    <x v="2"/>
    <m/>
    <m/>
    <m/>
  </r>
  <r>
    <s v="TASK-004"/>
    <d v="2024-04-09T00:00:00"/>
    <s v="Employee Training"/>
    <s v="Simple task description"/>
    <s v="Bob"/>
    <s v="In Progress"/>
    <d v="2024-04-27T00:00:00"/>
    <s v="Pending review."/>
    <n v="1"/>
    <s v="Risk 1"/>
    <s v="Yes"/>
    <m/>
    <m/>
    <x v="0"/>
    <m/>
    <m/>
    <m/>
  </r>
  <r>
    <s v="TASK-005"/>
    <d v="2024-02-27T00:00:00"/>
    <s v="Conduct Risk Assessment"/>
    <s v="Simple task description"/>
    <s v="Diana"/>
    <s v="Closed"/>
    <d v="2024-04-24T00:00:00"/>
    <s v="Pending review."/>
    <n v="2"/>
    <s v="Risk 2"/>
    <s v="No"/>
    <m/>
    <m/>
    <x v="1"/>
    <m/>
    <m/>
    <m/>
  </r>
  <r>
    <s v="TASK-006"/>
    <d v="2024-02-17T00:00:00"/>
    <s v="Conduct Risk Assessment"/>
    <s v="Simple task description"/>
    <s v="Bob"/>
    <s v="In Progress"/>
    <d v="2024-08-11T00:00:00"/>
    <s v="Pending review."/>
    <n v="4"/>
    <s v="Risk 4"/>
    <s v="Yes"/>
    <m/>
    <m/>
    <x v="3"/>
    <m/>
    <m/>
    <m/>
  </r>
  <r>
    <s v="TASK-007"/>
    <d v="2024-04-09T00:00:00"/>
    <s v="Review Security Policies"/>
    <s v="Simple task description"/>
    <s v="Alice"/>
    <s v="In Progress"/>
    <d v="2024-11-01T00:00:00"/>
    <s v="Pending review."/>
    <n v="1"/>
    <s v="Risk 1"/>
    <s v="Yes"/>
    <m/>
    <m/>
    <x v="0"/>
    <m/>
    <m/>
    <m/>
  </r>
  <r>
    <s v="TASK-008"/>
    <d v="2024-02-22T00:00:00"/>
    <s v="Update Documentation"/>
    <s v="Simple task description"/>
    <s v="Eve"/>
    <s v="On Hold"/>
    <d v="2024-08-11T00:00:00"/>
    <s v="Pending review."/>
    <n v="2"/>
    <s v="Risk 2"/>
    <s v="Yes"/>
    <m/>
    <m/>
    <x v="1"/>
    <m/>
    <m/>
    <m/>
  </r>
  <r>
    <s v="TASK-009"/>
    <d v="2024-02-21T00:00:00"/>
    <s v="Conduct Risk Assessment"/>
    <s v="Simple task description"/>
    <s v="Bob"/>
    <s v="Not Started"/>
    <d v="2024-02-07T00:00:00"/>
    <s v="Pending review."/>
    <n v="3"/>
    <s v="Risk 3"/>
    <s v="Yes"/>
    <m/>
    <m/>
    <x v="2"/>
    <m/>
    <m/>
    <m/>
  </r>
  <r>
    <s v="TASK-010"/>
    <d v="2024-04-09T00:00:00"/>
    <s v="Implement new tool"/>
    <s v="Simple task description"/>
    <s v="Charlie"/>
    <s v="Not Started"/>
    <d v="2024-08-26T00:00:00"/>
    <s v="Pending review."/>
    <n v="1"/>
    <s v="Risk 1"/>
    <s v="Yes"/>
    <m/>
    <m/>
    <x v="0"/>
    <m/>
    <m/>
    <m/>
  </r>
  <r>
    <s v="TASK-011"/>
    <d v="2024-02-04T00:00:00"/>
    <s v="Employee Training"/>
    <s v="Simple task description"/>
    <s v="Diana"/>
    <s v="On Hold"/>
    <d v="2024-08-20T00:00:00"/>
    <s v="No comments"/>
    <n v="2"/>
    <s v="Risk 2"/>
    <s v="Yes"/>
    <m/>
    <m/>
    <x v="1"/>
    <m/>
    <m/>
    <m/>
  </r>
  <r>
    <s v="TASK-012"/>
    <d v="2024-02-14T00:00:00"/>
    <s v="Implement new tool"/>
    <s v="Simple task description"/>
    <s v="Eve"/>
    <s v="In Progress"/>
    <d v="2024-02-21T00:00:00"/>
    <s v="No comments"/>
    <n v="3"/>
    <s v="Risk 3"/>
    <s v="Yes"/>
    <m/>
    <m/>
    <x v="2"/>
    <m/>
    <m/>
    <m/>
  </r>
  <r>
    <s v="TASK-013"/>
    <d v="2024-04-09T00:00:00"/>
    <s v="Implement new tool"/>
    <s v="Simple task description"/>
    <s v="Bob"/>
    <s v="Closed"/>
    <d v="2024-11-10T00:00:00"/>
    <s v="Pending review."/>
    <n v="1"/>
    <s v="Risk 1"/>
    <s v="No"/>
    <m/>
    <m/>
    <x v="0"/>
    <m/>
    <m/>
    <m/>
  </r>
  <r>
    <s v="TASK-014"/>
    <d v="2024-04-09T00:00:00"/>
    <s v="Implement new tool"/>
    <s v="Simple task description"/>
    <s v="Bob"/>
    <s v="Closed"/>
    <d v="2024-02-15T00:00:00"/>
    <s v="Pending review."/>
    <n v="1"/>
    <s v="Risk 1"/>
    <s v="No"/>
    <m/>
    <m/>
    <x v="0"/>
    <m/>
    <m/>
    <m/>
  </r>
  <r>
    <s v="TASK-015"/>
    <d v="2024-02-24T00:00:00"/>
    <s v="Employee Training"/>
    <s v="Simple task description"/>
    <s v="Alice"/>
    <s v="Closed"/>
    <d v="2024-10-12T00:00:00"/>
    <s v="Pending review."/>
    <n v="2"/>
    <s v="Risk 2"/>
    <s v="No"/>
    <m/>
    <m/>
    <x v="1"/>
    <m/>
    <m/>
    <m/>
  </r>
  <r>
    <s v="TASK-016"/>
    <d v="2024-02-26T00:00:00"/>
    <s v="Review Security Policies"/>
    <s v="Simple task description"/>
    <s v="Charlie"/>
    <s v="Not Started"/>
    <d v="2024-01-01T00:00:00"/>
    <s v="No comments"/>
    <n v="2"/>
    <s v="Risk 2"/>
    <s v="Yes"/>
    <m/>
    <m/>
    <x v="1"/>
    <m/>
    <m/>
    <m/>
  </r>
  <r>
    <s v="TASK-017"/>
    <d v="2024-02-27T00:00:00"/>
    <s v="Review Security Policies"/>
    <s v="Simple task description"/>
    <s v="Eve"/>
    <s v="On Hold"/>
    <d v="2024-11-02T00:00:00"/>
    <s v="Pending review."/>
    <n v="3"/>
    <s v="Risk 3"/>
    <s v="Yes"/>
    <m/>
    <m/>
    <x v="2"/>
    <m/>
    <m/>
    <m/>
  </r>
  <r>
    <s v="TASK-018"/>
    <d v="2024-02-04T00:00:00"/>
    <s v="Implement new tool"/>
    <s v="Simple task description"/>
    <s v="Eve"/>
    <s v="Closed"/>
    <d v="2024-02-26T00:00:00"/>
    <s v="Pending review."/>
    <n v="3"/>
    <s v="Risk 3"/>
    <s v="No"/>
    <m/>
    <m/>
    <x v="2"/>
    <m/>
    <m/>
    <m/>
  </r>
  <r>
    <s v="TASK-019"/>
    <d v="2024-04-09T00:00:00"/>
    <s v="Employee Training"/>
    <s v="Simple task description"/>
    <s v="Diana"/>
    <s v="Closed"/>
    <d v="2024-11-23T00:00:00"/>
    <s v="No comments"/>
    <n v="1"/>
    <s v="Risk 1"/>
    <s v="No"/>
    <m/>
    <m/>
    <x v="0"/>
    <m/>
    <m/>
    <m/>
  </r>
  <r>
    <s v="TASK-020"/>
    <d v="2024-02-03T00:00:00"/>
    <s v="Employee Training"/>
    <s v="Simple task description"/>
    <s v="Diana"/>
    <s v="In Progress"/>
    <d v="2024-06-14T00:00:00"/>
    <s v="Pending review."/>
    <n v="2"/>
    <s v="Risk 2"/>
    <s v="Yes"/>
    <m/>
    <m/>
    <x v="1"/>
    <m/>
    <m/>
    <m/>
  </r>
  <r>
    <s v="TASK-021"/>
    <m/>
    <m/>
    <m/>
    <m/>
    <m/>
    <m/>
    <m/>
    <m/>
    <s v="Error!"/>
    <s v="Error"/>
    <m/>
    <m/>
    <x v="4"/>
    <m/>
    <m/>
    <m/>
  </r>
  <r>
    <s v="TASK-022"/>
    <m/>
    <m/>
    <m/>
    <m/>
    <m/>
    <m/>
    <m/>
    <m/>
    <s v="Error!"/>
    <s v="Error"/>
    <m/>
    <m/>
    <x v="4"/>
    <m/>
    <m/>
    <m/>
  </r>
  <r>
    <s v="TASK-023"/>
    <m/>
    <m/>
    <m/>
    <m/>
    <m/>
    <m/>
    <m/>
    <m/>
    <s v="Error!"/>
    <s v="Error"/>
    <m/>
    <m/>
    <x v="4"/>
    <m/>
    <m/>
    <m/>
  </r>
  <r>
    <s v="TASK-024"/>
    <m/>
    <m/>
    <m/>
    <m/>
    <m/>
    <m/>
    <m/>
    <m/>
    <s v="Error!"/>
    <s v="Error"/>
    <m/>
    <m/>
    <x v="4"/>
    <m/>
    <m/>
    <m/>
  </r>
  <r>
    <s v="TASK-025"/>
    <m/>
    <m/>
    <m/>
    <m/>
    <m/>
    <m/>
    <m/>
    <m/>
    <s v="Error!"/>
    <s v="Error"/>
    <m/>
    <m/>
    <x v="4"/>
    <m/>
    <m/>
    <m/>
  </r>
  <r>
    <s v="TASK-026"/>
    <m/>
    <m/>
    <m/>
    <m/>
    <m/>
    <m/>
    <m/>
    <m/>
    <s v="Error!"/>
    <s v="Error"/>
    <m/>
    <m/>
    <x v="4"/>
    <m/>
    <m/>
    <m/>
  </r>
  <r>
    <s v="TASK-027"/>
    <m/>
    <m/>
    <m/>
    <m/>
    <m/>
    <m/>
    <m/>
    <m/>
    <s v="Error!"/>
    <s v="Error"/>
    <m/>
    <m/>
    <x v="4"/>
    <m/>
    <m/>
    <m/>
  </r>
  <r>
    <s v="TASK-028"/>
    <m/>
    <m/>
    <m/>
    <m/>
    <m/>
    <m/>
    <m/>
    <m/>
    <s v="Error!"/>
    <s v="Error"/>
    <m/>
    <m/>
    <x v="4"/>
    <m/>
    <m/>
    <m/>
  </r>
  <r>
    <s v="TASK-029"/>
    <m/>
    <m/>
    <m/>
    <m/>
    <m/>
    <m/>
    <m/>
    <m/>
    <s v="Error!"/>
    <s v="Error"/>
    <m/>
    <m/>
    <x v="4"/>
    <m/>
    <m/>
    <m/>
  </r>
  <r>
    <s v="TASK-030"/>
    <m/>
    <m/>
    <m/>
    <m/>
    <m/>
    <m/>
    <m/>
    <m/>
    <s v="Error!"/>
    <s v="Error"/>
    <m/>
    <m/>
    <x v="4"/>
    <m/>
    <m/>
    <m/>
  </r>
  <r>
    <s v="TASK-031"/>
    <m/>
    <m/>
    <m/>
    <m/>
    <m/>
    <m/>
    <m/>
    <m/>
    <s v="Error!"/>
    <s v="Error"/>
    <m/>
    <m/>
    <x v="4"/>
    <m/>
    <m/>
    <m/>
  </r>
  <r>
    <s v="TASK-032"/>
    <m/>
    <m/>
    <m/>
    <m/>
    <m/>
    <m/>
    <m/>
    <m/>
    <s v="Error!"/>
    <s v="Error"/>
    <m/>
    <m/>
    <x v="4"/>
    <m/>
    <m/>
    <m/>
  </r>
  <r>
    <s v="TASK-033"/>
    <m/>
    <m/>
    <m/>
    <m/>
    <m/>
    <m/>
    <m/>
    <m/>
    <s v="Error!"/>
    <s v="Error"/>
    <m/>
    <m/>
    <x v="4"/>
    <m/>
    <m/>
    <m/>
  </r>
  <r>
    <s v="TASK-034"/>
    <m/>
    <m/>
    <m/>
    <m/>
    <m/>
    <m/>
    <m/>
    <m/>
    <s v="Error!"/>
    <s v="Error"/>
    <m/>
    <m/>
    <x v="4"/>
    <m/>
    <m/>
    <m/>
  </r>
  <r>
    <s v="TASK-035"/>
    <m/>
    <m/>
    <m/>
    <m/>
    <m/>
    <m/>
    <m/>
    <m/>
    <s v="Error!"/>
    <s v="Error"/>
    <m/>
    <m/>
    <x v="4"/>
    <m/>
    <m/>
    <m/>
  </r>
  <r>
    <s v="TASK-036"/>
    <m/>
    <m/>
    <m/>
    <m/>
    <m/>
    <m/>
    <m/>
    <m/>
    <s v="Error!"/>
    <s v="Error"/>
    <m/>
    <m/>
    <x v="4"/>
    <m/>
    <m/>
    <m/>
  </r>
  <r>
    <s v="TASK-037"/>
    <m/>
    <m/>
    <m/>
    <m/>
    <m/>
    <m/>
    <m/>
    <m/>
    <s v="Error!"/>
    <s v="Error"/>
    <m/>
    <m/>
    <x v="4"/>
    <m/>
    <m/>
    <m/>
  </r>
  <r>
    <s v="TASK-038"/>
    <m/>
    <m/>
    <m/>
    <m/>
    <m/>
    <m/>
    <m/>
    <m/>
    <s v="Error!"/>
    <s v="Error"/>
    <m/>
    <m/>
    <x v="4"/>
    <m/>
    <m/>
    <m/>
  </r>
  <r>
    <s v="TASK-039"/>
    <m/>
    <m/>
    <m/>
    <m/>
    <m/>
    <m/>
    <m/>
    <m/>
    <s v="Error!"/>
    <s v="Error"/>
    <m/>
    <m/>
    <x v="4"/>
    <m/>
    <m/>
    <m/>
  </r>
  <r>
    <s v="TASK-040"/>
    <m/>
    <m/>
    <m/>
    <m/>
    <m/>
    <m/>
    <m/>
    <m/>
    <s v="Error!"/>
    <s v="Error"/>
    <m/>
    <m/>
    <x v="4"/>
    <m/>
    <m/>
    <m/>
  </r>
  <r>
    <s v="TASK-041"/>
    <m/>
    <m/>
    <m/>
    <m/>
    <m/>
    <m/>
    <m/>
    <m/>
    <s v="Error!"/>
    <s v="Error"/>
    <m/>
    <m/>
    <x v="4"/>
    <m/>
    <m/>
    <m/>
  </r>
  <r>
    <s v="TASK-042"/>
    <m/>
    <m/>
    <m/>
    <m/>
    <m/>
    <m/>
    <m/>
    <m/>
    <s v="Error!"/>
    <s v="Error"/>
    <m/>
    <m/>
    <x v="4"/>
    <m/>
    <m/>
    <m/>
  </r>
  <r>
    <s v="TASK-043"/>
    <m/>
    <m/>
    <m/>
    <m/>
    <m/>
    <m/>
    <m/>
    <m/>
    <s v="Error!"/>
    <s v="Error"/>
    <m/>
    <m/>
    <x v="4"/>
    <m/>
    <m/>
    <m/>
  </r>
  <r>
    <s v="TASK-044"/>
    <m/>
    <m/>
    <m/>
    <m/>
    <m/>
    <m/>
    <m/>
    <m/>
    <s v="Error!"/>
    <s v="Error"/>
    <m/>
    <m/>
    <x v="4"/>
    <m/>
    <m/>
    <m/>
  </r>
  <r>
    <s v="TASK-045"/>
    <m/>
    <m/>
    <m/>
    <m/>
    <m/>
    <m/>
    <m/>
    <m/>
    <s v="Error!"/>
    <s v="Error"/>
    <m/>
    <m/>
    <x v="4"/>
    <m/>
    <m/>
    <m/>
  </r>
  <r>
    <s v="TASK-046"/>
    <m/>
    <m/>
    <m/>
    <m/>
    <m/>
    <m/>
    <m/>
    <m/>
    <s v="Error!"/>
    <s v="Error"/>
    <m/>
    <m/>
    <x v="4"/>
    <m/>
    <m/>
    <m/>
  </r>
  <r>
    <s v="TASK-047"/>
    <m/>
    <m/>
    <m/>
    <m/>
    <m/>
    <m/>
    <m/>
    <m/>
    <s v="Error!"/>
    <s v="Error"/>
    <m/>
    <m/>
    <x v="4"/>
    <m/>
    <m/>
    <m/>
  </r>
  <r>
    <s v="TASK-048"/>
    <m/>
    <m/>
    <m/>
    <m/>
    <m/>
    <m/>
    <m/>
    <m/>
    <s v="Error!"/>
    <s v="Error"/>
    <m/>
    <m/>
    <x v="4"/>
    <m/>
    <m/>
    <m/>
  </r>
  <r>
    <s v="TASK-049"/>
    <m/>
    <m/>
    <m/>
    <m/>
    <m/>
    <m/>
    <m/>
    <m/>
    <s v="Error!"/>
    <s v="Error"/>
    <m/>
    <m/>
    <x v="4"/>
    <m/>
    <m/>
    <m/>
  </r>
  <r>
    <s v="TASK-050"/>
    <m/>
    <m/>
    <m/>
    <m/>
    <m/>
    <m/>
    <m/>
    <m/>
    <s v="Error!"/>
    <s v="Error"/>
    <m/>
    <m/>
    <x v="4"/>
    <m/>
    <m/>
    <m/>
  </r>
  <r>
    <s v="TASK-051"/>
    <m/>
    <m/>
    <m/>
    <m/>
    <m/>
    <m/>
    <m/>
    <m/>
    <s v="Error!"/>
    <s v="Error"/>
    <m/>
    <m/>
    <x v="4"/>
    <m/>
    <m/>
    <m/>
  </r>
  <r>
    <s v="TASK-052"/>
    <m/>
    <m/>
    <m/>
    <m/>
    <m/>
    <m/>
    <m/>
    <m/>
    <s v="Error!"/>
    <s v="Error"/>
    <m/>
    <m/>
    <x v="4"/>
    <m/>
    <m/>
    <m/>
  </r>
  <r>
    <s v="TASK-053"/>
    <m/>
    <m/>
    <m/>
    <m/>
    <m/>
    <m/>
    <m/>
    <m/>
    <s v="Error!"/>
    <s v="Error"/>
    <m/>
    <m/>
    <x v="4"/>
    <m/>
    <m/>
    <m/>
  </r>
  <r>
    <s v="TASK-054"/>
    <m/>
    <m/>
    <m/>
    <m/>
    <m/>
    <m/>
    <m/>
    <m/>
    <s v="Error!"/>
    <s v="Error"/>
    <m/>
    <m/>
    <x v="4"/>
    <m/>
    <m/>
    <m/>
  </r>
  <r>
    <s v="TASK-055"/>
    <m/>
    <m/>
    <m/>
    <m/>
    <m/>
    <m/>
    <m/>
    <m/>
    <s v="Error!"/>
    <s v="Error"/>
    <m/>
    <m/>
    <x v="4"/>
    <m/>
    <m/>
    <m/>
  </r>
  <r>
    <s v="TASK-056"/>
    <m/>
    <m/>
    <m/>
    <m/>
    <m/>
    <m/>
    <m/>
    <m/>
    <s v="Error!"/>
    <s v="Error"/>
    <m/>
    <m/>
    <x v="4"/>
    <m/>
    <m/>
    <m/>
  </r>
  <r>
    <s v="TASK-057"/>
    <m/>
    <m/>
    <m/>
    <m/>
    <m/>
    <m/>
    <m/>
    <m/>
    <s v="Error!"/>
    <s v="Error"/>
    <m/>
    <m/>
    <x v="4"/>
    <m/>
    <m/>
    <m/>
  </r>
  <r>
    <s v="TASK-058"/>
    <m/>
    <m/>
    <m/>
    <m/>
    <m/>
    <m/>
    <m/>
    <m/>
    <s v="Error!"/>
    <s v="Error"/>
    <m/>
    <m/>
    <x v="4"/>
    <m/>
    <m/>
    <m/>
  </r>
  <r>
    <s v="TASK-059"/>
    <m/>
    <m/>
    <m/>
    <m/>
    <m/>
    <m/>
    <m/>
    <m/>
    <s v="Error!"/>
    <s v="Error"/>
    <m/>
    <m/>
    <x v="4"/>
    <m/>
    <m/>
    <m/>
  </r>
  <r>
    <s v="TASK-060"/>
    <m/>
    <m/>
    <m/>
    <m/>
    <m/>
    <m/>
    <m/>
    <m/>
    <s v="Error!"/>
    <s v="Error"/>
    <m/>
    <m/>
    <x v="4"/>
    <m/>
    <m/>
    <m/>
  </r>
  <r>
    <s v="TASK-061"/>
    <m/>
    <m/>
    <m/>
    <m/>
    <m/>
    <m/>
    <m/>
    <m/>
    <s v="Error!"/>
    <s v="Error"/>
    <m/>
    <m/>
    <x v="4"/>
    <m/>
    <m/>
    <m/>
  </r>
  <r>
    <s v="TASK-062"/>
    <m/>
    <m/>
    <m/>
    <m/>
    <m/>
    <m/>
    <m/>
    <m/>
    <s v="Error!"/>
    <s v="Error"/>
    <m/>
    <m/>
    <x v="4"/>
    <m/>
    <m/>
    <m/>
  </r>
  <r>
    <s v="TASK-063"/>
    <m/>
    <m/>
    <m/>
    <m/>
    <m/>
    <m/>
    <m/>
    <m/>
    <s v="Error!"/>
    <s v="Error"/>
    <m/>
    <m/>
    <x v="4"/>
    <m/>
    <m/>
    <m/>
  </r>
  <r>
    <s v="TASK-064"/>
    <m/>
    <m/>
    <m/>
    <m/>
    <m/>
    <m/>
    <m/>
    <m/>
    <s v="Error!"/>
    <s v="Error"/>
    <m/>
    <m/>
    <x v="4"/>
    <m/>
    <m/>
    <m/>
  </r>
  <r>
    <s v="TASK-065"/>
    <m/>
    <m/>
    <m/>
    <m/>
    <m/>
    <m/>
    <m/>
    <m/>
    <s v="Error!"/>
    <s v="Error"/>
    <m/>
    <m/>
    <x v="4"/>
    <m/>
    <m/>
    <m/>
  </r>
  <r>
    <s v="TASK-066"/>
    <m/>
    <m/>
    <m/>
    <m/>
    <m/>
    <m/>
    <m/>
    <m/>
    <s v="Error!"/>
    <s v="Error"/>
    <m/>
    <m/>
    <x v="4"/>
    <m/>
    <m/>
    <m/>
  </r>
  <r>
    <s v="TASK-067"/>
    <m/>
    <m/>
    <m/>
    <m/>
    <m/>
    <m/>
    <m/>
    <m/>
    <s v="Error!"/>
    <s v="Error"/>
    <m/>
    <m/>
    <x v="4"/>
    <m/>
    <m/>
    <m/>
  </r>
  <r>
    <s v="TASK-068"/>
    <m/>
    <m/>
    <m/>
    <m/>
    <m/>
    <m/>
    <m/>
    <m/>
    <s v="Error!"/>
    <s v="Error"/>
    <m/>
    <m/>
    <x v="4"/>
    <m/>
    <m/>
    <m/>
  </r>
  <r>
    <s v="TASK-069"/>
    <m/>
    <m/>
    <m/>
    <m/>
    <m/>
    <m/>
    <m/>
    <m/>
    <s v="Error!"/>
    <s v="Error"/>
    <m/>
    <m/>
    <x v="4"/>
    <m/>
    <m/>
    <m/>
  </r>
  <r>
    <s v="TASK-070"/>
    <m/>
    <m/>
    <m/>
    <m/>
    <m/>
    <m/>
    <m/>
    <m/>
    <s v="Error!"/>
    <s v="Error"/>
    <m/>
    <m/>
    <x v="4"/>
    <m/>
    <m/>
    <m/>
  </r>
  <r>
    <s v="TASK-071"/>
    <m/>
    <m/>
    <m/>
    <m/>
    <m/>
    <m/>
    <m/>
    <m/>
    <s v="Error!"/>
    <s v="Error"/>
    <m/>
    <m/>
    <x v="4"/>
    <m/>
    <m/>
    <m/>
  </r>
  <r>
    <s v="TASK-072"/>
    <m/>
    <m/>
    <m/>
    <m/>
    <m/>
    <m/>
    <m/>
    <m/>
    <s v="Error!"/>
    <s v="Error"/>
    <m/>
    <m/>
    <x v="4"/>
    <m/>
    <m/>
    <m/>
  </r>
  <r>
    <s v="TASK-073"/>
    <m/>
    <m/>
    <m/>
    <m/>
    <m/>
    <m/>
    <m/>
    <m/>
    <s v="Error!"/>
    <s v="Error"/>
    <m/>
    <m/>
    <x v="4"/>
    <m/>
    <m/>
    <m/>
  </r>
  <r>
    <s v="TASK-074"/>
    <m/>
    <m/>
    <m/>
    <m/>
    <m/>
    <m/>
    <m/>
    <m/>
    <s v="Error!"/>
    <s v="Error"/>
    <m/>
    <m/>
    <x v="4"/>
    <m/>
    <m/>
    <m/>
  </r>
  <r>
    <s v="TASK-075"/>
    <m/>
    <m/>
    <m/>
    <m/>
    <m/>
    <m/>
    <m/>
    <m/>
    <s v="Error!"/>
    <s v="Error"/>
    <m/>
    <m/>
    <x v="4"/>
    <m/>
    <m/>
    <m/>
  </r>
  <r>
    <s v="TASK-076"/>
    <m/>
    <m/>
    <m/>
    <m/>
    <m/>
    <m/>
    <m/>
    <m/>
    <s v="Error!"/>
    <s v="Error"/>
    <m/>
    <m/>
    <x v="4"/>
    <m/>
    <m/>
    <m/>
  </r>
  <r>
    <s v="TASK-077"/>
    <m/>
    <m/>
    <m/>
    <m/>
    <m/>
    <m/>
    <m/>
    <m/>
    <s v="Error!"/>
    <s v="Error"/>
    <m/>
    <m/>
    <x v="4"/>
    <m/>
    <m/>
    <m/>
  </r>
  <r>
    <s v="TASK-078"/>
    <m/>
    <m/>
    <m/>
    <m/>
    <m/>
    <m/>
    <m/>
    <m/>
    <s v="Error!"/>
    <s v="Error"/>
    <m/>
    <m/>
    <x v="4"/>
    <m/>
    <m/>
    <m/>
  </r>
  <r>
    <s v="TASK-079"/>
    <m/>
    <m/>
    <m/>
    <m/>
    <m/>
    <m/>
    <m/>
    <m/>
    <s v="Error!"/>
    <s v="Error"/>
    <m/>
    <m/>
    <x v="4"/>
    <m/>
    <m/>
    <m/>
  </r>
  <r>
    <s v="TASK-080"/>
    <m/>
    <m/>
    <m/>
    <m/>
    <m/>
    <m/>
    <m/>
    <m/>
    <s v="Error!"/>
    <s v="Error"/>
    <m/>
    <m/>
    <x v="4"/>
    <m/>
    <m/>
    <m/>
  </r>
  <r>
    <s v="TASK-081"/>
    <m/>
    <m/>
    <m/>
    <m/>
    <m/>
    <m/>
    <m/>
    <m/>
    <s v="Error!"/>
    <s v="Error"/>
    <m/>
    <m/>
    <x v="4"/>
    <m/>
    <m/>
    <m/>
  </r>
  <r>
    <s v="TASK-082"/>
    <m/>
    <m/>
    <m/>
    <m/>
    <m/>
    <m/>
    <m/>
    <m/>
    <s v="Error!"/>
    <s v="Error"/>
    <m/>
    <m/>
    <x v="4"/>
    <m/>
    <m/>
    <m/>
  </r>
  <r>
    <s v="TASK-083"/>
    <m/>
    <m/>
    <m/>
    <m/>
    <m/>
    <m/>
    <m/>
    <m/>
    <s v="Error!"/>
    <s v="Error"/>
    <m/>
    <m/>
    <x v="4"/>
    <m/>
    <m/>
    <m/>
  </r>
  <r>
    <s v="TASK-084"/>
    <m/>
    <m/>
    <m/>
    <m/>
    <m/>
    <m/>
    <m/>
    <m/>
    <s v="Error!"/>
    <s v="Error"/>
    <m/>
    <m/>
    <x v="4"/>
    <m/>
    <m/>
    <m/>
  </r>
  <r>
    <s v="TASK-085"/>
    <m/>
    <m/>
    <m/>
    <m/>
    <m/>
    <m/>
    <m/>
    <m/>
    <s v="Error!"/>
    <s v="Error"/>
    <m/>
    <m/>
    <x v="4"/>
    <m/>
    <m/>
    <m/>
  </r>
  <r>
    <s v="TASK-086"/>
    <m/>
    <m/>
    <m/>
    <m/>
    <m/>
    <m/>
    <m/>
    <m/>
    <s v="Error!"/>
    <s v="Error"/>
    <m/>
    <m/>
    <x v="4"/>
    <m/>
    <m/>
    <m/>
  </r>
  <r>
    <s v="TASK-087"/>
    <m/>
    <m/>
    <m/>
    <m/>
    <m/>
    <m/>
    <m/>
    <m/>
    <s v="Error!"/>
    <s v="Error"/>
    <m/>
    <m/>
    <x v="4"/>
    <m/>
    <m/>
    <m/>
  </r>
  <r>
    <s v="TASK-088"/>
    <m/>
    <m/>
    <m/>
    <m/>
    <m/>
    <m/>
    <m/>
    <m/>
    <s v="Error!"/>
    <s v="Error"/>
    <m/>
    <m/>
    <x v="4"/>
    <m/>
    <m/>
    <m/>
  </r>
  <r>
    <s v="TASK-089"/>
    <m/>
    <m/>
    <m/>
    <m/>
    <m/>
    <m/>
    <m/>
    <m/>
    <s v="Error!"/>
    <s v="Error"/>
    <m/>
    <m/>
    <x v="4"/>
    <m/>
    <m/>
    <m/>
  </r>
  <r>
    <s v="TASK-090"/>
    <m/>
    <m/>
    <m/>
    <m/>
    <m/>
    <m/>
    <m/>
    <m/>
    <s v="Error!"/>
    <s v="Error"/>
    <m/>
    <m/>
    <x v="4"/>
    <m/>
    <m/>
    <m/>
  </r>
  <r>
    <s v="TASK-091"/>
    <m/>
    <m/>
    <m/>
    <m/>
    <m/>
    <m/>
    <m/>
    <m/>
    <s v="Error!"/>
    <e v="#REF!"/>
    <m/>
    <m/>
    <x v="4"/>
    <m/>
    <m/>
    <m/>
  </r>
  <r>
    <s v="TASK-092"/>
    <m/>
    <m/>
    <m/>
    <m/>
    <m/>
    <m/>
    <m/>
    <m/>
    <s v="Error!"/>
    <s v="Error"/>
    <m/>
    <m/>
    <x v="4"/>
    <m/>
    <m/>
    <m/>
  </r>
  <r>
    <s v="TASK-093"/>
    <m/>
    <m/>
    <m/>
    <m/>
    <m/>
    <m/>
    <m/>
    <m/>
    <s v="Error!"/>
    <s v="Error"/>
    <m/>
    <m/>
    <x v="4"/>
    <m/>
    <m/>
    <m/>
  </r>
  <r>
    <s v="TASK-094"/>
    <m/>
    <m/>
    <m/>
    <m/>
    <m/>
    <m/>
    <m/>
    <m/>
    <s v="Error!"/>
    <s v="Error"/>
    <m/>
    <m/>
    <x v="4"/>
    <m/>
    <m/>
    <m/>
  </r>
  <r>
    <s v="TASK-095"/>
    <m/>
    <m/>
    <m/>
    <m/>
    <m/>
    <m/>
    <m/>
    <m/>
    <s v="Error!"/>
    <s v="Error"/>
    <m/>
    <m/>
    <x v="4"/>
    <m/>
    <m/>
    <m/>
  </r>
  <r>
    <s v="TASK-096"/>
    <m/>
    <m/>
    <m/>
    <m/>
    <m/>
    <m/>
    <m/>
    <m/>
    <s v="Error!"/>
    <s v="Error"/>
    <m/>
    <m/>
    <x v="4"/>
    <m/>
    <m/>
    <m/>
  </r>
  <r>
    <s v="TASK-097"/>
    <m/>
    <m/>
    <m/>
    <m/>
    <m/>
    <m/>
    <m/>
    <m/>
    <s v="Error!"/>
    <s v="Error"/>
    <m/>
    <m/>
    <x v="4"/>
    <m/>
    <m/>
    <m/>
  </r>
  <r>
    <s v="TASK-098"/>
    <m/>
    <m/>
    <m/>
    <m/>
    <m/>
    <m/>
    <m/>
    <m/>
    <s v="Error!"/>
    <s v="Error"/>
    <m/>
    <m/>
    <x v="4"/>
    <m/>
    <m/>
    <m/>
  </r>
  <r>
    <s v="TASK-099"/>
    <m/>
    <m/>
    <m/>
    <m/>
    <m/>
    <m/>
    <m/>
    <m/>
    <s v="Error!"/>
    <s v="Error"/>
    <m/>
    <m/>
    <x v="4"/>
    <m/>
    <m/>
    <m/>
  </r>
  <r>
    <s v="TASK-100"/>
    <m/>
    <m/>
    <m/>
    <m/>
    <m/>
    <m/>
    <m/>
    <m/>
    <s v="Error!"/>
    <s v="Error"/>
    <m/>
    <m/>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660FCA-3347-4C29-B027-9381D488729A}" name="PivotTable10" cacheId="0" applyNumberFormats="0" applyBorderFormats="0" applyFontFormats="0" applyPatternFormats="0" applyAlignmentFormats="0" applyWidthHeightFormats="1" dataCaption="Values" updatedVersion="8" minRefreshableVersion="3" showDrill="0" rowGrandTotals="0" colGrandTotals="0" itemPrintTitles="1" createdVersion="8" indent="0" outline="1" outlineData="1" multipleFieldFilters="0" chartFormat="4" rowHeaderCaption="Risks">
  <location ref="B6:D10" firstHeaderRow="0" firstDataRow="1" firstDataCol="1"/>
  <pivotFields count="17">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h="1" x="4"/>
        <item m="1" x="5"/>
        <item m="1" x="6"/>
        <item m="1" x="7"/>
        <item m="1" x="8"/>
        <item x="0"/>
        <item x="1"/>
        <item x="2"/>
        <item x="3"/>
        <item t="default"/>
      </items>
    </pivotField>
    <pivotField showAll="0"/>
    <pivotField showAll="0"/>
    <pivotField showAll="0"/>
  </pivotFields>
  <rowFields count="1">
    <field x="13"/>
  </rowFields>
  <rowItems count="4">
    <i>
      <x v="5"/>
    </i>
    <i>
      <x v="6"/>
    </i>
    <i>
      <x v="7"/>
    </i>
    <i>
      <x v="8"/>
    </i>
  </rowItems>
  <colFields count="1">
    <field x="-2"/>
  </colFields>
  <colItems count="2">
    <i>
      <x/>
    </i>
    <i i="1">
      <x v="1"/>
    </i>
  </colItems>
  <dataFields count="2">
    <dataField name="Start" fld="1" subtotal="min" baseField="13" baseItem="1" numFmtId="165"/>
    <dataField name="Due" fld="6" subtotal="max" baseField="13" baseItem="2"/>
  </dataFields>
  <formats count="9">
    <format dxfId="15">
      <pivotArea collapsedLevelsAreSubtotals="1" fieldPosition="0">
        <references count="2">
          <reference field="4294967294" count="1" selected="0">
            <x v="1"/>
          </reference>
          <reference field="13" count="0"/>
        </references>
      </pivotArea>
    </format>
    <format dxfId="14">
      <pivotArea outline="0" collapsedLevelsAreSubtotals="1" fieldPosition="0">
        <references count="1">
          <reference field="4294967294" count="1" selected="0">
            <x v="0"/>
          </reference>
        </references>
      </pivotArea>
    </format>
    <format dxfId="13">
      <pivotArea outline="0" collapsedLevelsAreSubtotals="1"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13" type="button" dataOnly="0" labelOnly="1" outline="0" axis="axisRow" fieldPosition="0"/>
    </format>
    <format dxfId="8">
      <pivotArea dataOnly="0" labelOnly="1" fieldPosition="0">
        <references count="1">
          <reference field="13" count="0"/>
        </references>
      </pivotArea>
    </format>
    <format dxfId="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6685F8-C059-4F5C-B7FF-A71D555C7119}" name="RiskRegister" displayName="RiskRegister" ref="A3:AA20" totalsRowShown="0" headerRowDxfId="45" dataDxfId="43" headerRowBorderDxfId="44" headerRowCellStyle="Title 2">
  <autoFilter ref="A3:AA20" xr:uid="{636685F8-C059-4F5C-B7FF-A71D555C7119}"/>
  <sortState xmlns:xlrd2="http://schemas.microsoft.com/office/spreadsheetml/2017/richdata2" ref="A5:AA20">
    <sortCondition ref="G3:G20"/>
  </sortState>
  <tableColumns count="27">
    <tableColumn id="3" xr3:uid="{5909478F-C303-424C-B563-36706BCF9F52}" name="Risk ID" dataDxfId="42"/>
    <tableColumn id="4" xr3:uid="{F3298DF4-2666-4D4D-A358-DE705433F38B}" name="Asset " dataDxfId="41"/>
    <tableColumn id="5" xr3:uid="{5B98027C-37BB-44BD-9A81-4430BD249986}" name="Risk Description" dataDxfId="40"/>
    <tableColumn id="39" xr3:uid="{4C68680D-E6BB-4CD7-BA69-9473D87A4F73}" name="Threat" dataDxfId="39"/>
    <tableColumn id="29" xr3:uid="{5925DE37-8377-46F7-BC3C-6B84B5A5EEB4}" name="Vulnerability" dataDxfId="38"/>
    <tableColumn id="22" xr3:uid="{FF65577B-FDEA-4913-895D-8B1B15398E17}" name="Likelihood" dataDxfId="37"/>
    <tableColumn id="6" xr3:uid="{13A6724C-2C47-43B3-830E-DA584A406559}" name="Imapct" dataDxfId="36"/>
    <tableColumn id="8" xr3:uid="{A089B670-F85A-4A10-B608-6C25AF209690}" name="Risk score" dataDxfId="35"/>
    <tableColumn id="9" xr3:uid="{1C67AE7A-7351-430F-ABB7-6AA8DD7C1160}" name="Risk Level" dataDxfId="34"/>
    <tableColumn id="10" xr3:uid="{A7793825-053F-479E-B35D-DEC2D94177F2}" name="Risk Owner" dataDxfId="33"/>
    <tableColumn id="12" xr3:uid="{1F573EC7-D71E-423F-BBF4-565C9EB0F262}" name="Existing measures and controls" dataDxfId="32"/>
    <tableColumn id="11" xr3:uid="{8078D843-73A3-4C9F-8C46-EFD78A1A385C}" name="Inherent Risk Level" dataDxfId="31">
      <calculatedColumnFormula>IFERROR(VLOOKUP(RiskRegister[[#This Row],[Inherent Risk Rating]],'Rating factors'!$F$30:$G$44,2,FALSE),"-- Error --")</calculatedColumnFormula>
    </tableColumn>
    <tableColumn id="20" xr3:uid="{1E8BCB32-FE28-4147-AC5B-004529DA3042}" name="Inherent Risk Rating" dataDxfId="30">
      <calculatedColumnFormula>IFERROR(#REF!*#REF!,"-- Error --")</calculatedColumnFormula>
    </tableColumn>
    <tableColumn id="17" xr3:uid="{F3785242-EE2B-4BAE-9854-A803F5565915}" name="Risk Response Strategy" dataDxfId="29"/>
    <tableColumn id="23" xr3:uid="{D42D447D-DE03-4793-A763-C335B67218A0}" name="New measures and controls" dataDxfId="28"/>
    <tableColumn id="24" xr3:uid="{5028DB38-7F9A-428D-BCC1-DC3BFECEB50B}" name="Residual Impact Level" dataDxfId="27"/>
    <tableColumn id="25" xr3:uid="{8DD2AE4A-7153-4051-94D4-458E54BFBDA5}" name="Residual Impact Rating" dataDxfId="26">
      <calculatedColumnFormula array="1">+Q4:Y1019VLOOKUP(RiskRegister[[#This Row],[Residual Impact Level]],'Rating factors'!$F$4:$G$9,2,FALSE)</calculatedColumnFormula>
    </tableColumn>
    <tableColumn id="28" xr3:uid="{81826F36-A747-4580-8F3F-609291641DD9}" name="Residual Likelihood Level" dataDxfId="25"/>
    <tableColumn id="27" xr3:uid="{CC6DDBA1-E720-4977-A7B8-A165004DDC69}" name="Residual Likelihood Rating" dataDxfId="24">
      <calculatedColumnFormula>VLOOKUP(RiskRegister[[#This Row],[Residual Likelihood Level]],'Rating factors'!$F$16:$G$21,2,FALSE)</calculatedColumnFormula>
    </tableColumn>
    <tableColumn id="31" xr3:uid="{403676CD-DEB5-4770-BD2D-027E7836EFCB}" name="Residual Risk Level" dataDxfId="23">
      <calculatedColumnFormula>IFERROR(VLOOKUP(RiskRegister[[#This Row],[Residual Risk Rating]],'Rating factors'!$F$30:$G$44,2,FALSE),"-- Error --")</calculatedColumnFormula>
    </tableColumn>
    <tableColumn id="26" xr3:uid="{50A22AC0-4C55-4F47-9FB1-2498445555ED}" name="Residual Risk Rating" dataDxfId="22">
      <calculatedColumnFormula>IFERROR(RiskRegister[[#This Row],[Residual Impact Rating]]*RiskRegister[[#This Row],[Residual Likelihood Rating]],"-- Error --")</calculatedColumnFormula>
    </tableColumn>
    <tableColumn id="30" xr3:uid="{7D4BF366-DA05-4530-92F8-1A772E4FA651}" name="Risk Status" dataDxfId="21"/>
    <tableColumn id="7" xr3:uid="{863397D2-6602-4577-9315-0D08CB488A63}" name="Status comments" dataDxfId="20"/>
    <tableColumn id="18" xr3:uid="{50B84654-2411-4843-8AAB-CEC9DDDDA07A}" name="Risk Due Date" dataDxfId="19"/>
    <tableColumn id="32" xr3:uid="{D6CFC33F-D172-4251-BC17-6EF0A4BC7564}" name="Risk Close Date" dataDxfId="18"/>
    <tableColumn id="19" xr3:uid="{8B49C431-63AC-45B1-B4E1-97DDC5E174AD}" name="Overdue?" dataDxfId="17"/>
    <tableColumn id="21" xr3:uid="{86B50D48-1AA0-47D1-86CE-4F28B2B90D8F}" name="Next Review Date" dataDxfId="16"/>
  </tableColumns>
  <tableStyleInfo name="Custom Blu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0A92F6-2BAB-4EA5-B1BD-5A4FD0CB5527}" name="Tasks" displayName="Tasks" ref="A3:Q103" totalsRowShown="0" headerRowDxfId="6" headerRowCellStyle="Title 2">
  <autoFilter ref="A3:Q103" xr:uid="{190A92F6-2BAB-4EA5-B1BD-5A4FD0CB5527}"/>
  <tableColumns count="17">
    <tableColumn id="2" xr3:uid="{7866062C-A8B8-4AD7-9C7E-24AA3129D0F5}" name="Task ID"/>
    <tableColumn id="41" xr3:uid="{D0833E4C-DCD9-454C-870A-48F9716C6160}" name="Created Date" dataDxfId="5"/>
    <tableColumn id="4" xr3:uid="{25AF9E0C-F40D-4A6C-9594-4BCC5ECF3498}" name="Task Title"/>
    <tableColumn id="5" xr3:uid="{3E84FAEF-8DE8-481B-987F-C4530370DAC9}" name="Task Description"/>
    <tableColumn id="6" xr3:uid="{EF88593E-CFF4-4ABC-BC5C-1D6E9762C1A2}" name="Assignee"/>
    <tableColumn id="38" xr3:uid="{1E81D19F-A087-4D3D-9824-6EC99F2568C2}" name="Status"/>
    <tableColumn id="7" xr3:uid="{C94C727E-F015-4E31-9BF4-AE6BB62B90A2}" name="Due Date" dataDxfId="4"/>
    <tableColumn id="9" xr3:uid="{D065E62D-D43A-4C69-B861-382DD3CE869F}" name="Comments"/>
    <tableColumn id="10" xr3:uid="{593649DD-8A3A-4B33-A2FC-D8AC447F87E3}" name="Risk ID"/>
    <tableColumn id="11" xr3:uid="{CDB02363-F827-4CB0-91DE-B4AF2E49A016}" name="Risk Title" dataDxfId="3"/>
    <tableColumn id="33" xr3:uid="{EF4BA74D-4D77-4DE1-99FB-85F1D9309471}" name="Overdue?" dataDxfId="2"/>
    <tableColumn id="39" xr3:uid="{17C7DDDE-D183-4D60-B6A6-AB99FAC985F0}" name="Due Month"/>
    <tableColumn id="40" xr3:uid="{87E7C050-3A66-402B-A23F-0AA63D7FE83C}" name="Due Year"/>
    <tableColumn id="34" xr3:uid="{9C213F33-FF7E-475B-A607-3A1DC0810948}" name="Risk-ID-Title-Combo" dataDxfId="1"/>
    <tableColumn id="35" xr3:uid="{8F65E14F-201D-4614-8DA7-EBDC19AAEAED}" name="Residual-I-L-Combo"/>
    <tableColumn id="36" xr3:uid="{122CC3AF-5998-414D-AA3F-4CBBAC3115B2}" name="Mitigated?"/>
    <tableColumn id="37" xr3:uid="{C603920C-C41A-4F3B-9AC7-DB470ECC7EBF}" name="Current Risk Level"/>
  </tableColumns>
  <tableStyleInfo name="Custom Blu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92A53-40E8-4EF7-89BB-F65F41C2E077}">
  <sheetPr>
    <pageSetUpPr fitToPage="1"/>
  </sheetPr>
  <dimension ref="A91:AD105"/>
  <sheetViews>
    <sheetView showGridLines="0" zoomScaleNormal="100" workbookViewId="0">
      <selection activeCell="A24" sqref="A24"/>
    </sheetView>
  </sheetViews>
  <sheetFormatPr defaultColWidth="0" defaultRowHeight="15" x14ac:dyDescent="0.25"/>
  <cols>
    <col min="1" max="3" width="9.140625" customWidth="1"/>
    <col min="4" max="4" width="14" customWidth="1"/>
    <col min="5" max="30" width="9.140625" customWidth="1"/>
    <col min="31" max="16384" width="9.140625" hidden="1"/>
  </cols>
  <sheetData>
    <row r="91" spans="3:17" ht="16.5" x14ac:dyDescent="0.3">
      <c r="C91" s="20"/>
      <c r="D91" s="20"/>
      <c r="E91" s="20"/>
      <c r="F91" s="21"/>
      <c r="G91" s="21"/>
      <c r="H91" s="21"/>
      <c r="I91" s="21"/>
      <c r="J91" s="21"/>
      <c r="K91" s="21"/>
      <c r="L91" s="21"/>
      <c r="M91" s="20"/>
      <c r="N91" s="20"/>
      <c r="O91" s="20"/>
      <c r="P91" s="20"/>
      <c r="Q91" s="20"/>
    </row>
    <row r="92" spans="3:17" ht="16.5" x14ac:dyDescent="0.3">
      <c r="C92" s="20"/>
      <c r="D92" s="20"/>
      <c r="E92" s="20"/>
      <c r="F92" s="124"/>
      <c r="G92" s="124"/>
      <c r="H92" s="124"/>
      <c r="I92" s="124"/>
      <c r="J92" s="124"/>
      <c r="K92" s="124"/>
      <c r="L92" s="124"/>
      <c r="M92" s="124"/>
      <c r="N92" s="124"/>
      <c r="O92" s="124"/>
      <c r="P92" s="20"/>
      <c r="Q92" s="20"/>
    </row>
    <row r="93" spans="3:17" ht="16.5" x14ac:dyDescent="0.3">
      <c r="C93" s="20"/>
      <c r="D93" s="20"/>
      <c r="E93" s="20"/>
      <c r="F93" s="124"/>
      <c r="G93" s="124"/>
      <c r="H93" s="124"/>
      <c r="I93" s="124"/>
      <c r="J93" s="124"/>
      <c r="K93" s="124"/>
      <c r="L93" s="124"/>
      <c r="M93" s="124"/>
      <c r="N93" s="124"/>
      <c r="O93" s="124"/>
      <c r="P93" s="20"/>
      <c r="Q93" s="20"/>
    </row>
    <row r="94" spans="3:17" ht="16.5" x14ac:dyDescent="0.3">
      <c r="C94" s="20"/>
      <c r="D94" s="20"/>
      <c r="E94" s="20"/>
      <c r="F94" s="21"/>
      <c r="G94" s="21"/>
      <c r="H94" s="21"/>
      <c r="I94" s="21"/>
      <c r="J94" s="21"/>
      <c r="K94" s="21"/>
      <c r="L94" s="21"/>
      <c r="M94" s="20"/>
      <c r="N94" s="20"/>
      <c r="O94" s="20"/>
      <c r="P94" s="20"/>
      <c r="Q94" s="20"/>
    </row>
    <row r="95" spans="3:17" ht="51" x14ac:dyDescent="0.3">
      <c r="C95" s="127" t="s">
        <v>105</v>
      </c>
      <c r="D95" s="33" t="s">
        <v>75</v>
      </c>
      <c r="E95" s="38">
        <v>5</v>
      </c>
      <c r="F95" s="115" t="e">
        <f>VLOOKUP($F$101&amp;"-"&amp;D95,#REF!,2,FALSE)</f>
        <v>#REF!</v>
      </c>
      <c r="G95" s="129"/>
      <c r="H95" s="114" t="e">
        <f>VLOOKUP($H$101&amp;"-"&amp;D95,#REF!,2,FALSE)</f>
        <v>#REF!</v>
      </c>
      <c r="I95" s="115"/>
      <c r="J95" s="114" t="e">
        <f>VLOOKUP($J$101&amp;"-"&amp;D95,#REF!,2,FALSE)</f>
        <v>#REF!</v>
      </c>
      <c r="K95" s="115"/>
      <c r="L95" s="125" t="e">
        <f>VLOOKUP($L$101&amp;"-"&amp;D95,#REF!,2,FALSE)</f>
        <v>#REF!</v>
      </c>
      <c r="M95" s="126"/>
      <c r="N95" s="125" t="e">
        <f>VLOOKUP($N$101&amp;"-"&amp;D95,#REF!,2,FALSE)</f>
        <v>#REF!</v>
      </c>
      <c r="O95" s="126"/>
      <c r="P95" s="20"/>
    </row>
    <row r="96" spans="3:17" ht="38.25" x14ac:dyDescent="0.3">
      <c r="C96" s="128"/>
      <c r="D96" s="33" t="s">
        <v>5</v>
      </c>
      <c r="E96" s="38">
        <v>4</v>
      </c>
      <c r="F96" s="130" t="e">
        <f>VLOOKUP($F$101&amp;"-"&amp;D96,#REF!,2,FALSE)</f>
        <v>#REF!</v>
      </c>
      <c r="G96" s="131"/>
      <c r="H96" s="114" t="e">
        <f>VLOOKUP($H$101&amp;"-"&amp;D96,#REF!,2,FALSE)</f>
        <v>#REF!</v>
      </c>
      <c r="I96" s="115"/>
      <c r="J96" s="114" t="e">
        <f>VLOOKUP($J$101&amp;"-"&amp;D96,#REF!,2,FALSE)</f>
        <v>#REF!</v>
      </c>
      <c r="K96" s="115"/>
      <c r="L96" s="114" t="e">
        <f>VLOOKUP($L$101&amp;"-"&amp;D96,#REF!,2,FALSE)</f>
        <v>#REF!</v>
      </c>
      <c r="M96" s="115"/>
      <c r="N96" s="125" t="e">
        <f>VLOOKUP($N$101&amp;"-"&amp;D96,#REF!,2,FALSE)</f>
        <v>#REF!</v>
      </c>
      <c r="O96" s="126"/>
      <c r="P96" s="20"/>
    </row>
    <row r="97" spans="3:17" ht="38.25" x14ac:dyDescent="0.3">
      <c r="C97" s="128"/>
      <c r="D97" s="33" t="s">
        <v>78</v>
      </c>
      <c r="E97" s="38">
        <v>3</v>
      </c>
      <c r="F97" s="116" t="e">
        <f>VLOOKUP($F$101&amp;"-"&amp;D97,#REF!,2,FALSE)</f>
        <v>#REF!</v>
      </c>
      <c r="G97" s="117"/>
      <c r="H97" s="118" t="e">
        <f>VLOOKUP($H$101&amp;"-"&amp;D97,#REF!,2,FALSE)</f>
        <v>#REF!</v>
      </c>
      <c r="I97" s="119"/>
      <c r="J97" s="114" t="e">
        <f>VLOOKUP($J$101&amp;"-"&amp;D97,#REF!,2,FALSE)</f>
        <v>#REF!</v>
      </c>
      <c r="K97" s="115"/>
      <c r="L97" s="114" t="e">
        <f>VLOOKUP($L$101&amp;"-"&amp;D97,#REF!,2,FALSE)</f>
        <v>#REF!</v>
      </c>
      <c r="M97" s="115"/>
      <c r="N97" s="114" t="e">
        <f>VLOOKUP($N$101&amp;"-"&amp;D97,#REF!,2,FALSE)</f>
        <v>#REF!</v>
      </c>
      <c r="O97" s="115"/>
      <c r="P97" s="20"/>
    </row>
    <row r="98" spans="3:17" ht="38.25" x14ac:dyDescent="0.3">
      <c r="C98" s="128"/>
      <c r="D98" s="33" t="s">
        <v>6</v>
      </c>
      <c r="E98" s="38">
        <v>2</v>
      </c>
      <c r="F98" s="116" t="e">
        <f>VLOOKUP($F$101&amp;"-"&amp;D98,#REF!,2,FALSE)</f>
        <v>#REF!</v>
      </c>
      <c r="G98" s="117"/>
      <c r="H98" s="114" t="e">
        <f>VLOOKUP($H$101&amp;"-"&amp;D98,#REF!,2,FALSE)</f>
        <v>#REF!</v>
      </c>
      <c r="I98" s="115"/>
      <c r="J98" s="114" t="e">
        <f>VLOOKUP($J$101&amp;"-"&amp;D98,#REF!,2,FALSE)</f>
        <v>#REF!</v>
      </c>
      <c r="K98" s="115"/>
      <c r="L98" s="118" t="e">
        <f>VLOOKUP($L$101&amp;"-"&amp;D98,#REF!,2,FALSE)</f>
        <v>#REF!</v>
      </c>
      <c r="M98" s="119"/>
      <c r="N98" s="114" t="e">
        <f>VLOOKUP($N$101&amp;"-"&amp;D98,#REF!,2,FALSE)</f>
        <v>#REF!</v>
      </c>
      <c r="O98" s="115"/>
      <c r="P98" s="20"/>
    </row>
    <row r="99" spans="3:17" ht="38.25" x14ac:dyDescent="0.3">
      <c r="C99" s="128"/>
      <c r="D99" s="33" t="s">
        <v>7</v>
      </c>
      <c r="E99" s="38">
        <v>1</v>
      </c>
      <c r="F99" s="122" t="e">
        <f>VLOOKUP($F$101&amp;"-"&amp;D99,#REF!,2,FALSE)</f>
        <v>#REF!</v>
      </c>
      <c r="G99" s="123"/>
      <c r="H99" s="122" t="e">
        <f>VLOOKUP($H$101&amp;"-"&amp;D99,#REF!,2,FALSE)</f>
        <v>#REF!</v>
      </c>
      <c r="I99" s="123"/>
      <c r="J99" s="122" t="e">
        <f>VLOOKUP($J$101&amp;"-"&amp;D99,#REF!,2,FALSE)</f>
        <v>#REF!</v>
      </c>
      <c r="K99" s="123"/>
      <c r="L99" s="112" t="e">
        <f>VLOOKUP($L$101&amp;"-"&amp;D99,#REF!,2,FALSE)</f>
        <v>#REF!</v>
      </c>
      <c r="M99" s="113"/>
      <c r="N99" s="120" t="e">
        <f>VLOOKUP($N$101&amp;"-"&amp;D99,#REF!,2,FALSE)</f>
        <v>#REF!</v>
      </c>
      <c r="O99" s="121"/>
      <c r="P99" s="20"/>
    </row>
    <row r="100" spans="3:17" ht="29.25" customHeight="1" x14ac:dyDescent="0.3">
      <c r="C100" s="20"/>
      <c r="D100" s="20"/>
      <c r="E100" s="21"/>
      <c r="F100" s="106">
        <v>1</v>
      </c>
      <c r="G100" s="107"/>
      <c r="H100" s="106">
        <v>2</v>
      </c>
      <c r="I100" s="108"/>
      <c r="J100" s="106">
        <v>3</v>
      </c>
      <c r="K100" s="108"/>
      <c r="L100" s="106">
        <v>4</v>
      </c>
      <c r="M100" s="108"/>
      <c r="N100" s="106">
        <v>5</v>
      </c>
      <c r="O100" s="108"/>
      <c r="P100" s="20"/>
    </row>
    <row r="101" spans="3:17" ht="29.25" customHeight="1" x14ac:dyDescent="0.3">
      <c r="C101" s="20"/>
      <c r="D101" s="20"/>
      <c r="E101" s="21"/>
      <c r="F101" s="109" t="s">
        <v>86</v>
      </c>
      <c r="G101" s="110"/>
      <c r="H101" s="109" t="s">
        <v>10</v>
      </c>
      <c r="I101" s="111"/>
      <c r="J101" s="109" t="s">
        <v>4</v>
      </c>
      <c r="K101" s="111"/>
      <c r="L101" s="109" t="s">
        <v>8</v>
      </c>
      <c r="M101" s="111"/>
      <c r="N101" s="109" t="s">
        <v>87</v>
      </c>
      <c r="O101" s="111"/>
      <c r="P101" s="20"/>
    </row>
    <row r="102" spans="3:17" ht="29.25" customHeight="1" x14ac:dyDescent="0.3">
      <c r="C102" s="20"/>
      <c r="D102" s="20"/>
      <c r="E102" s="21"/>
      <c r="F102" s="105" t="s">
        <v>104</v>
      </c>
      <c r="G102" s="105"/>
      <c r="H102" s="105"/>
      <c r="I102" s="105"/>
      <c r="J102" s="105"/>
      <c r="K102" s="105"/>
      <c r="L102" s="105"/>
      <c r="M102" s="105"/>
      <c r="N102" s="105"/>
      <c r="O102" s="105"/>
      <c r="P102" s="20"/>
    </row>
    <row r="103" spans="3:17" ht="16.5" x14ac:dyDescent="0.3">
      <c r="C103" s="20"/>
      <c r="D103" s="20"/>
      <c r="E103" s="20"/>
      <c r="F103" s="21"/>
      <c r="G103" s="21"/>
      <c r="H103" s="21"/>
      <c r="I103" s="21"/>
      <c r="J103" s="21"/>
      <c r="K103" s="21"/>
      <c r="L103" s="21"/>
      <c r="M103" s="20"/>
      <c r="N103" s="20"/>
      <c r="O103" s="20"/>
      <c r="P103" s="20"/>
      <c r="Q103" s="20"/>
    </row>
    <row r="104" spans="3:17" ht="16.5" x14ac:dyDescent="0.3">
      <c r="C104" s="20"/>
      <c r="D104" s="20"/>
      <c r="E104" s="20"/>
      <c r="F104" s="21"/>
      <c r="G104" s="21"/>
      <c r="H104" s="21"/>
      <c r="I104" s="21"/>
      <c r="J104" s="21"/>
      <c r="K104" s="21"/>
      <c r="L104" s="21"/>
      <c r="M104" s="20"/>
      <c r="N104" s="20"/>
      <c r="O104" s="20"/>
      <c r="P104" s="20"/>
      <c r="Q104" s="20"/>
    </row>
    <row r="105" spans="3:17" ht="16.5" x14ac:dyDescent="0.3">
      <c r="C105" s="20"/>
      <c r="D105" s="20"/>
      <c r="E105" s="20"/>
      <c r="F105" s="21"/>
      <c r="G105" s="21"/>
      <c r="H105" s="21"/>
      <c r="I105" s="21"/>
      <c r="J105" s="21"/>
      <c r="K105" s="21"/>
      <c r="L105" s="21"/>
      <c r="M105" s="20"/>
      <c r="N105" s="20"/>
      <c r="O105" s="20"/>
      <c r="P105" s="20"/>
      <c r="Q105" s="20"/>
    </row>
  </sheetData>
  <mergeCells count="38">
    <mergeCell ref="C95:C99"/>
    <mergeCell ref="F95:G95"/>
    <mergeCell ref="H95:I95"/>
    <mergeCell ref="F96:G96"/>
    <mergeCell ref="H96:I96"/>
    <mergeCell ref="F92:O93"/>
    <mergeCell ref="J96:K96"/>
    <mergeCell ref="L96:M96"/>
    <mergeCell ref="N96:O96"/>
    <mergeCell ref="J95:K95"/>
    <mergeCell ref="L95:M95"/>
    <mergeCell ref="N95:O95"/>
    <mergeCell ref="N97:O97"/>
    <mergeCell ref="F97:G97"/>
    <mergeCell ref="H97:I97"/>
    <mergeCell ref="J97:K97"/>
    <mergeCell ref="L97:M97"/>
    <mergeCell ref="L99:M99"/>
    <mergeCell ref="N98:O98"/>
    <mergeCell ref="F98:G98"/>
    <mergeCell ref="H98:I98"/>
    <mergeCell ref="J98:K98"/>
    <mergeCell ref="L98:M98"/>
    <mergeCell ref="N99:O99"/>
    <mergeCell ref="F99:G99"/>
    <mergeCell ref="H99:I99"/>
    <mergeCell ref="J99:K99"/>
    <mergeCell ref="F102:O102"/>
    <mergeCell ref="F100:G100"/>
    <mergeCell ref="H100:I100"/>
    <mergeCell ref="J100:K100"/>
    <mergeCell ref="L100:M100"/>
    <mergeCell ref="N100:O100"/>
    <mergeCell ref="F101:G101"/>
    <mergeCell ref="H101:I101"/>
    <mergeCell ref="J101:K101"/>
    <mergeCell ref="L101:M101"/>
    <mergeCell ref="N101:O101"/>
  </mergeCells>
  <pageMargins left="0.25" right="0.25" top="0.75" bottom="0.75" header="0.3" footer="0.3"/>
  <pageSetup paperSize="9" scale="3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089D1-913F-044C-9002-D7B4D2CD5C5E}">
  <dimension ref="I17:T23"/>
  <sheetViews>
    <sheetView showGridLines="0" workbookViewId="0">
      <selection activeCell="E35" sqref="E35"/>
    </sheetView>
  </sheetViews>
  <sheetFormatPr defaultColWidth="11.42578125" defaultRowHeight="15" x14ac:dyDescent="0.25"/>
  <cols>
    <col min="10" max="10" width="20" customWidth="1"/>
    <col min="11" max="20" width="9" customWidth="1"/>
  </cols>
  <sheetData>
    <row r="17" spans="9:20" ht="38.25" x14ac:dyDescent="0.25">
      <c r="I17" s="138" t="s">
        <v>105</v>
      </c>
      <c r="J17" s="42" t="s">
        <v>75</v>
      </c>
      <c r="K17" s="134">
        <v>5</v>
      </c>
      <c r="L17" s="134"/>
      <c r="M17" s="134">
        <v>10</v>
      </c>
      <c r="N17" s="134"/>
      <c r="O17" s="134">
        <v>15</v>
      </c>
      <c r="P17" s="134"/>
      <c r="Q17" s="139">
        <v>20</v>
      </c>
      <c r="R17" s="139"/>
      <c r="S17" s="139">
        <v>25</v>
      </c>
      <c r="T17" s="139"/>
    </row>
    <row r="18" spans="9:20" ht="38.25" x14ac:dyDescent="0.25">
      <c r="I18" s="138"/>
      <c r="J18" s="42" t="s">
        <v>5</v>
      </c>
      <c r="K18" s="135">
        <v>4</v>
      </c>
      <c r="L18" s="135"/>
      <c r="M18" s="134">
        <v>8</v>
      </c>
      <c r="N18" s="134"/>
      <c r="O18" s="134">
        <v>12</v>
      </c>
      <c r="P18" s="134"/>
      <c r="Q18" s="134">
        <v>16</v>
      </c>
      <c r="R18" s="134"/>
      <c r="S18" s="139">
        <v>20</v>
      </c>
      <c r="T18" s="139"/>
    </row>
    <row r="19" spans="9:20" ht="38.25" x14ac:dyDescent="0.25">
      <c r="I19" s="138"/>
      <c r="J19" s="42" t="s">
        <v>78</v>
      </c>
      <c r="K19" s="136">
        <v>3</v>
      </c>
      <c r="L19" s="136"/>
      <c r="M19" s="137">
        <v>6</v>
      </c>
      <c r="N19" s="137"/>
      <c r="O19" s="134">
        <v>9</v>
      </c>
      <c r="P19" s="134"/>
      <c r="Q19" s="134">
        <v>12</v>
      </c>
      <c r="R19" s="134"/>
      <c r="S19" s="134">
        <v>15</v>
      </c>
      <c r="T19" s="134"/>
    </row>
    <row r="20" spans="9:20" ht="38.25" x14ac:dyDescent="0.25">
      <c r="I20" s="138"/>
      <c r="J20" s="42" t="s">
        <v>6</v>
      </c>
      <c r="K20" s="136">
        <v>2</v>
      </c>
      <c r="L20" s="136"/>
      <c r="M20" s="134">
        <v>4</v>
      </c>
      <c r="N20" s="134"/>
      <c r="O20" s="134">
        <v>6</v>
      </c>
      <c r="P20" s="134"/>
      <c r="Q20" s="137">
        <v>8</v>
      </c>
      <c r="R20" s="137"/>
      <c r="S20" s="134">
        <v>10</v>
      </c>
      <c r="T20" s="134"/>
    </row>
    <row r="21" spans="9:20" ht="38.25" x14ac:dyDescent="0.25">
      <c r="I21" s="138"/>
      <c r="J21" s="43" t="s">
        <v>7</v>
      </c>
      <c r="K21" s="135">
        <v>1</v>
      </c>
      <c r="L21" s="135"/>
      <c r="M21" s="135">
        <v>2</v>
      </c>
      <c r="N21" s="135"/>
      <c r="O21" s="135">
        <v>3</v>
      </c>
      <c r="P21" s="135"/>
      <c r="Q21" s="136">
        <v>4</v>
      </c>
      <c r="R21" s="136"/>
      <c r="S21" s="134">
        <v>5</v>
      </c>
      <c r="T21" s="134"/>
    </row>
    <row r="22" spans="9:20" ht="41.1" customHeight="1" x14ac:dyDescent="0.3">
      <c r="I22" s="20"/>
      <c r="J22" s="20"/>
      <c r="K22" s="133" t="s">
        <v>86</v>
      </c>
      <c r="L22" s="133"/>
      <c r="M22" s="133" t="s">
        <v>10</v>
      </c>
      <c r="N22" s="133"/>
      <c r="O22" s="133" t="s">
        <v>4</v>
      </c>
      <c r="P22" s="133"/>
      <c r="Q22" s="133" t="s">
        <v>8</v>
      </c>
      <c r="R22" s="133"/>
      <c r="S22" s="133" t="s">
        <v>87</v>
      </c>
      <c r="T22" s="133"/>
    </row>
    <row r="23" spans="9:20" ht="33" x14ac:dyDescent="0.3">
      <c r="I23" s="20"/>
      <c r="J23" s="20"/>
      <c r="K23" s="132" t="s">
        <v>104</v>
      </c>
      <c r="L23" s="132"/>
      <c r="M23" s="132"/>
      <c r="N23" s="132"/>
      <c r="O23" s="132"/>
      <c r="P23" s="132"/>
      <c r="Q23" s="132"/>
      <c r="R23" s="132"/>
      <c r="S23" s="132"/>
      <c r="T23" s="132"/>
    </row>
  </sheetData>
  <mergeCells count="32">
    <mergeCell ref="S17:T17"/>
    <mergeCell ref="K18:L18"/>
    <mergeCell ref="M18:N18"/>
    <mergeCell ref="O18:P18"/>
    <mergeCell ref="Q18:R18"/>
    <mergeCell ref="S18:T18"/>
    <mergeCell ref="I17:I21"/>
    <mergeCell ref="K17:L17"/>
    <mergeCell ref="M17:N17"/>
    <mergeCell ref="O17:P17"/>
    <mergeCell ref="Q17:R17"/>
    <mergeCell ref="K19:L19"/>
    <mergeCell ref="M19:N19"/>
    <mergeCell ref="O19:P19"/>
    <mergeCell ref="Q19:R19"/>
    <mergeCell ref="S19:T19"/>
    <mergeCell ref="K21:L21"/>
    <mergeCell ref="M21:N21"/>
    <mergeCell ref="O21:P21"/>
    <mergeCell ref="Q21:R21"/>
    <mergeCell ref="S21:T21"/>
    <mergeCell ref="K20:L20"/>
    <mergeCell ref="M20:N20"/>
    <mergeCell ref="O20:P20"/>
    <mergeCell ref="Q20:R20"/>
    <mergeCell ref="S20:T20"/>
    <mergeCell ref="K23:T23"/>
    <mergeCell ref="K22:L22"/>
    <mergeCell ref="M22:N22"/>
    <mergeCell ref="O22:P22"/>
    <mergeCell ref="Q22:R22"/>
    <mergeCell ref="S22:T22"/>
  </mergeCell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BB197-4AB6-477C-906F-EA67B72F5A19}">
  <dimension ref="A1:AC972"/>
  <sheetViews>
    <sheetView showGridLines="0" zoomScale="114" zoomScaleNormal="85" workbookViewId="0">
      <pane ySplit="6" topLeftCell="A154" activePane="bottomLeft" state="frozen"/>
      <selection pane="bottomLeft" activeCell="B16" sqref="B16"/>
    </sheetView>
  </sheetViews>
  <sheetFormatPr defaultColWidth="9.140625" defaultRowHeight="20.25" x14ac:dyDescent="0.35"/>
  <cols>
    <col min="1" max="1" width="8.7109375" style="20" customWidth="1"/>
    <col min="2" max="2" width="25.140625" style="20" bestFit="1" customWidth="1"/>
    <col min="3" max="3" width="17.42578125" style="22" customWidth="1"/>
    <col min="4" max="4" width="17.42578125" style="20" customWidth="1"/>
    <col min="5" max="5" width="3.7109375" style="21" customWidth="1"/>
    <col min="6" max="6" width="8" style="21" customWidth="1"/>
    <col min="7" max="11" width="6.85546875" style="21" customWidth="1"/>
    <col min="12" max="20" width="6.85546875" style="20" customWidth="1"/>
    <col min="21" max="27" width="6.85546875" style="21" customWidth="1"/>
    <col min="28" max="29" width="6.85546875" style="20" customWidth="1"/>
    <col min="30" max="30" width="16.140625" style="20" customWidth="1"/>
    <col min="31" max="31" width="7.42578125" style="20" customWidth="1"/>
    <col min="32" max="32" width="11.42578125" style="20" customWidth="1"/>
    <col min="33" max="33" width="9.140625" style="20" customWidth="1"/>
    <col min="34" max="16384" width="9.140625" style="20"/>
  </cols>
  <sheetData>
    <row r="1" spans="1:29" ht="134.25" customHeight="1" x14ac:dyDescent="0.35"/>
    <row r="3" spans="1:29" ht="16.5" x14ac:dyDescent="0.3">
      <c r="C3" s="29" t="s">
        <v>126</v>
      </c>
      <c r="D3" s="30">
        <v>45292</v>
      </c>
    </row>
    <row r="4" spans="1:29" ht="16.5" x14ac:dyDescent="0.3">
      <c r="C4" s="29" t="s">
        <v>127</v>
      </c>
      <c r="D4" s="31">
        <v>1</v>
      </c>
    </row>
    <row r="6" spans="1:29" customFormat="1" ht="74.25" customHeight="1" x14ac:dyDescent="0.25">
      <c r="B6" s="60" t="s">
        <v>128</v>
      </c>
      <c r="C6" s="69" t="s">
        <v>129</v>
      </c>
      <c r="D6" s="70" t="s">
        <v>130</v>
      </c>
      <c r="F6" s="44">
        <f>D3</f>
        <v>45292</v>
      </c>
      <c r="G6" s="45">
        <f t="shared" ref="G6:AC6" si="0">EDATE(F6,$D$4)</f>
        <v>45323</v>
      </c>
      <c r="H6" s="45">
        <f t="shared" si="0"/>
        <v>45352</v>
      </c>
      <c r="I6" s="45">
        <f t="shared" si="0"/>
        <v>45383</v>
      </c>
      <c r="J6" s="45">
        <f t="shared" si="0"/>
        <v>45413</v>
      </c>
      <c r="K6" s="45">
        <f t="shared" si="0"/>
        <v>45444</v>
      </c>
      <c r="L6" s="45">
        <f t="shared" si="0"/>
        <v>45474</v>
      </c>
      <c r="M6" s="45">
        <f t="shared" si="0"/>
        <v>45505</v>
      </c>
      <c r="N6" s="45">
        <f t="shared" si="0"/>
        <v>45536</v>
      </c>
      <c r="O6" s="45">
        <f t="shared" si="0"/>
        <v>45566</v>
      </c>
      <c r="P6" s="45">
        <f t="shared" si="0"/>
        <v>45597</v>
      </c>
      <c r="Q6" s="45">
        <f t="shared" si="0"/>
        <v>45627</v>
      </c>
      <c r="R6" s="45">
        <f t="shared" si="0"/>
        <v>45658</v>
      </c>
      <c r="S6" s="45">
        <f t="shared" si="0"/>
        <v>45689</v>
      </c>
      <c r="T6" s="45">
        <f t="shared" si="0"/>
        <v>45717</v>
      </c>
      <c r="U6" s="45">
        <f t="shared" si="0"/>
        <v>45748</v>
      </c>
      <c r="V6" s="45">
        <f t="shared" si="0"/>
        <v>45778</v>
      </c>
      <c r="W6" s="45">
        <f t="shared" si="0"/>
        <v>45809</v>
      </c>
      <c r="X6" s="45">
        <f t="shared" si="0"/>
        <v>45839</v>
      </c>
      <c r="Y6" s="45">
        <f t="shared" si="0"/>
        <v>45870</v>
      </c>
      <c r="Z6" s="45">
        <f t="shared" si="0"/>
        <v>45901</v>
      </c>
      <c r="AA6" s="45">
        <f t="shared" si="0"/>
        <v>45931</v>
      </c>
      <c r="AB6" s="45">
        <f t="shared" si="0"/>
        <v>45962</v>
      </c>
      <c r="AC6" s="46">
        <f t="shared" si="0"/>
        <v>45992</v>
      </c>
    </row>
    <row r="7" spans="1:29" customFormat="1" ht="15" x14ac:dyDescent="0.25">
      <c r="B7" s="61" t="s">
        <v>131</v>
      </c>
      <c r="C7" s="65">
        <v>45391</v>
      </c>
      <c r="D7" s="66">
        <v>45619</v>
      </c>
      <c r="F7" s="47" t="str">
        <f t="shared" ref="F7:O22" si="1">IF(AND(F$6&gt;=$C7, F$6&lt;=$D7),"1","")</f>
        <v/>
      </c>
      <c r="G7" s="41" t="str">
        <f t="shared" si="1"/>
        <v/>
      </c>
      <c r="H7" s="41" t="str">
        <f t="shared" si="1"/>
        <v/>
      </c>
      <c r="I7" s="41" t="str">
        <f t="shared" si="1"/>
        <v/>
      </c>
      <c r="J7" s="41" t="str">
        <f t="shared" si="1"/>
        <v>1</v>
      </c>
      <c r="K7" s="41" t="str">
        <f t="shared" si="1"/>
        <v>1</v>
      </c>
      <c r="L7" s="41" t="str">
        <f t="shared" si="1"/>
        <v>1</v>
      </c>
      <c r="M7" s="41" t="str">
        <f t="shared" si="1"/>
        <v>1</v>
      </c>
      <c r="N7" s="41" t="str">
        <f t="shared" si="1"/>
        <v>1</v>
      </c>
      <c r="O7" s="41" t="str">
        <f t="shared" si="1"/>
        <v>1</v>
      </c>
      <c r="P7" s="41" t="str">
        <f t="shared" ref="P7:AC22" si="2">IF(AND(P$6&gt;=$C7, P$6&lt;=$D7),"1","")</f>
        <v>1</v>
      </c>
      <c r="Q7" s="41" t="str">
        <f t="shared" si="2"/>
        <v/>
      </c>
      <c r="R7" s="41" t="str">
        <f t="shared" si="2"/>
        <v/>
      </c>
      <c r="S7" s="41" t="str">
        <f t="shared" si="2"/>
        <v/>
      </c>
      <c r="T7" s="41" t="str">
        <f t="shared" si="2"/>
        <v/>
      </c>
      <c r="U7" s="41" t="str">
        <f t="shared" si="2"/>
        <v/>
      </c>
      <c r="V7" s="41" t="str">
        <f t="shared" si="2"/>
        <v/>
      </c>
      <c r="W7" s="41" t="str">
        <f t="shared" si="2"/>
        <v/>
      </c>
      <c r="X7" s="41" t="str">
        <f t="shared" si="2"/>
        <v/>
      </c>
      <c r="Y7" s="41" t="str">
        <f t="shared" si="2"/>
        <v/>
      </c>
      <c r="Z7" s="41" t="str">
        <f t="shared" si="2"/>
        <v/>
      </c>
      <c r="AA7" s="41" t="str">
        <f t="shared" si="2"/>
        <v/>
      </c>
      <c r="AB7" s="41" t="str">
        <f t="shared" si="2"/>
        <v/>
      </c>
      <c r="AC7" s="48" t="str">
        <f t="shared" si="2"/>
        <v/>
      </c>
    </row>
    <row r="8" spans="1:29" customFormat="1" ht="15" x14ac:dyDescent="0.25">
      <c r="B8" s="62" t="s">
        <v>132</v>
      </c>
      <c r="C8" s="67">
        <v>45325</v>
      </c>
      <c r="D8" s="52">
        <v>45577</v>
      </c>
      <c r="F8" s="47" t="str">
        <f t="shared" si="1"/>
        <v/>
      </c>
      <c r="G8" s="41" t="str">
        <f t="shared" si="1"/>
        <v/>
      </c>
      <c r="H8" s="41" t="str">
        <f t="shared" si="1"/>
        <v>1</v>
      </c>
      <c r="I8" s="41" t="str">
        <f t="shared" si="1"/>
        <v>1</v>
      </c>
      <c r="J8" s="41" t="str">
        <f t="shared" si="1"/>
        <v>1</v>
      </c>
      <c r="K8" s="41" t="str">
        <f t="shared" si="1"/>
        <v>1</v>
      </c>
      <c r="L8" s="41" t="str">
        <f t="shared" si="1"/>
        <v>1</v>
      </c>
      <c r="M8" s="41" t="str">
        <f t="shared" si="1"/>
        <v>1</v>
      </c>
      <c r="N8" s="41" t="str">
        <f t="shared" si="1"/>
        <v>1</v>
      </c>
      <c r="O8" s="41" t="str">
        <f t="shared" si="1"/>
        <v>1</v>
      </c>
      <c r="P8" s="41" t="str">
        <f t="shared" si="2"/>
        <v/>
      </c>
      <c r="Q8" s="41" t="str">
        <f t="shared" si="2"/>
        <v/>
      </c>
      <c r="R8" s="41" t="str">
        <f t="shared" si="2"/>
        <v/>
      </c>
      <c r="S8" s="41" t="str">
        <f t="shared" si="2"/>
        <v/>
      </c>
      <c r="T8" s="41" t="str">
        <f t="shared" si="2"/>
        <v/>
      </c>
      <c r="U8" s="41" t="str">
        <f t="shared" si="2"/>
        <v/>
      </c>
      <c r="V8" s="41" t="str">
        <f t="shared" si="2"/>
        <v/>
      </c>
      <c r="W8" s="41" t="str">
        <f t="shared" si="2"/>
        <v/>
      </c>
      <c r="X8" s="41" t="str">
        <f t="shared" si="2"/>
        <v/>
      </c>
      <c r="Y8" s="41" t="str">
        <f t="shared" si="2"/>
        <v/>
      </c>
      <c r="Z8" s="41" t="str">
        <f t="shared" si="2"/>
        <v/>
      </c>
      <c r="AA8" s="41" t="str">
        <f t="shared" si="2"/>
        <v/>
      </c>
      <c r="AB8" s="41" t="str">
        <f t="shared" si="2"/>
        <v/>
      </c>
      <c r="AC8" s="48" t="str">
        <f t="shared" si="2"/>
        <v/>
      </c>
    </row>
    <row r="9" spans="1:29" customFormat="1" ht="15" x14ac:dyDescent="0.25">
      <c r="B9" s="62" t="s">
        <v>133</v>
      </c>
      <c r="C9" s="67">
        <v>45326</v>
      </c>
      <c r="D9" s="52">
        <v>45598</v>
      </c>
      <c r="F9" s="47" t="str">
        <f t="shared" si="1"/>
        <v/>
      </c>
      <c r="G9" s="41" t="str">
        <f t="shared" si="1"/>
        <v/>
      </c>
      <c r="H9" s="41" t="str">
        <f t="shared" si="1"/>
        <v>1</v>
      </c>
      <c r="I9" s="41" t="str">
        <f t="shared" si="1"/>
        <v>1</v>
      </c>
      <c r="J9" s="41" t="str">
        <f t="shared" si="1"/>
        <v>1</v>
      </c>
      <c r="K9" s="41" t="str">
        <f t="shared" si="1"/>
        <v>1</v>
      </c>
      <c r="L9" s="41" t="str">
        <f t="shared" si="1"/>
        <v>1</v>
      </c>
      <c r="M9" s="41" t="str">
        <f t="shared" si="1"/>
        <v>1</v>
      </c>
      <c r="N9" s="41" t="str">
        <f t="shared" si="1"/>
        <v>1</v>
      </c>
      <c r="O9" s="41" t="str">
        <f t="shared" si="1"/>
        <v>1</v>
      </c>
      <c r="P9" s="41" t="str">
        <f t="shared" si="2"/>
        <v>1</v>
      </c>
      <c r="Q9" s="41" t="str">
        <f t="shared" si="2"/>
        <v/>
      </c>
      <c r="R9" s="41" t="str">
        <f t="shared" si="2"/>
        <v/>
      </c>
      <c r="S9" s="41" t="str">
        <f t="shared" si="2"/>
        <v/>
      </c>
      <c r="T9" s="41" t="str">
        <f t="shared" si="2"/>
        <v/>
      </c>
      <c r="U9" s="41" t="str">
        <f t="shared" si="2"/>
        <v/>
      </c>
      <c r="V9" s="41" t="str">
        <f t="shared" si="2"/>
        <v/>
      </c>
      <c r="W9" s="41" t="str">
        <f t="shared" si="2"/>
        <v/>
      </c>
      <c r="X9" s="41" t="str">
        <f t="shared" si="2"/>
        <v/>
      </c>
      <c r="Y9" s="41" t="str">
        <f t="shared" si="2"/>
        <v/>
      </c>
      <c r="Z9" s="41" t="str">
        <f t="shared" si="2"/>
        <v/>
      </c>
      <c r="AA9" s="41" t="str">
        <f t="shared" si="2"/>
        <v/>
      </c>
      <c r="AB9" s="41" t="str">
        <f t="shared" si="2"/>
        <v/>
      </c>
      <c r="AC9" s="48" t="str">
        <f t="shared" si="2"/>
        <v/>
      </c>
    </row>
    <row r="10" spans="1:29" customFormat="1" ht="15" x14ac:dyDescent="0.25">
      <c r="B10" s="63" t="s">
        <v>134</v>
      </c>
      <c r="C10" s="68">
        <v>45339</v>
      </c>
      <c r="D10" s="64">
        <v>45515</v>
      </c>
      <c r="F10" s="47" t="str">
        <f t="shared" si="1"/>
        <v/>
      </c>
      <c r="G10" s="41" t="str">
        <f t="shared" si="1"/>
        <v/>
      </c>
      <c r="H10" s="41" t="str">
        <f t="shared" si="1"/>
        <v>1</v>
      </c>
      <c r="I10" s="41" t="str">
        <f t="shared" si="1"/>
        <v>1</v>
      </c>
      <c r="J10" s="41" t="str">
        <f t="shared" si="1"/>
        <v>1</v>
      </c>
      <c r="K10" s="41" t="str">
        <f t="shared" si="1"/>
        <v>1</v>
      </c>
      <c r="L10" s="41" t="str">
        <f t="shared" si="1"/>
        <v>1</v>
      </c>
      <c r="M10" s="41" t="str">
        <f t="shared" si="1"/>
        <v>1</v>
      </c>
      <c r="N10" s="41" t="str">
        <f t="shared" si="1"/>
        <v/>
      </c>
      <c r="O10" s="41" t="str">
        <f t="shared" si="1"/>
        <v/>
      </c>
      <c r="P10" s="41" t="str">
        <f t="shared" si="2"/>
        <v/>
      </c>
      <c r="Q10" s="41" t="str">
        <f t="shared" si="2"/>
        <v/>
      </c>
      <c r="R10" s="41" t="str">
        <f t="shared" si="2"/>
        <v/>
      </c>
      <c r="S10" s="41" t="str">
        <f t="shared" si="2"/>
        <v/>
      </c>
      <c r="T10" s="41" t="str">
        <f t="shared" si="2"/>
        <v/>
      </c>
      <c r="U10" s="41" t="str">
        <f t="shared" si="2"/>
        <v/>
      </c>
      <c r="V10" s="41" t="str">
        <f t="shared" si="2"/>
        <v/>
      </c>
      <c r="W10" s="41" t="str">
        <f t="shared" si="2"/>
        <v/>
      </c>
      <c r="X10" s="41" t="str">
        <f t="shared" si="2"/>
        <v/>
      </c>
      <c r="Y10" s="41" t="str">
        <f t="shared" si="2"/>
        <v/>
      </c>
      <c r="Z10" s="41" t="str">
        <f t="shared" si="2"/>
        <v/>
      </c>
      <c r="AA10" s="41" t="str">
        <f t="shared" si="2"/>
        <v/>
      </c>
      <c r="AB10" s="41" t="str">
        <f t="shared" si="2"/>
        <v/>
      </c>
      <c r="AC10" s="48" t="str">
        <f t="shared" si="2"/>
        <v/>
      </c>
    </row>
    <row r="11" spans="1:29" ht="16.5" x14ac:dyDescent="0.3">
      <c r="A11"/>
      <c r="B11" s="53"/>
      <c r="C11"/>
      <c r="D11" s="54"/>
      <c r="F11" s="47" t="str">
        <f t="shared" si="1"/>
        <v/>
      </c>
      <c r="G11" s="41" t="str">
        <f t="shared" si="1"/>
        <v/>
      </c>
      <c r="H11" s="41" t="str">
        <f t="shared" si="1"/>
        <v/>
      </c>
      <c r="I11" s="41" t="str">
        <f t="shared" si="1"/>
        <v/>
      </c>
      <c r="J11" s="41" t="str">
        <f t="shared" si="1"/>
        <v/>
      </c>
      <c r="K11" s="41" t="str">
        <f t="shared" si="1"/>
        <v/>
      </c>
      <c r="L11" s="41" t="str">
        <f t="shared" si="1"/>
        <v/>
      </c>
      <c r="M11" s="41" t="str">
        <f t="shared" si="1"/>
        <v/>
      </c>
      <c r="N11" s="41" t="str">
        <f t="shared" si="1"/>
        <v/>
      </c>
      <c r="O11" s="41" t="str">
        <f t="shared" si="1"/>
        <v/>
      </c>
      <c r="P11" s="41" t="str">
        <f t="shared" si="2"/>
        <v/>
      </c>
      <c r="Q11" s="41" t="str">
        <f t="shared" si="2"/>
        <v/>
      </c>
      <c r="R11" s="41" t="str">
        <f t="shared" si="2"/>
        <v/>
      </c>
      <c r="S11" s="41" t="str">
        <f t="shared" si="2"/>
        <v/>
      </c>
      <c r="T11" s="41" t="str">
        <f t="shared" si="2"/>
        <v/>
      </c>
      <c r="U11" s="41" t="str">
        <f t="shared" si="2"/>
        <v/>
      </c>
      <c r="V11" s="41" t="str">
        <f t="shared" si="2"/>
        <v/>
      </c>
      <c r="W11" s="41" t="str">
        <f t="shared" si="2"/>
        <v/>
      </c>
      <c r="X11" s="41" t="str">
        <f t="shared" si="2"/>
        <v/>
      </c>
      <c r="Y11" s="41" t="str">
        <f t="shared" si="2"/>
        <v/>
      </c>
      <c r="Z11" s="41" t="str">
        <f t="shared" si="2"/>
        <v/>
      </c>
      <c r="AA11" s="41" t="str">
        <f t="shared" si="2"/>
        <v/>
      </c>
      <c r="AB11" s="41" t="str">
        <f t="shared" si="2"/>
        <v/>
      </c>
      <c r="AC11" s="48" t="str">
        <f t="shared" si="2"/>
        <v/>
      </c>
    </row>
    <row r="12" spans="1:29" x14ac:dyDescent="0.35">
      <c r="A12"/>
      <c r="B12" s="55"/>
      <c r="D12" s="56"/>
      <c r="F12" s="47" t="str">
        <f t="shared" si="1"/>
        <v/>
      </c>
      <c r="G12" s="41" t="str">
        <f t="shared" si="1"/>
        <v/>
      </c>
      <c r="H12" s="41" t="str">
        <f t="shared" si="1"/>
        <v/>
      </c>
      <c r="I12" s="41" t="str">
        <f t="shared" si="1"/>
        <v/>
      </c>
      <c r="J12" s="41" t="str">
        <f t="shared" si="1"/>
        <v/>
      </c>
      <c r="K12" s="41" t="str">
        <f t="shared" si="1"/>
        <v/>
      </c>
      <c r="L12" s="41" t="str">
        <f t="shared" si="1"/>
        <v/>
      </c>
      <c r="M12" s="41" t="str">
        <f t="shared" si="1"/>
        <v/>
      </c>
      <c r="N12" s="41" t="str">
        <f t="shared" si="1"/>
        <v/>
      </c>
      <c r="O12" s="41" t="str">
        <f t="shared" si="1"/>
        <v/>
      </c>
      <c r="P12" s="41" t="str">
        <f t="shared" si="2"/>
        <v/>
      </c>
      <c r="Q12" s="41" t="str">
        <f t="shared" si="2"/>
        <v/>
      </c>
      <c r="R12" s="41" t="str">
        <f t="shared" si="2"/>
        <v/>
      </c>
      <c r="S12" s="41" t="str">
        <f t="shared" si="2"/>
        <v/>
      </c>
      <c r="T12" s="41" t="str">
        <f t="shared" si="2"/>
        <v/>
      </c>
      <c r="U12" s="41" t="str">
        <f t="shared" si="2"/>
        <v/>
      </c>
      <c r="V12" s="41" t="str">
        <f t="shared" si="2"/>
        <v/>
      </c>
      <c r="W12" s="41" t="str">
        <f t="shared" si="2"/>
        <v/>
      </c>
      <c r="X12" s="41" t="str">
        <f t="shared" si="2"/>
        <v/>
      </c>
      <c r="Y12" s="41" t="str">
        <f t="shared" si="2"/>
        <v/>
      </c>
      <c r="Z12" s="41" t="str">
        <f t="shared" si="2"/>
        <v/>
      </c>
      <c r="AA12" s="41" t="str">
        <f t="shared" si="2"/>
        <v/>
      </c>
      <c r="AB12" s="41" t="str">
        <f t="shared" si="2"/>
        <v/>
      </c>
      <c r="AC12" s="48" t="str">
        <f t="shared" si="2"/>
        <v/>
      </c>
    </row>
    <row r="13" spans="1:29" x14ac:dyDescent="0.35">
      <c r="A13"/>
      <c r="B13" s="55"/>
      <c r="D13" s="56"/>
      <c r="F13" s="47" t="str">
        <f t="shared" si="1"/>
        <v/>
      </c>
      <c r="G13" s="41" t="str">
        <f t="shared" si="1"/>
        <v/>
      </c>
      <c r="H13" s="41" t="str">
        <f t="shared" si="1"/>
        <v/>
      </c>
      <c r="I13" s="41" t="str">
        <f t="shared" si="1"/>
        <v/>
      </c>
      <c r="J13" s="41" t="str">
        <f t="shared" si="1"/>
        <v/>
      </c>
      <c r="K13" s="41" t="str">
        <f t="shared" si="1"/>
        <v/>
      </c>
      <c r="L13" s="41" t="str">
        <f t="shared" si="1"/>
        <v/>
      </c>
      <c r="M13" s="41" t="str">
        <f t="shared" si="1"/>
        <v/>
      </c>
      <c r="N13" s="41" t="str">
        <f t="shared" si="1"/>
        <v/>
      </c>
      <c r="O13" s="41" t="str">
        <f t="shared" si="1"/>
        <v/>
      </c>
      <c r="P13" s="41" t="str">
        <f t="shared" si="2"/>
        <v/>
      </c>
      <c r="Q13" s="41" t="str">
        <f t="shared" si="2"/>
        <v/>
      </c>
      <c r="R13" s="41" t="str">
        <f t="shared" si="2"/>
        <v/>
      </c>
      <c r="S13" s="41" t="str">
        <f t="shared" si="2"/>
        <v/>
      </c>
      <c r="T13" s="41" t="str">
        <f t="shared" si="2"/>
        <v/>
      </c>
      <c r="U13" s="41" t="str">
        <f t="shared" si="2"/>
        <v/>
      </c>
      <c r="V13" s="41" t="str">
        <f t="shared" si="2"/>
        <v/>
      </c>
      <c r="W13" s="41" t="str">
        <f t="shared" si="2"/>
        <v/>
      </c>
      <c r="X13" s="41" t="str">
        <f t="shared" si="2"/>
        <v/>
      </c>
      <c r="Y13" s="41" t="str">
        <f t="shared" si="2"/>
        <v/>
      </c>
      <c r="Z13" s="41" t="str">
        <f t="shared" si="2"/>
        <v/>
      </c>
      <c r="AA13" s="41" t="str">
        <f t="shared" si="2"/>
        <v/>
      </c>
      <c r="AB13" s="41" t="str">
        <f t="shared" si="2"/>
        <v/>
      </c>
      <c r="AC13" s="48" t="str">
        <f t="shared" si="2"/>
        <v/>
      </c>
    </row>
    <row r="14" spans="1:29" x14ac:dyDescent="0.35">
      <c r="A14"/>
      <c r="B14" s="55"/>
      <c r="D14" s="56"/>
      <c r="F14" s="47" t="str">
        <f t="shared" si="1"/>
        <v/>
      </c>
      <c r="G14" s="41" t="str">
        <f t="shared" si="1"/>
        <v/>
      </c>
      <c r="H14" s="41" t="str">
        <f t="shared" si="1"/>
        <v/>
      </c>
      <c r="I14" s="41" t="str">
        <f t="shared" si="1"/>
        <v/>
      </c>
      <c r="J14" s="41" t="str">
        <f t="shared" si="1"/>
        <v/>
      </c>
      <c r="K14" s="41" t="str">
        <f t="shared" si="1"/>
        <v/>
      </c>
      <c r="L14" s="41" t="str">
        <f t="shared" si="1"/>
        <v/>
      </c>
      <c r="M14" s="41" t="str">
        <f t="shared" si="1"/>
        <v/>
      </c>
      <c r="N14" s="41" t="str">
        <f t="shared" si="1"/>
        <v/>
      </c>
      <c r="O14" s="41" t="str">
        <f t="shared" si="1"/>
        <v/>
      </c>
      <c r="P14" s="41" t="str">
        <f t="shared" si="2"/>
        <v/>
      </c>
      <c r="Q14" s="41" t="str">
        <f t="shared" si="2"/>
        <v/>
      </c>
      <c r="R14" s="41" t="str">
        <f t="shared" si="2"/>
        <v/>
      </c>
      <c r="S14" s="41" t="str">
        <f t="shared" si="2"/>
        <v/>
      </c>
      <c r="T14" s="41" t="str">
        <f t="shared" si="2"/>
        <v/>
      </c>
      <c r="U14" s="41" t="str">
        <f t="shared" si="2"/>
        <v/>
      </c>
      <c r="V14" s="41" t="str">
        <f t="shared" si="2"/>
        <v/>
      </c>
      <c r="W14" s="41" t="str">
        <f t="shared" si="2"/>
        <v/>
      </c>
      <c r="X14" s="41" t="str">
        <f t="shared" si="2"/>
        <v/>
      </c>
      <c r="Y14" s="41" t="str">
        <f t="shared" si="2"/>
        <v/>
      </c>
      <c r="Z14" s="41" t="str">
        <f t="shared" si="2"/>
        <v/>
      </c>
      <c r="AA14" s="41" t="str">
        <f t="shared" si="2"/>
        <v/>
      </c>
      <c r="AB14" s="41" t="str">
        <f t="shared" si="2"/>
        <v/>
      </c>
      <c r="AC14" s="48" t="str">
        <f t="shared" si="2"/>
        <v/>
      </c>
    </row>
    <row r="15" spans="1:29" x14ac:dyDescent="0.35">
      <c r="A15"/>
      <c r="B15" s="55"/>
      <c r="D15" s="56"/>
      <c r="F15" s="47" t="str">
        <f t="shared" si="1"/>
        <v/>
      </c>
      <c r="G15" s="41" t="str">
        <f t="shared" si="1"/>
        <v/>
      </c>
      <c r="H15" s="41" t="str">
        <f t="shared" si="1"/>
        <v/>
      </c>
      <c r="I15" s="41" t="str">
        <f t="shared" si="1"/>
        <v/>
      </c>
      <c r="J15" s="41" t="str">
        <f t="shared" si="1"/>
        <v/>
      </c>
      <c r="K15" s="41" t="str">
        <f t="shared" si="1"/>
        <v/>
      </c>
      <c r="L15" s="41" t="str">
        <f t="shared" si="1"/>
        <v/>
      </c>
      <c r="M15" s="41" t="str">
        <f t="shared" si="1"/>
        <v/>
      </c>
      <c r="N15" s="41" t="str">
        <f t="shared" si="1"/>
        <v/>
      </c>
      <c r="O15" s="41" t="str">
        <f t="shared" si="1"/>
        <v/>
      </c>
      <c r="P15" s="41" t="str">
        <f t="shared" si="2"/>
        <v/>
      </c>
      <c r="Q15" s="41" t="str">
        <f t="shared" si="2"/>
        <v/>
      </c>
      <c r="R15" s="41" t="str">
        <f t="shared" si="2"/>
        <v/>
      </c>
      <c r="S15" s="41" t="str">
        <f t="shared" si="2"/>
        <v/>
      </c>
      <c r="T15" s="41" t="str">
        <f t="shared" si="2"/>
        <v/>
      </c>
      <c r="U15" s="41" t="str">
        <f t="shared" si="2"/>
        <v/>
      </c>
      <c r="V15" s="41" t="str">
        <f t="shared" si="2"/>
        <v/>
      </c>
      <c r="W15" s="41" t="str">
        <f t="shared" si="2"/>
        <v/>
      </c>
      <c r="X15" s="41" t="str">
        <f t="shared" si="2"/>
        <v/>
      </c>
      <c r="Y15" s="41" t="str">
        <f t="shared" si="2"/>
        <v/>
      </c>
      <c r="Z15" s="41" t="str">
        <f t="shared" si="2"/>
        <v/>
      </c>
      <c r="AA15" s="41" t="str">
        <f t="shared" si="2"/>
        <v/>
      </c>
      <c r="AB15" s="41" t="str">
        <f t="shared" si="2"/>
        <v/>
      </c>
      <c r="AC15" s="48" t="str">
        <f t="shared" si="2"/>
        <v/>
      </c>
    </row>
    <row r="16" spans="1:29" x14ac:dyDescent="0.35">
      <c r="A16"/>
      <c r="B16" s="55"/>
      <c r="D16" s="56"/>
      <c r="F16" s="47" t="str">
        <f t="shared" si="1"/>
        <v/>
      </c>
      <c r="G16" s="41" t="str">
        <f t="shared" si="1"/>
        <v/>
      </c>
      <c r="H16" s="41" t="str">
        <f t="shared" si="1"/>
        <v/>
      </c>
      <c r="I16" s="41" t="str">
        <f t="shared" si="1"/>
        <v/>
      </c>
      <c r="J16" s="41" t="str">
        <f t="shared" si="1"/>
        <v/>
      </c>
      <c r="K16" s="41" t="str">
        <f t="shared" si="1"/>
        <v/>
      </c>
      <c r="L16" s="41" t="str">
        <f t="shared" si="1"/>
        <v/>
      </c>
      <c r="M16" s="41" t="str">
        <f t="shared" si="1"/>
        <v/>
      </c>
      <c r="N16" s="41" t="str">
        <f t="shared" si="1"/>
        <v/>
      </c>
      <c r="O16" s="41" t="str">
        <f t="shared" si="1"/>
        <v/>
      </c>
      <c r="P16" s="41" t="str">
        <f t="shared" si="2"/>
        <v/>
      </c>
      <c r="Q16" s="41" t="str">
        <f t="shared" si="2"/>
        <v/>
      </c>
      <c r="R16" s="41" t="str">
        <f t="shared" si="2"/>
        <v/>
      </c>
      <c r="S16" s="41" t="str">
        <f t="shared" si="2"/>
        <v/>
      </c>
      <c r="T16" s="41" t="str">
        <f t="shared" si="2"/>
        <v/>
      </c>
      <c r="U16" s="41" t="str">
        <f t="shared" si="2"/>
        <v/>
      </c>
      <c r="V16" s="41" t="str">
        <f t="shared" si="2"/>
        <v/>
      </c>
      <c r="W16" s="41" t="str">
        <f t="shared" si="2"/>
        <v/>
      </c>
      <c r="X16" s="41" t="str">
        <f t="shared" si="2"/>
        <v/>
      </c>
      <c r="Y16" s="41" t="str">
        <f t="shared" si="2"/>
        <v/>
      </c>
      <c r="Z16" s="41" t="str">
        <f t="shared" si="2"/>
        <v/>
      </c>
      <c r="AA16" s="41" t="str">
        <f t="shared" si="2"/>
        <v/>
      </c>
      <c r="AB16" s="41" t="str">
        <f t="shared" si="2"/>
        <v/>
      </c>
      <c r="AC16" s="48" t="str">
        <f t="shared" si="2"/>
        <v/>
      </c>
    </row>
    <row r="17" spans="1:29" x14ac:dyDescent="0.35">
      <c r="A17"/>
      <c r="B17" s="55"/>
      <c r="D17" s="56"/>
      <c r="F17" s="47" t="str">
        <f t="shared" si="1"/>
        <v/>
      </c>
      <c r="G17" s="41" t="str">
        <f t="shared" si="1"/>
        <v/>
      </c>
      <c r="H17" s="41" t="str">
        <f t="shared" si="1"/>
        <v/>
      </c>
      <c r="I17" s="41" t="str">
        <f t="shared" si="1"/>
        <v/>
      </c>
      <c r="J17" s="41" t="str">
        <f t="shared" si="1"/>
        <v/>
      </c>
      <c r="K17" s="41" t="str">
        <f t="shared" si="1"/>
        <v/>
      </c>
      <c r="L17" s="41" t="str">
        <f t="shared" si="1"/>
        <v/>
      </c>
      <c r="M17" s="41" t="str">
        <f t="shared" si="1"/>
        <v/>
      </c>
      <c r="N17" s="41" t="str">
        <f t="shared" si="1"/>
        <v/>
      </c>
      <c r="O17" s="41" t="str">
        <f t="shared" si="1"/>
        <v/>
      </c>
      <c r="P17" s="41" t="str">
        <f t="shared" si="2"/>
        <v/>
      </c>
      <c r="Q17" s="41" t="str">
        <f t="shared" si="2"/>
        <v/>
      </c>
      <c r="R17" s="41" t="str">
        <f t="shared" si="2"/>
        <v/>
      </c>
      <c r="S17" s="41" t="str">
        <f t="shared" si="2"/>
        <v/>
      </c>
      <c r="T17" s="41" t="str">
        <f t="shared" si="2"/>
        <v/>
      </c>
      <c r="U17" s="41" t="str">
        <f t="shared" si="2"/>
        <v/>
      </c>
      <c r="V17" s="41" t="str">
        <f t="shared" si="2"/>
        <v/>
      </c>
      <c r="W17" s="41" t="str">
        <f t="shared" si="2"/>
        <v/>
      </c>
      <c r="X17" s="41" t="str">
        <f t="shared" si="2"/>
        <v/>
      </c>
      <c r="Y17" s="41" t="str">
        <f t="shared" si="2"/>
        <v/>
      </c>
      <c r="Z17" s="41" t="str">
        <f t="shared" si="2"/>
        <v/>
      </c>
      <c r="AA17" s="41" t="str">
        <f t="shared" si="2"/>
        <v/>
      </c>
      <c r="AB17" s="41" t="str">
        <f t="shared" si="2"/>
        <v/>
      </c>
      <c r="AC17" s="48" t="str">
        <f t="shared" si="2"/>
        <v/>
      </c>
    </row>
    <row r="18" spans="1:29" x14ac:dyDescent="0.35">
      <c r="A18"/>
      <c r="B18" s="55"/>
      <c r="D18" s="56"/>
      <c r="F18" s="47" t="str">
        <f t="shared" si="1"/>
        <v/>
      </c>
      <c r="G18" s="41" t="str">
        <f t="shared" si="1"/>
        <v/>
      </c>
      <c r="H18" s="41" t="str">
        <f t="shared" si="1"/>
        <v/>
      </c>
      <c r="I18" s="41" t="str">
        <f t="shared" si="1"/>
        <v/>
      </c>
      <c r="J18" s="41" t="str">
        <f t="shared" si="1"/>
        <v/>
      </c>
      <c r="K18" s="41" t="str">
        <f t="shared" si="1"/>
        <v/>
      </c>
      <c r="L18" s="41" t="str">
        <f t="shared" si="1"/>
        <v/>
      </c>
      <c r="M18" s="41" t="str">
        <f t="shared" si="1"/>
        <v/>
      </c>
      <c r="N18" s="41" t="str">
        <f t="shared" si="1"/>
        <v/>
      </c>
      <c r="O18" s="41" t="str">
        <f t="shared" si="1"/>
        <v/>
      </c>
      <c r="P18" s="41" t="str">
        <f t="shared" si="2"/>
        <v/>
      </c>
      <c r="Q18" s="41" t="str">
        <f t="shared" si="2"/>
        <v/>
      </c>
      <c r="R18" s="41" t="str">
        <f t="shared" si="2"/>
        <v/>
      </c>
      <c r="S18" s="41" t="str">
        <f t="shared" si="2"/>
        <v/>
      </c>
      <c r="T18" s="41" t="str">
        <f t="shared" si="2"/>
        <v/>
      </c>
      <c r="U18" s="41" t="str">
        <f t="shared" si="2"/>
        <v/>
      </c>
      <c r="V18" s="41" t="str">
        <f t="shared" si="2"/>
        <v/>
      </c>
      <c r="W18" s="41" t="str">
        <f t="shared" si="2"/>
        <v/>
      </c>
      <c r="X18" s="41" t="str">
        <f t="shared" si="2"/>
        <v/>
      </c>
      <c r="Y18" s="41" t="str">
        <f t="shared" si="2"/>
        <v/>
      </c>
      <c r="Z18" s="41" t="str">
        <f t="shared" si="2"/>
        <v/>
      </c>
      <c r="AA18" s="41" t="str">
        <f t="shared" si="2"/>
        <v/>
      </c>
      <c r="AB18" s="41" t="str">
        <f t="shared" si="2"/>
        <v/>
      </c>
      <c r="AC18" s="48" t="str">
        <f t="shared" si="2"/>
        <v/>
      </c>
    </row>
    <row r="19" spans="1:29" x14ac:dyDescent="0.35">
      <c r="A19"/>
      <c r="B19" s="55"/>
      <c r="D19" s="56"/>
      <c r="F19" s="47" t="str">
        <f t="shared" si="1"/>
        <v/>
      </c>
      <c r="G19" s="41" t="str">
        <f t="shared" si="1"/>
        <v/>
      </c>
      <c r="H19" s="41" t="str">
        <f t="shared" si="1"/>
        <v/>
      </c>
      <c r="I19" s="41" t="str">
        <f t="shared" si="1"/>
        <v/>
      </c>
      <c r="J19" s="41" t="str">
        <f t="shared" si="1"/>
        <v/>
      </c>
      <c r="K19" s="41" t="str">
        <f t="shared" si="1"/>
        <v/>
      </c>
      <c r="L19" s="41" t="str">
        <f t="shared" si="1"/>
        <v/>
      </c>
      <c r="M19" s="41" t="str">
        <f t="shared" si="1"/>
        <v/>
      </c>
      <c r="N19" s="41" t="str">
        <f t="shared" si="1"/>
        <v/>
      </c>
      <c r="O19" s="41" t="str">
        <f t="shared" si="1"/>
        <v/>
      </c>
      <c r="P19" s="41" t="str">
        <f t="shared" si="2"/>
        <v/>
      </c>
      <c r="Q19" s="41" t="str">
        <f t="shared" si="2"/>
        <v/>
      </c>
      <c r="R19" s="41" t="str">
        <f t="shared" si="2"/>
        <v/>
      </c>
      <c r="S19" s="41" t="str">
        <f t="shared" si="2"/>
        <v/>
      </c>
      <c r="T19" s="41" t="str">
        <f t="shared" si="2"/>
        <v/>
      </c>
      <c r="U19" s="41" t="str">
        <f t="shared" si="2"/>
        <v/>
      </c>
      <c r="V19" s="41" t="str">
        <f t="shared" si="2"/>
        <v/>
      </c>
      <c r="W19" s="41" t="str">
        <f t="shared" si="2"/>
        <v/>
      </c>
      <c r="X19" s="41" t="str">
        <f t="shared" si="2"/>
        <v/>
      </c>
      <c r="Y19" s="41" t="str">
        <f t="shared" si="2"/>
        <v/>
      </c>
      <c r="Z19" s="41" t="str">
        <f t="shared" si="2"/>
        <v/>
      </c>
      <c r="AA19" s="41" t="str">
        <f t="shared" si="2"/>
        <v/>
      </c>
      <c r="AB19" s="41" t="str">
        <f t="shared" si="2"/>
        <v/>
      </c>
      <c r="AC19" s="48" t="str">
        <f t="shared" si="2"/>
        <v/>
      </c>
    </row>
    <row r="20" spans="1:29" x14ac:dyDescent="0.35">
      <c r="A20"/>
      <c r="B20" s="55"/>
      <c r="D20" s="56"/>
      <c r="F20" s="47" t="str">
        <f t="shared" si="1"/>
        <v/>
      </c>
      <c r="G20" s="41" t="str">
        <f t="shared" si="1"/>
        <v/>
      </c>
      <c r="H20" s="41" t="str">
        <f t="shared" si="1"/>
        <v/>
      </c>
      <c r="I20" s="41" t="str">
        <f t="shared" si="1"/>
        <v/>
      </c>
      <c r="J20" s="41" t="str">
        <f t="shared" si="1"/>
        <v/>
      </c>
      <c r="K20" s="41" t="str">
        <f t="shared" si="1"/>
        <v/>
      </c>
      <c r="L20" s="41" t="str">
        <f t="shared" si="1"/>
        <v/>
      </c>
      <c r="M20" s="41" t="str">
        <f t="shared" si="1"/>
        <v/>
      </c>
      <c r="N20" s="41" t="str">
        <f t="shared" si="1"/>
        <v/>
      </c>
      <c r="O20" s="41" t="str">
        <f t="shared" si="1"/>
        <v/>
      </c>
      <c r="P20" s="41" t="str">
        <f t="shared" si="2"/>
        <v/>
      </c>
      <c r="Q20" s="41" t="str">
        <f t="shared" si="2"/>
        <v/>
      </c>
      <c r="R20" s="41" t="str">
        <f t="shared" si="2"/>
        <v/>
      </c>
      <c r="S20" s="41" t="str">
        <f t="shared" si="2"/>
        <v/>
      </c>
      <c r="T20" s="41" t="str">
        <f t="shared" si="2"/>
        <v/>
      </c>
      <c r="U20" s="41" t="str">
        <f t="shared" si="2"/>
        <v/>
      </c>
      <c r="V20" s="41" t="str">
        <f t="shared" si="2"/>
        <v/>
      </c>
      <c r="W20" s="41" t="str">
        <f t="shared" si="2"/>
        <v/>
      </c>
      <c r="X20" s="41" t="str">
        <f t="shared" si="2"/>
        <v/>
      </c>
      <c r="Y20" s="41" t="str">
        <f t="shared" si="2"/>
        <v/>
      </c>
      <c r="Z20" s="41" t="str">
        <f t="shared" si="2"/>
        <v/>
      </c>
      <c r="AA20" s="41" t="str">
        <f t="shared" si="2"/>
        <v/>
      </c>
      <c r="AB20" s="41" t="str">
        <f t="shared" si="2"/>
        <v/>
      </c>
      <c r="AC20" s="48" t="str">
        <f t="shared" si="2"/>
        <v/>
      </c>
    </row>
    <row r="21" spans="1:29" x14ac:dyDescent="0.35">
      <c r="A21"/>
      <c r="B21" s="55"/>
      <c r="D21" s="56"/>
      <c r="F21" s="47" t="str">
        <f t="shared" si="1"/>
        <v/>
      </c>
      <c r="G21" s="41" t="str">
        <f t="shared" si="1"/>
        <v/>
      </c>
      <c r="H21" s="41" t="str">
        <f t="shared" si="1"/>
        <v/>
      </c>
      <c r="I21" s="41" t="str">
        <f t="shared" si="1"/>
        <v/>
      </c>
      <c r="J21" s="41" t="str">
        <f t="shared" si="1"/>
        <v/>
      </c>
      <c r="K21" s="41" t="str">
        <f t="shared" si="1"/>
        <v/>
      </c>
      <c r="L21" s="41" t="str">
        <f t="shared" si="1"/>
        <v/>
      </c>
      <c r="M21" s="41" t="str">
        <f t="shared" si="1"/>
        <v/>
      </c>
      <c r="N21" s="41" t="str">
        <f t="shared" si="1"/>
        <v/>
      </c>
      <c r="O21" s="41" t="str">
        <f t="shared" si="1"/>
        <v/>
      </c>
      <c r="P21" s="41" t="str">
        <f t="shared" si="2"/>
        <v/>
      </c>
      <c r="Q21" s="41" t="str">
        <f t="shared" si="2"/>
        <v/>
      </c>
      <c r="R21" s="41" t="str">
        <f t="shared" si="2"/>
        <v/>
      </c>
      <c r="S21" s="41" t="str">
        <f t="shared" si="2"/>
        <v/>
      </c>
      <c r="T21" s="41" t="str">
        <f t="shared" si="2"/>
        <v/>
      </c>
      <c r="U21" s="41" t="str">
        <f t="shared" si="2"/>
        <v/>
      </c>
      <c r="V21" s="41" t="str">
        <f t="shared" si="2"/>
        <v/>
      </c>
      <c r="W21" s="41" t="str">
        <f t="shared" si="2"/>
        <v/>
      </c>
      <c r="X21" s="41" t="str">
        <f t="shared" si="2"/>
        <v/>
      </c>
      <c r="Y21" s="41" t="str">
        <f t="shared" si="2"/>
        <v/>
      </c>
      <c r="Z21" s="41" t="str">
        <f t="shared" si="2"/>
        <v/>
      </c>
      <c r="AA21" s="41" t="str">
        <f t="shared" si="2"/>
        <v/>
      </c>
      <c r="AB21" s="41" t="str">
        <f t="shared" si="2"/>
        <v/>
      </c>
      <c r="AC21" s="48" t="str">
        <f t="shared" si="2"/>
        <v/>
      </c>
    </row>
    <row r="22" spans="1:29" x14ac:dyDescent="0.35">
      <c r="A22"/>
      <c r="B22" s="55"/>
      <c r="D22" s="56"/>
      <c r="F22" s="47" t="str">
        <f t="shared" si="1"/>
        <v/>
      </c>
      <c r="G22" s="41" t="str">
        <f t="shared" si="1"/>
        <v/>
      </c>
      <c r="H22" s="41" t="str">
        <f t="shared" si="1"/>
        <v/>
      </c>
      <c r="I22" s="41" t="str">
        <f t="shared" si="1"/>
        <v/>
      </c>
      <c r="J22" s="41" t="str">
        <f t="shared" si="1"/>
        <v/>
      </c>
      <c r="K22" s="41" t="str">
        <f t="shared" si="1"/>
        <v/>
      </c>
      <c r="L22" s="41" t="str">
        <f t="shared" si="1"/>
        <v/>
      </c>
      <c r="M22" s="41" t="str">
        <f t="shared" si="1"/>
        <v/>
      </c>
      <c r="N22" s="41" t="str">
        <f t="shared" si="1"/>
        <v/>
      </c>
      <c r="O22" s="41" t="str">
        <f t="shared" si="1"/>
        <v/>
      </c>
      <c r="P22" s="41" t="str">
        <f t="shared" si="2"/>
        <v/>
      </c>
      <c r="Q22" s="41" t="str">
        <f t="shared" si="2"/>
        <v/>
      </c>
      <c r="R22" s="41" t="str">
        <f t="shared" si="2"/>
        <v/>
      </c>
      <c r="S22" s="41" t="str">
        <f t="shared" si="2"/>
        <v/>
      </c>
      <c r="T22" s="41" t="str">
        <f t="shared" si="2"/>
        <v/>
      </c>
      <c r="U22" s="41" t="str">
        <f t="shared" si="2"/>
        <v/>
      </c>
      <c r="V22" s="41" t="str">
        <f t="shared" si="2"/>
        <v/>
      </c>
      <c r="W22" s="41" t="str">
        <f t="shared" si="2"/>
        <v/>
      </c>
      <c r="X22" s="41" t="str">
        <f t="shared" si="2"/>
        <v/>
      </c>
      <c r="Y22" s="41" t="str">
        <f t="shared" si="2"/>
        <v/>
      </c>
      <c r="Z22" s="41" t="str">
        <f t="shared" si="2"/>
        <v/>
      </c>
      <c r="AA22" s="41" t="str">
        <f t="shared" si="2"/>
        <v/>
      </c>
      <c r="AB22" s="41" t="str">
        <f t="shared" si="2"/>
        <v/>
      </c>
      <c r="AC22" s="48" t="str">
        <f t="shared" si="2"/>
        <v/>
      </c>
    </row>
    <row r="23" spans="1:29" x14ac:dyDescent="0.35">
      <c r="A23"/>
      <c r="B23" s="55"/>
      <c r="D23" s="56"/>
      <c r="F23" s="47" t="str">
        <f t="shared" ref="F23:U47" si="3">IF(AND(F$6&gt;=$C23, F$6&lt;=$D23),"1","")</f>
        <v/>
      </c>
      <c r="G23" s="41" t="str">
        <f t="shared" si="3"/>
        <v/>
      </c>
      <c r="H23" s="41" t="str">
        <f t="shared" si="3"/>
        <v/>
      </c>
      <c r="I23" s="41" t="str">
        <f t="shared" si="3"/>
        <v/>
      </c>
      <c r="J23" s="41" t="str">
        <f t="shared" si="3"/>
        <v/>
      </c>
      <c r="K23" s="41" t="str">
        <f t="shared" si="3"/>
        <v/>
      </c>
      <c r="L23" s="41" t="str">
        <f t="shared" si="3"/>
        <v/>
      </c>
      <c r="M23" s="41" t="str">
        <f t="shared" si="3"/>
        <v/>
      </c>
      <c r="N23" s="41" t="str">
        <f t="shared" si="3"/>
        <v/>
      </c>
      <c r="O23" s="41" t="str">
        <f t="shared" si="3"/>
        <v/>
      </c>
      <c r="P23" s="41" t="str">
        <f t="shared" si="3"/>
        <v/>
      </c>
      <c r="Q23" s="41" t="str">
        <f t="shared" si="3"/>
        <v/>
      </c>
      <c r="R23" s="41" t="str">
        <f t="shared" si="3"/>
        <v/>
      </c>
      <c r="S23" s="41" t="str">
        <f t="shared" si="3"/>
        <v/>
      </c>
      <c r="T23" s="41" t="str">
        <f t="shared" si="3"/>
        <v/>
      </c>
      <c r="U23" s="41" t="str">
        <f t="shared" si="3"/>
        <v/>
      </c>
      <c r="V23" s="41" t="str">
        <f t="shared" ref="P23:AC41" si="4">IF(AND(V$6&gt;=$C23, V$6&lt;=$D23),"1","")</f>
        <v/>
      </c>
      <c r="W23" s="41" t="str">
        <f t="shared" si="4"/>
        <v/>
      </c>
      <c r="X23" s="41" t="str">
        <f t="shared" si="4"/>
        <v/>
      </c>
      <c r="Y23" s="41" t="str">
        <f t="shared" si="4"/>
        <v/>
      </c>
      <c r="Z23" s="41" t="str">
        <f t="shared" si="4"/>
        <v/>
      </c>
      <c r="AA23" s="41" t="str">
        <f t="shared" si="4"/>
        <v/>
      </c>
      <c r="AB23" s="41" t="str">
        <f t="shared" si="4"/>
        <v/>
      </c>
      <c r="AC23" s="48" t="str">
        <f t="shared" si="4"/>
        <v/>
      </c>
    </row>
    <row r="24" spans="1:29" x14ac:dyDescent="0.35">
      <c r="A24"/>
      <c r="B24" s="55"/>
      <c r="D24" s="56"/>
      <c r="F24" s="47" t="str">
        <f t="shared" si="3"/>
        <v/>
      </c>
      <c r="G24" s="41" t="str">
        <f t="shared" si="3"/>
        <v/>
      </c>
      <c r="H24" s="41" t="str">
        <f t="shared" si="3"/>
        <v/>
      </c>
      <c r="I24" s="41" t="str">
        <f t="shared" si="3"/>
        <v/>
      </c>
      <c r="J24" s="41" t="str">
        <f t="shared" si="3"/>
        <v/>
      </c>
      <c r="K24" s="41" t="str">
        <f t="shared" si="3"/>
        <v/>
      </c>
      <c r="L24" s="41" t="str">
        <f t="shared" si="3"/>
        <v/>
      </c>
      <c r="M24" s="41" t="str">
        <f t="shared" si="3"/>
        <v/>
      </c>
      <c r="N24" s="41" t="str">
        <f t="shared" si="3"/>
        <v/>
      </c>
      <c r="O24" s="41" t="str">
        <f t="shared" si="3"/>
        <v/>
      </c>
      <c r="P24" s="41" t="str">
        <f t="shared" si="4"/>
        <v/>
      </c>
      <c r="Q24" s="41" t="str">
        <f t="shared" si="4"/>
        <v/>
      </c>
      <c r="R24" s="41" t="str">
        <f t="shared" si="4"/>
        <v/>
      </c>
      <c r="S24" s="41" t="str">
        <f t="shared" si="4"/>
        <v/>
      </c>
      <c r="T24" s="41" t="str">
        <f t="shared" si="4"/>
        <v/>
      </c>
      <c r="U24" s="41" t="str">
        <f t="shared" si="4"/>
        <v/>
      </c>
      <c r="V24" s="41" t="str">
        <f t="shared" si="4"/>
        <v/>
      </c>
      <c r="W24" s="41" t="str">
        <f t="shared" si="4"/>
        <v/>
      </c>
      <c r="X24" s="41" t="str">
        <f t="shared" si="4"/>
        <v/>
      </c>
      <c r="Y24" s="41" t="str">
        <f t="shared" si="4"/>
        <v/>
      </c>
      <c r="Z24" s="41" t="str">
        <f t="shared" si="4"/>
        <v/>
      </c>
      <c r="AA24" s="41" t="str">
        <f t="shared" si="4"/>
        <v/>
      </c>
      <c r="AB24" s="41" t="str">
        <f t="shared" si="4"/>
        <v/>
      </c>
      <c r="AC24" s="48" t="str">
        <f t="shared" si="4"/>
        <v/>
      </c>
    </row>
    <row r="25" spans="1:29" x14ac:dyDescent="0.35">
      <c r="A25"/>
      <c r="B25" s="55"/>
      <c r="D25" s="56"/>
      <c r="F25" s="47" t="str">
        <f t="shared" si="3"/>
        <v/>
      </c>
      <c r="G25" s="41" t="str">
        <f t="shared" si="3"/>
        <v/>
      </c>
      <c r="H25" s="41" t="str">
        <f t="shared" si="3"/>
        <v/>
      </c>
      <c r="I25" s="41" t="str">
        <f t="shared" si="3"/>
        <v/>
      </c>
      <c r="J25" s="41" t="str">
        <f t="shared" si="3"/>
        <v/>
      </c>
      <c r="K25" s="41" t="str">
        <f t="shared" si="3"/>
        <v/>
      </c>
      <c r="L25" s="41" t="str">
        <f t="shared" si="3"/>
        <v/>
      </c>
      <c r="M25" s="41" t="str">
        <f t="shared" si="3"/>
        <v/>
      </c>
      <c r="N25" s="41" t="str">
        <f t="shared" si="3"/>
        <v/>
      </c>
      <c r="O25" s="41" t="str">
        <f t="shared" si="3"/>
        <v/>
      </c>
      <c r="P25" s="41" t="str">
        <f t="shared" si="4"/>
        <v/>
      </c>
      <c r="Q25" s="41" t="str">
        <f t="shared" si="4"/>
        <v/>
      </c>
      <c r="R25" s="41" t="str">
        <f t="shared" si="4"/>
        <v/>
      </c>
      <c r="S25" s="41" t="str">
        <f t="shared" si="4"/>
        <v/>
      </c>
      <c r="T25" s="41" t="str">
        <f t="shared" si="4"/>
        <v/>
      </c>
      <c r="U25" s="41" t="str">
        <f t="shared" si="4"/>
        <v/>
      </c>
      <c r="V25" s="41" t="str">
        <f t="shared" si="4"/>
        <v/>
      </c>
      <c r="W25" s="41" t="str">
        <f t="shared" si="4"/>
        <v/>
      </c>
      <c r="X25" s="41" t="str">
        <f t="shared" si="4"/>
        <v/>
      </c>
      <c r="Y25" s="41" t="str">
        <f t="shared" si="4"/>
        <v/>
      </c>
      <c r="Z25" s="41" t="str">
        <f t="shared" si="4"/>
        <v/>
      </c>
      <c r="AA25" s="41" t="str">
        <f t="shared" si="4"/>
        <v/>
      </c>
      <c r="AB25" s="41" t="str">
        <f t="shared" si="4"/>
        <v/>
      </c>
      <c r="AC25" s="48" t="str">
        <f t="shared" si="4"/>
        <v/>
      </c>
    </row>
    <row r="26" spans="1:29" x14ac:dyDescent="0.35">
      <c r="A26"/>
      <c r="B26" s="55"/>
      <c r="D26" s="56"/>
      <c r="F26" s="47" t="str">
        <f t="shared" si="3"/>
        <v/>
      </c>
      <c r="G26" s="41" t="str">
        <f t="shared" si="3"/>
        <v/>
      </c>
      <c r="H26" s="41" t="str">
        <f t="shared" si="3"/>
        <v/>
      </c>
      <c r="I26" s="41" t="str">
        <f t="shared" si="3"/>
        <v/>
      </c>
      <c r="J26" s="41" t="str">
        <f t="shared" si="3"/>
        <v/>
      </c>
      <c r="K26" s="41" t="str">
        <f t="shared" si="3"/>
        <v/>
      </c>
      <c r="L26" s="41" t="str">
        <f t="shared" si="3"/>
        <v/>
      </c>
      <c r="M26" s="41" t="str">
        <f t="shared" si="3"/>
        <v/>
      </c>
      <c r="N26" s="41" t="str">
        <f t="shared" si="3"/>
        <v/>
      </c>
      <c r="O26" s="41" t="str">
        <f t="shared" si="3"/>
        <v/>
      </c>
      <c r="P26" s="41" t="str">
        <f t="shared" si="4"/>
        <v/>
      </c>
      <c r="Q26" s="41" t="str">
        <f t="shared" si="4"/>
        <v/>
      </c>
      <c r="R26" s="41" t="str">
        <f t="shared" si="4"/>
        <v/>
      </c>
      <c r="S26" s="41" t="str">
        <f t="shared" si="4"/>
        <v/>
      </c>
      <c r="T26" s="41" t="str">
        <f t="shared" si="4"/>
        <v/>
      </c>
      <c r="U26" s="41" t="str">
        <f t="shared" si="4"/>
        <v/>
      </c>
      <c r="V26" s="41" t="str">
        <f t="shared" si="4"/>
        <v/>
      </c>
      <c r="W26" s="41" t="str">
        <f t="shared" si="4"/>
        <v/>
      </c>
      <c r="X26" s="41" t="str">
        <f t="shared" si="4"/>
        <v/>
      </c>
      <c r="Y26" s="41" t="str">
        <f t="shared" si="4"/>
        <v/>
      </c>
      <c r="Z26" s="41" t="str">
        <f t="shared" si="4"/>
        <v/>
      </c>
      <c r="AA26" s="41" t="str">
        <f t="shared" si="4"/>
        <v/>
      </c>
      <c r="AB26" s="41" t="str">
        <f t="shared" si="4"/>
        <v/>
      </c>
      <c r="AC26" s="48" t="str">
        <f t="shared" si="4"/>
        <v/>
      </c>
    </row>
    <row r="27" spans="1:29" x14ac:dyDescent="0.35">
      <c r="A27"/>
      <c r="B27" s="55"/>
      <c r="D27" s="56"/>
      <c r="F27" s="47" t="str">
        <f t="shared" si="3"/>
        <v/>
      </c>
      <c r="G27" s="41" t="str">
        <f t="shared" si="3"/>
        <v/>
      </c>
      <c r="H27" s="41" t="str">
        <f t="shared" si="3"/>
        <v/>
      </c>
      <c r="I27" s="41" t="str">
        <f t="shared" si="3"/>
        <v/>
      </c>
      <c r="J27" s="41" t="str">
        <f t="shared" si="3"/>
        <v/>
      </c>
      <c r="K27" s="41" t="str">
        <f t="shared" si="3"/>
        <v/>
      </c>
      <c r="L27" s="41" t="str">
        <f t="shared" si="3"/>
        <v/>
      </c>
      <c r="M27" s="41" t="str">
        <f t="shared" si="3"/>
        <v/>
      </c>
      <c r="N27" s="41" t="str">
        <f t="shared" si="3"/>
        <v/>
      </c>
      <c r="O27" s="41" t="str">
        <f t="shared" si="3"/>
        <v/>
      </c>
      <c r="P27" s="41" t="str">
        <f t="shared" si="4"/>
        <v/>
      </c>
      <c r="Q27" s="41" t="str">
        <f t="shared" si="4"/>
        <v/>
      </c>
      <c r="R27" s="41" t="str">
        <f t="shared" si="4"/>
        <v/>
      </c>
      <c r="S27" s="41" t="str">
        <f t="shared" si="4"/>
        <v/>
      </c>
      <c r="T27" s="41" t="str">
        <f t="shared" si="4"/>
        <v/>
      </c>
      <c r="U27" s="41" t="str">
        <f t="shared" si="4"/>
        <v/>
      </c>
      <c r="V27" s="41" t="str">
        <f t="shared" si="4"/>
        <v/>
      </c>
      <c r="W27" s="41" t="str">
        <f t="shared" si="4"/>
        <v/>
      </c>
      <c r="X27" s="41" t="str">
        <f t="shared" si="4"/>
        <v/>
      </c>
      <c r="Y27" s="41" t="str">
        <f t="shared" si="4"/>
        <v/>
      </c>
      <c r="Z27" s="41" t="str">
        <f t="shared" si="4"/>
        <v/>
      </c>
      <c r="AA27" s="41" t="str">
        <f t="shared" si="4"/>
        <v/>
      </c>
      <c r="AB27" s="41" t="str">
        <f t="shared" si="4"/>
        <v/>
      </c>
      <c r="AC27" s="48" t="str">
        <f t="shared" si="4"/>
        <v/>
      </c>
    </row>
    <row r="28" spans="1:29" x14ac:dyDescent="0.35">
      <c r="A28"/>
      <c r="B28" s="55"/>
      <c r="D28" s="56"/>
      <c r="F28" s="47" t="str">
        <f t="shared" si="3"/>
        <v/>
      </c>
      <c r="G28" s="41" t="str">
        <f t="shared" si="3"/>
        <v/>
      </c>
      <c r="H28" s="41" t="str">
        <f t="shared" si="3"/>
        <v/>
      </c>
      <c r="I28" s="41" t="str">
        <f t="shared" si="3"/>
        <v/>
      </c>
      <c r="J28" s="41" t="str">
        <f t="shared" si="3"/>
        <v/>
      </c>
      <c r="K28" s="41" t="str">
        <f t="shared" si="3"/>
        <v/>
      </c>
      <c r="L28" s="41" t="str">
        <f t="shared" si="3"/>
        <v/>
      </c>
      <c r="M28" s="41" t="str">
        <f t="shared" si="3"/>
        <v/>
      </c>
      <c r="N28" s="41" t="str">
        <f t="shared" si="3"/>
        <v/>
      </c>
      <c r="O28" s="41" t="str">
        <f t="shared" si="3"/>
        <v/>
      </c>
      <c r="P28" s="41" t="str">
        <f t="shared" si="4"/>
        <v/>
      </c>
      <c r="Q28" s="41" t="str">
        <f t="shared" si="4"/>
        <v/>
      </c>
      <c r="R28" s="41" t="str">
        <f t="shared" si="4"/>
        <v/>
      </c>
      <c r="S28" s="41" t="str">
        <f t="shared" si="4"/>
        <v/>
      </c>
      <c r="T28" s="41" t="str">
        <f t="shared" si="4"/>
        <v/>
      </c>
      <c r="U28" s="41" t="str">
        <f t="shared" si="4"/>
        <v/>
      </c>
      <c r="V28" s="41" t="str">
        <f t="shared" si="4"/>
        <v/>
      </c>
      <c r="W28" s="41" t="str">
        <f t="shared" si="4"/>
        <v/>
      </c>
      <c r="X28" s="41" t="str">
        <f t="shared" si="4"/>
        <v/>
      </c>
      <c r="Y28" s="41" t="str">
        <f t="shared" si="4"/>
        <v/>
      </c>
      <c r="Z28" s="41" t="str">
        <f t="shared" si="4"/>
        <v/>
      </c>
      <c r="AA28" s="41" t="str">
        <f t="shared" si="4"/>
        <v/>
      </c>
      <c r="AB28" s="41" t="str">
        <f t="shared" si="4"/>
        <v/>
      </c>
      <c r="AC28" s="48" t="str">
        <f t="shared" si="4"/>
        <v/>
      </c>
    </row>
    <row r="29" spans="1:29" x14ac:dyDescent="0.35">
      <c r="A29"/>
      <c r="B29" s="55"/>
      <c r="D29" s="56"/>
      <c r="F29" s="47" t="str">
        <f t="shared" si="3"/>
        <v/>
      </c>
      <c r="G29" s="41" t="str">
        <f t="shared" si="3"/>
        <v/>
      </c>
      <c r="H29" s="41" t="str">
        <f t="shared" si="3"/>
        <v/>
      </c>
      <c r="I29" s="41" t="str">
        <f t="shared" si="3"/>
        <v/>
      </c>
      <c r="J29" s="41" t="str">
        <f t="shared" si="3"/>
        <v/>
      </c>
      <c r="K29" s="41" t="str">
        <f t="shared" si="3"/>
        <v/>
      </c>
      <c r="L29" s="41" t="str">
        <f t="shared" si="3"/>
        <v/>
      </c>
      <c r="M29" s="41" t="str">
        <f t="shared" si="3"/>
        <v/>
      </c>
      <c r="N29" s="41" t="str">
        <f t="shared" si="3"/>
        <v/>
      </c>
      <c r="O29" s="41" t="str">
        <f t="shared" si="3"/>
        <v/>
      </c>
      <c r="P29" s="41" t="str">
        <f t="shared" si="4"/>
        <v/>
      </c>
      <c r="Q29" s="41" t="str">
        <f t="shared" si="4"/>
        <v/>
      </c>
      <c r="R29" s="41" t="str">
        <f t="shared" si="4"/>
        <v/>
      </c>
      <c r="S29" s="41" t="str">
        <f t="shared" si="4"/>
        <v/>
      </c>
      <c r="T29" s="41" t="str">
        <f t="shared" si="4"/>
        <v/>
      </c>
      <c r="U29" s="41" t="str">
        <f t="shared" si="4"/>
        <v/>
      </c>
      <c r="V29" s="41" t="str">
        <f t="shared" si="4"/>
        <v/>
      </c>
      <c r="W29" s="41" t="str">
        <f t="shared" si="4"/>
        <v/>
      </c>
      <c r="X29" s="41" t="str">
        <f t="shared" si="4"/>
        <v/>
      </c>
      <c r="Y29" s="41" t="str">
        <f t="shared" si="4"/>
        <v/>
      </c>
      <c r="Z29" s="41" t="str">
        <f t="shared" si="4"/>
        <v/>
      </c>
      <c r="AA29" s="41" t="str">
        <f t="shared" si="4"/>
        <v/>
      </c>
      <c r="AB29" s="41" t="str">
        <f t="shared" si="4"/>
        <v/>
      </c>
      <c r="AC29" s="48" t="str">
        <f t="shared" si="4"/>
        <v/>
      </c>
    </row>
    <row r="30" spans="1:29" x14ac:dyDescent="0.35">
      <c r="A30"/>
      <c r="B30" s="55"/>
      <c r="D30" s="56"/>
      <c r="F30" s="47" t="str">
        <f t="shared" si="3"/>
        <v/>
      </c>
      <c r="G30" s="41" t="str">
        <f t="shared" si="3"/>
        <v/>
      </c>
      <c r="H30" s="41" t="str">
        <f t="shared" si="3"/>
        <v/>
      </c>
      <c r="I30" s="41" t="str">
        <f t="shared" si="3"/>
        <v/>
      </c>
      <c r="J30" s="41" t="str">
        <f t="shared" si="3"/>
        <v/>
      </c>
      <c r="K30" s="41" t="str">
        <f t="shared" si="3"/>
        <v/>
      </c>
      <c r="L30" s="41" t="str">
        <f t="shared" si="3"/>
        <v/>
      </c>
      <c r="M30" s="41" t="str">
        <f t="shared" si="3"/>
        <v/>
      </c>
      <c r="N30" s="41" t="str">
        <f t="shared" si="3"/>
        <v/>
      </c>
      <c r="O30" s="41" t="str">
        <f t="shared" si="3"/>
        <v/>
      </c>
      <c r="P30" s="41" t="str">
        <f t="shared" si="4"/>
        <v/>
      </c>
      <c r="Q30" s="41" t="str">
        <f t="shared" si="4"/>
        <v/>
      </c>
      <c r="R30" s="41" t="str">
        <f t="shared" si="4"/>
        <v/>
      </c>
      <c r="S30" s="41" t="str">
        <f t="shared" si="4"/>
        <v/>
      </c>
      <c r="T30" s="41" t="str">
        <f t="shared" si="4"/>
        <v/>
      </c>
      <c r="U30" s="41" t="str">
        <f t="shared" si="4"/>
        <v/>
      </c>
      <c r="V30" s="41" t="str">
        <f t="shared" si="4"/>
        <v/>
      </c>
      <c r="W30" s="41" t="str">
        <f t="shared" si="4"/>
        <v/>
      </c>
      <c r="X30" s="41" t="str">
        <f t="shared" si="4"/>
        <v/>
      </c>
      <c r="Y30" s="41" t="str">
        <f t="shared" si="4"/>
        <v/>
      </c>
      <c r="Z30" s="41" t="str">
        <f t="shared" si="4"/>
        <v/>
      </c>
      <c r="AA30" s="41" t="str">
        <f t="shared" si="4"/>
        <v/>
      </c>
      <c r="AB30" s="41" t="str">
        <f t="shared" si="4"/>
        <v/>
      </c>
      <c r="AC30" s="48" t="str">
        <f t="shared" si="4"/>
        <v/>
      </c>
    </row>
    <row r="31" spans="1:29" x14ac:dyDescent="0.35">
      <c r="A31"/>
      <c r="B31" s="55"/>
      <c r="D31" s="56"/>
      <c r="F31" s="47" t="str">
        <f t="shared" si="3"/>
        <v/>
      </c>
      <c r="G31" s="41" t="str">
        <f t="shared" si="3"/>
        <v/>
      </c>
      <c r="H31" s="41" t="str">
        <f t="shared" si="3"/>
        <v/>
      </c>
      <c r="I31" s="41" t="str">
        <f t="shared" si="3"/>
        <v/>
      </c>
      <c r="J31" s="41" t="str">
        <f t="shared" si="3"/>
        <v/>
      </c>
      <c r="K31" s="41" t="str">
        <f t="shared" si="3"/>
        <v/>
      </c>
      <c r="L31" s="41" t="str">
        <f t="shared" si="3"/>
        <v/>
      </c>
      <c r="M31" s="41" t="str">
        <f t="shared" si="3"/>
        <v/>
      </c>
      <c r="N31" s="41" t="str">
        <f t="shared" si="3"/>
        <v/>
      </c>
      <c r="O31" s="41" t="str">
        <f t="shared" si="3"/>
        <v/>
      </c>
      <c r="P31" s="41" t="str">
        <f t="shared" si="4"/>
        <v/>
      </c>
      <c r="Q31" s="41" t="str">
        <f t="shared" si="4"/>
        <v/>
      </c>
      <c r="R31" s="41" t="str">
        <f t="shared" si="4"/>
        <v/>
      </c>
      <c r="S31" s="41" t="str">
        <f t="shared" si="4"/>
        <v/>
      </c>
      <c r="T31" s="41" t="str">
        <f t="shared" si="4"/>
        <v/>
      </c>
      <c r="U31" s="41" t="str">
        <f t="shared" si="4"/>
        <v/>
      </c>
      <c r="V31" s="41" t="str">
        <f t="shared" si="4"/>
        <v/>
      </c>
      <c r="W31" s="41" t="str">
        <f t="shared" si="4"/>
        <v/>
      </c>
      <c r="X31" s="41" t="str">
        <f t="shared" si="4"/>
        <v/>
      </c>
      <c r="Y31" s="41" t="str">
        <f t="shared" si="4"/>
        <v/>
      </c>
      <c r="Z31" s="41" t="str">
        <f t="shared" si="4"/>
        <v/>
      </c>
      <c r="AA31" s="41" t="str">
        <f t="shared" si="4"/>
        <v/>
      </c>
      <c r="AB31" s="41" t="str">
        <f t="shared" si="4"/>
        <v/>
      </c>
      <c r="AC31" s="48" t="str">
        <f t="shared" si="4"/>
        <v/>
      </c>
    </row>
    <row r="32" spans="1:29" x14ac:dyDescent="0.35">
      <c r="A32"/>
      <c r="B32" s="55"/>
      <c r="D32" s="56"/>
      <c r="F32" s="47" t="str">
        <f t="shared" si="3"/>
        <v/>
      </c>
      <c r="G32" s="41" t="str">
        <f t="shared" si="3"/>
        <v/>
      </c>
      <c r="H32" s="41" t="str">
        <f t="shared" si="3"/>
        <v/>
      </c>
      <c r="I32" s="41" t="str">
        <f t="shared" si="3"/>
        <v/>
      </c>
      <c r="J32" s="41" t="str">
        <f t="shared" si="3"/>
        <v/>
      </c>
      <c r="K32" s="41" t="str">
        <f t="shared" si="3"/>
        <v/>
      </c>
      <c r="L32" s="41" t="str">
        <f t="shared" si="3"/>
        <v/>
      </c>
      <c r="M32" s="41" t="str">
        <f t="shared" si="3"/>
        <v/>
      </c>
      <c r="N32" s="41" t="str">
        <f t="shared" si="3"/>
        <v/>
      </c>
      <c r="O32" s="41" t="str">
        <f t="shared" si="3"/>
        <v/>
      </c>
      <c r="P32" s="41" t="str">
        <f t="shared" si="4"/>
        <v/>
      </c>
      <c r="Q32" s="41" t="str">
        <f t="shared" si="4"/>
        <v/>
      </c>
      <c r="R32" s="41" t="str">
        <f t="shared" si="4"/>
        <v/>
      </c>
      <c r="S32" s="41" t="str">
        <f t="shared" si="4"/>
        <v/>
      </c>
      <c r="T32" s="41" t="str">
        <f t="shared" si="4"/>
        <v/>
      </c>
      <c r="U32" s="41" t="str">
        <f t="shared" si="4"/>
        <v/>
      </c>
      <c r="V32" s="41" t="str">
        <f t="shared" si="4"/>
        <v/>
      </c>
      <c r="W32" s="41" t="str">
        <f t="shared" si="4"/>
        <v/>
      </c>
      <c r="X32" s="41" t="str">
        <f t="shared" si="4"/>
        <v/>
      </c>
      <c r="Y32" s="41" t="str">
        <f t="shared" si="4"/>
        <v/>
      </c>
      <c r="Z32" s="41" t="str">
        <f t="shared" si="4"/>
        <v/>
      </c>
      <c r="AA32" s="41" t="str">
        <f t="shared" si="4"/>
        <v/>
      </c>
      <c r="AB32" s="41" t="str">
        <f t="shared" si="4"/>
        <v/>
      </c>
      <c r="AC32" s="48" t="str">
        <f t="shared" si="4"/>
        <v/>
      </c>
    </row>
    <row r="33" spans="1:29" x14ac:dyDescent="0.35">
      <c r="A33"/>
      <c r="B33" s="55"/>
      <c r="D33" s="56"/>
      <c r="F33" s="47" t="str">
        <f t="shared" si="3"/>
        <v/>
      </c>
      <c r="G33" s="41" t="str">
        <f t="shared" si="3"/>
        <v/>
      </c>
      <c r="H33" s="41" t="str">
        <f t="shared" si="3"/>
        <v/>
      </c>
      <c r="I33" s="41" t="str">
        <f t="shared" si="3"/>
        <v/>
      </c>
      <c r="J33" s="41" t="str">
        <f t="shared" si="3"/>
        <v/>
      </c>
      <c r="K33" s="41" t="str">
        <f t="shared" si="3"/>
        <v/>
      </c>
      <c r="L33" s="41" t="str">
        <f t="shared" si="3"/>
        <v/>
      </c>
      <c r="M33" s="41" t="str">
        <f t="shared" si="3"/>
        <v/>
      </c>
      <c r="N33" s="41" t="str">
        <f t="shared" si="3"/>
        <v/>
      </c>
      <c r="O33" s="41" t="str">
        <f t="shared" si="3"/>
        <v/>
      </c>
      <c r="P33" s="41" t="str">
        <f t="shared" si="4"/>
        <v/>
      </c>
      <c r="Q33" s="41" t="str">
        <f t="shared" si="4"/>
        <v/>
      </c>
      <c r="R33" s="41" t="str">
        <f t="shared" si="4"/>
        <v/>
      </c>
      <c r="S33" s="41" t="str">
        <f t="shared" si="4"/>
        <v/>
      </c>
      <c r="T33" s="41" t="str">
        <f t="shared" si="4"/>
        <v/>
      </c>
      <c r="U33" s="41" t="str">
        <f t="shared" si="4"/>
        <v/>
      </c>
      <c r="V33" s="41" t="str">
        <f t="shared" si="4"/>
        <v/>
      </c>
      <c r="W33" s="41" t="str">
        <f t="shared" si="4"/>
        <v/>
      </c>
      <c r="X33" s="41" t="str">
        <f t="shared" si="4"/>
        <v/>
      </c>
      <c r="Y33" s="41" t="str">
        <f t="shared" si="4"/>
        <v/>
      </c>
      <c r="Z33" s="41" t="str">
        <f t="shared" si="4"/>
        <v/>
      </c>
      <c r="AA33" s="41" t="str">
        <f t="shared" si="4"/>
        <v/>
      </c>
      <c r="AB33" s="41" t="str">
        <f t="shared" si="4"/>
        <v/>
      </c>
      <c r="AC33" s="48" t="str">
        <f t="shared" si="4"/>
        <v/>
      </c>
    </row>
    <row r="34" spans="1:29" x14ac:dyDescent="0.35">
      <c r="A34"/>
      <c r="B34" s="55"/>
      <c r="D34" s="56"/>
      <c r="F34" s="47" t="str">
        <f t="shared" si="3"/>
        <v/>
      </c>
      <c r="G34" s="41" t="str">
        <f t="shared" si="3"/>
        <v/>
      </c>
      <c r="H34" s="41" t="str">
        <f t="shared" si="3"/>
        <v/>
      </c>
      <c r="I34" s="41" t="str">
        <f t="shared" si="3"/>
        <v/>
      </c>
      <c r="J34" s="41" t="str">
        <f t="shared" si="3"/>
        <v/>
      </c>
      <c r="K34" s="41" t="str">
        <f t="shared" si="3"/>
        <v/>
      </c>
      <c r="L34" s="41" t="str">
        <f t="shared" si="3"/>
        <v/>
      </c>
      <c r="M34" s="41" t="str">
        <f t="shared" si="3"/>
        <v/>
      </c>
      <c r="N34" s="41" t="str">
        <f t="shared" si="3"/>
        <v/>
      </c>
      <c r="O34" s="41" t="str">
        <f t="shared" si="3"/>
        <v/>
      </c>
      <c r="P34" s="41" t="str">
        <f t="shared" si="4"/>
        <v/>
      </c>
      <c r="Q34" s="41" t="str">
        <f t="shared" si="4"/>
        <v/>
      </c>
      <c r="R34" s="41" t="str">
        <f t="shared" si="4"/>
        <v/>
      </c>
      <c r="S34" s="41" t="str">
        <f t="shared" si="4"/>
        <v/>
      </c>
      <c r="T34" s="41" t="str">
        <f t="shared" si="4"/>
        <v/>
      </c>
      <c r="U34" s="41" t="str">
        <f t="shared" si="4"/>
        <v/>
      </c>
      <c r="V34" s="41" t="str">
        <f t="shared" si="4"/>
        <v/>
      </c>
      <c r="W34" s="41" t="str">
        <f t="shared" si="4"/>
        <v/>
      </c>
      <c r="X34" s="41" t="str">
        <f t="shared" si="4"/>
        <v/>
      </c>
      <c r="Y34" s="41" t="str">
        <f t="shared" si="4"/>
        <v/>
      </c>
      <c r="Z34" s="41" t="str">
        <f t="shared" si="4"/>
        <v/>
      </c>
      <c r="AA34" s="41" t="str">
        <f t="shared" si="4"/>
        <v/>
      </c>
      <c r="AB34" s="41" t="str">
        <f t="shared" si="4"/>
        <v/>
      </c>
      <c r="AC34" s="48" t="str">
        <f t="shared" si="4"/>
        <v/>
      </c>
    </row>
    <row r="35" spans="1:29" x14ac:dyDescent="0.35">
      <c r="A35"/>
      <c r="B35" s="55"/>
      <c r="D35" s="56"/>
      <c r="F35" s="47" t="str">
        <f t="shared" si="3"/>
        <v/>
      </c>
      <c r="G35" s="41" t="str">
        <f t="shared" si="3"/>
        <v/>
      </c>
      <c r="H35" s="41" t="str">
        <f t="shared" si="3"/>
        <v/>
      </c>
      <c r="I35" s="41" t="str">
        <f t="shared" si="3"/>
        <v/>
      </c>
      <c r="J35" s="41" t="str">
        <f t="shared" si="3"/>
        <v/>
      </c>
      <c r="K35" s="41" t="str">
        <f t="shared" si="3"/>
        <v/>
      </c>
      <c r="L35" s="41" t="str">
        <f t="shared" si="3"/>
        <v/>
      </c>
      <c r="M35" s="41" t="str">
        <f t="shared" si="3"/>
        <v/>
      </c>
      <c r="N35" s="41" t="str">
        <f t="shared" si="3"/>
        <v/>
      </c>
      <c r="O35" s="41" t="str">
        <f t="shared" si="3"/>
        <v/>
      </c>
      <c r="P35" s="41" t="str">
        <f t="shared" si="4"/>
        <v/>
      </c>
      <c r="Q35" s="41" t="str">
        <f t="shared" si="4"/>
        <v/>
      </c>
      <c r="R35" s="41" t="str">
        <f t="shared" si="4"/>
        <v/>
      </c>
      <c r="S35" s="41" t="str">
        <f t="shared" si="4"/>
        <v/>
      </c>
      <c r="T35" s="41" t="str">
        <f t="shared" si="4"/>
        <v/>
      </c>
      <c r="U35" s="41" t="str">
        <f t="shared" si="4"/>
        <v/>
      </c>
      <c r="V35" s="41" t="str">
        <f t="shared" si="4"/>
        <v/>
      </c>
      <c r="W35" s="41" t="str">
        <f t="shared" si="4"/>
        <v/>
      </c>
      <c r="X35" s="41" t="str">
        <f t="shared" si="4"/>
        <v/>
      </c>
      <c r="Y35" s="41" t="str">
        <f t="shared" si="4"/>
        <v/>
      </c>
      <c r="Z35" s="41" t="str">
        <f t="shared" si="4"/>
        <v/>
      </c>
      <c r="AA35" s="41" t="str">
        <f t="shared" si="4"/>
        <v/>
      </c>
      <c r="AB35" s="41" t="str">
        <f t="shared" si="4"/>
        <v/>
      </c>
      <c r="AC35" s="48" t="str">
        <f t="shared" si="4"/>
        <v/>
      </c>
    </row>
    <row r="36" spans="1:29" x14ac:dyDescent="0.35">
      <c r="A36"/>
      <c r="B36" s="55"/>
      <c r="D36" s="56"/>
      <c r="F36" s="47" t="str">
        <f t="shared" si="3"/>
        <v/>
      </c>
      <c r="G36" s="41" t="str">
        <f t="shared" si="3"/>
        <v/>
      </c>
      <c r="H36" s="41" t="str">
        <f t="shared" si="3"/>
        <v/>
      </c>
      <c r="I36" s="41" t="str">
        <f t="shared" si="3"/>
        <v/>
      </c>
      <c r="J36" s="41" t="str">
        <f t="shared" si="3"/>
        <v/>
      </c>
      <c r="K36" s="41" t="str">
        <f t="shared" si="3"/>
        <v/>
      </c>
      <c r="L36" s="41" t="str">
        <f t="shared" si="3"/>
        <v/>
      </c>
      <c r="M36" s="41" t="str">
        <f t="shared" si="3"/>
        <v/>
      </c>
      <c r="N36" s="41" t="str">
        <f t="shared" si="3"/>
        <v/>
      </c>
      <c r="O36" s="41" t="str">
        <f t="shared" si="3"/>
        <v/>
      </c>
      <c r="P36" s="41" t="str">
        <f t="shared" si="4"/>
        <v/>
      </c>
      <c r="Q36" s="41" t="str">
        <f t="shared" si="4"/>
        <v/>
      </c>
      <c r="R36" s="41" t="str">
        <f t="shared" si="4"/>
        <v/>
      </c>
      <c r="S36" s="41" t="str">
        <f t="shared" si="4"/>
        <v/>
      </c>
      <c r="T36" s="41" t="str">
        <f t="shared" si="4"/>
        <v/>
      </c>
      <c r="U36" s="41" t="str">
        <f t="shared" si="4"/>
        <v/>
      </c>
      <c r="V36" s="41" t="str">
        <f t="shared" si="4"/>
        <v/>
      </c>
      <c r="W36" s="41" t="str">
        <f t="shared" si="4"/>
        <v/>
      </c>
      <c r="X36" s="41" t="str">
        <f t="shared" si="4"/>
        <v/>
      </c>
      <c r="Y36" s="41" t="str">
        <f t="shared" si="4"/>
        <v/>
      </c>
      <c r="Z36" s="41" t="str">
        <f t="shared" si="4"/>
        <v/>
      </c>
      <c r="AA36" s="41" t="str">
        <f t="shared" si="4"/>
        <v/>
      </c>
      <c r="AB36" s="41" t="str">
        <f t="shared" si="4"/>
        <v/>
      </c>
      <c r="AC36" s="48" t="str">
        <f t="shared" si="4"/>
        <v/>
      </c>
    </row>
    <row r="37" spans="1:29" x14ac:dyDescent="0.35">
      <c r="A37"/>
      <c r="B37" s="55"/>
      <c r="D37" s="56"/>
      <c r="F37" s="47" t="str">
        <f t="shared" si="3"/>
        <v/>
      </c>
      <c r="G37" s="41" t="str">
        <f t="shared" si="3"/>
        <v/>
      </c>
      <c r="H37" s="41" t="str">
        <f t="shared" si="3"/>
        <v/>
      </c>
      <c r="I37" s="41" t="str">
        <f t="shared" si="3"/>
        <v/>
      </c>
      <c r="J37" s="41" t="str">
        <f t="shared" si="3"/>
        <v/>
      </c>
      <c r="K37" s="41" t="str">
        <f t="shared" si="3"/>
        <v/>
      </c>
      <c r="L37" s="41" t="str">
        <f t="shared" si="3"/>
        <v/>
      </c>
      <c r="M37" s="41" t="str">
        <f t="shared" si="3"/>
        <v/>
      </c>
      <c r="N37" s="41" t="str">
        <f t="shared" si="3"/>
        <v/>
      </c>
      <c r="O37" s="41" t="str">
        <f t="shared" si="3"/>
        <v/>
      </c>
      <c r="P37" s="41" t="str">
        <f t="shared" si="4"/>
        <v/>
      </c>
      <c r="Q37" s="41" t="str">
        <f t="shared" si="4"/>
        <v/>
      </c>
      <c r="R37" s="41" t="str">
        <f t="shared" si="4"/>
        <v/>
      </c>
      <c r="S37" s="41" t="str">
        <f t="shared" si="4"/>
        <v/>
      </c>
      <c r="T37" s="41" t="str">
        <f t="shared" si="4"/>
        <v/>
      </c>
      <c r="U37" s="41" t="str">
        <f t="shared" si="4"/>
        <v/>
      </c>
      <c r="V37" s="41" t="str">
        <f t="shared" si="4"/>
        <v/>
      </c>
      <c r="W37" s="41" t="str">
        <f t="shared" si="4"/>
        <v/>
      </c>
      <c r="X37" s="41" t="str">
        <f t="shared" si="4"/>
        <v/>
      </c>
      <c r="Y37" s="41" t="str">
        <f t="shared" si="4"/>
        <v/>
      </c>
      <c r="Z37" s="41" t="str">
        <f t="shared" si="4"/>
        <v/>
      </c>
      <c r="AA37" s="41" t="str">
        <f t="shared" si="4"/>
        <v/>
      </c>
      <c r="AB37" s="41" t="str">
        <f t="shared" si="4"/>
        <v/>
      </c>
      <c r="AC37" s="48" t="str">
        <f t="shared" si="4"/>
        <v/>
      </c>
    </row>
    <row r="38" spans="1:29" x14ac:dyDescent="0.35">
      <c r="A38"/>
      <c r="B38" s="55"/>
      <c r="D38" s="56"/>
      <c r="F38" s="47" t="str">
        <f t="shared" si="3"/>
        <v/>
      </c>
      <c r="G38" s="41" t="str">
        <f t="shared" si="3"/>
        <v/>
      </c>
      <c r="H38" s="41" t="str">
        <f t="shared" si="3"/>
        <v/>
      </c>
      <c r="I38" s="41" t="str">
        <f t="shared" si="3"/>
        <v/>
      </c>
      <c r="J38" s="41" t="str">
        <f t="shared" si="3"/>
        <v/>
      </c>
      <c r="K38" s="41" t="str">
        <f t="shared" si="3"/>
        <v/>
      </c>
      <c r="L38" s="41" t="str">
        <f t="shared" si="3"/>
        <v/>
      </c>
      <c r="M38" s="41" t="str">
        <f t="shared" si="3"/>
        <v/>
      </c>
      <c r="N38" s="41" t="str">
        <f t="shared" si="3"/>
        <v/>
      </c>
      <c r="O38" s="41" t="str">
        <f t="shared" si="3"/>
        <v/>
      </c>
      <c r="P38" s="41" t="str">
        <f t="shared" si="4"/>
        <v/>
      </c>
      <c r="Q38" s="41" t="str">
        <f t="shared" si="4"/>
        <v/>
      </c>
      <c r="R38" s="41" t="str">
        <f t="shared" si="4"/>
        <v/>
      </c>
      <c r="S38" s="41" t="str">
        <f t="shared" si="4"/>
        <v/>
      </c>
      <c r="T38" s="41" t="str">
        <f t="shared" si="4"/>
        <v/>
      </c>
      <c r="U38" s="41" t="str">
        <f t="shared" si="4"/>
        <v/>
      </c>
      <c r="V38" s="41" t="str">
        <f t="shared" si="4"/>
        <v/>
      </c>
      <c r="W38" s="41" t="str">
        <f t="shared" si="4"/>
        <v/>
      </c>
      <c r="X38" s="41" t="str">
        <f t="shared" si="4"/>
        <v/>
      </c>
      <c r="Y38" s="41" t="str">
        <f t="shared" si="4"/>
        <v/>
      </c>
      <c r="Z38" s="41" t="str">
        <f t="shared" si="4"/>
        <v/>
      </c>
      <c r="AA38" s="41" t="str">
        <f t="shared" si="4"/>
        <v/>
      </c>
      <c r="AB38" s="41" t="str">
        <f t="shared" si="4"/>
        <v/>
      </c>
      <c r="AC38" s="48" t="str">
        <f t="shared" si="4"/>
        <v/>
      </c>
    </row>
    <row r="39" spans="1:29" x14ac:dyDescent="0.35">
      <c r="A39"/>
      <c r="B39" s="55"/>
      <c r="D39" s="56"/>
      <c r="F39" s="47" t="str">
        <f t="shared" si="3"/>
        <v/>
      </c>
      <c r="G39" s="41" t="str">
        <f t="shared" si="3"/>
        <v/>
      </c>
      <c r="H39" s="41" t="str">
        <f t="shared" si="3"/>
        <v/>
      </c>
      <c r="I39" s="41" t="str">
        <f t="shared" si="3"/>
        <v/>
      </c>
      <c r="J39" s="41" t="str">
        <f t="shared" si="3"/>
        <v/>
      </c>
      <c r="K39" s="41" t="str">
        <f t="shared" si="3"/>
        <v/>
      </c>
      <c r="L39" s="41" t="str">
        <f t="shared" si="3"/>
        <v/>
      </c>
      <c r="M39" s="41" t="str">
        <f t="shared" si="3"/>
        <v/>
      </c>
      <c r="N39" s="41" t="str">
        <f t="shared" si="3"/>
        <v/>
      </c>
      <c r="O39" s="41" t="str">
        <f t="shared" si="3"/>
        <v/>
      </c>
      <c r="P39" s="41" t="str">
        <f t="shared" si="4"/>
        <v/>
      </c>
      <c r="Q39" s="41" t="str">
        <f t="shared" si="4"/>
        <v/>
      </c>
      <c r="R39" s="41" t="str">
        <f t="shared" si="4"/>
        <v/>
      </c>
      <c r="S39" s="41" t="str">
        <f t="shared" si="4"/>
        <v/>
      </c>
      <c r="T39" s="41" t="str">
        <f t="shared" si="4"/>
        <v/>
      </c>
      <c r="U39" s="41" t="str">
        <f t="shared" si="4"/>
        <v/>
      </c>
      <c r="V39" s="41" t="str">
        <f t="shared" si="4"/>
        <v/>
      </c>
      <c r="W39" s="41" t="str">
        <f t="shared" si="4"/>
        <v/>
      </c>
      <c r="X39" s="41" t="str">
        <f t="shared" si="4"/>
        <v/>
      </c>
      <c r="Y39" s="41" t="str">
        <f t="shared" si="4"/>
        <v/>
      </c>
      <c r="Z39" s="41" t="str">
        <f t="shared" si="4"/>
        <v/>
      </c>
      <c r="AA39" s="41" t="str">
        <f t="shared" si="4"/>
        <v/>
      </c>
      <c r="AB39" s="41" t="str">
        <f t="shared" si="4"/>
        <v/>
      </c>
      <c r="AC39" s="48" t="str">
        <f t="shared" si="4"/>
        <v/>
      </c>
    </row>
    <row r="40" spans="1:29" x14ac:dyDescent="0.35">
      <c r="A40"/>
      <c r="B40" s="55"/>
      <c r="D40" s="56"/>
      <c r="F40" s="47" t="str">
        <f t="shared" si="3"/>
        <v/>
      </c>
      <c r="G40" s="41" t="str">
        <f t="shared" si="3"/>
        <v/>
      </c>
      <c r="H40" s="41" t="str">
        <f t="shared" si="3"/>
        <v/>
      </c>
      <c r="I40" s="41" t="str">
        <f t="shared" si="3"/>
        <v/>
      </c>
      <c r="J40" s="41" t="str">
        <f t="shared" si="3"/>
        <v/>
      </c>
      <c r="K40" s="41" t="str">
        <f t="shared" si="3"/>
        <v/>
      </c>
      <c r="L40" s="41" t="str">
        <f t="shared" si="3"/>
        <v/>
      </c>
      <c r="M40" s="41" t="str">
        <f t="shared" si="3"/>
        <v/>
      </c>
      <c r="N40" s="41" t="str">
        <f t="shared" si="3"/>
        <v/>
      </c>
      <c r="O40" s="41" t="str">
        <f t="shared" si="3"/>
        <v/>
      </c>
      <c r="P40" s="41" t="str">
        <f t="shared" si="4"/>
        <v/>
      </c>
      <c r="Q40" s="41" t="str">
        <f t="shared" si="4"/>
        <v/>
      </c>
      <c r="R40" s="41" t="str">
        <f t="shared" si="4"/>
        <v/>
      </c>
      <c r="S40" s="41" t="str">
        <f t="shared" si="4"/>
        <v/>
      </c>
      <c r="T40" s="41" t="str">
        <f t="shared" si="4"/>
        <v/>
      </c>
      <c r="U40" s="41" t="str">
        <f t="shared" si="4"/>
        <v/>
      </c>
      <c r="V40" s="41" t="str">
        <f t="shared" si="4"/>
        <v/>
      </c>
      <c r="W40" s="41" t="str">
        <f t="shared" si="4"/>
        <v/>
      </c>
      <c r="X40" s="41" t="str">
        <f t="shared" si="4"/>
        <v/>
      </c>
      <c r="Y40" s="41" t="str">
        <f t="shared" si="4"/>
        <v/>
      </c>
      <c r="Z40" s="41" t="str">
        <f t="shared" si="4"/>
        <v/>
      </c>
      <c r="AA40" s="41" t="str">
        <f t="shared" si="4"/>
        <v/>
      </c>
      <c r="AB40" s="41" t="str">
        <f t="shared" si="4"/>
        <v/>
      </c>
      <c r="AC40" s="48" t="str">
        <f t="shared" si="4"/>
        <v/>
      </c>
    </row>
    <row r="41" spans="1:29" x14ac:dyDescent="0.35">
      <c r="A41"/>
      <c r="B41" s="55"/>
      <c r="D41" s="56"/>
      <c r="F41" s="47" t="str">
        <f t="shared" si="3"/>
        <v/>
      </c>
      <c r="G41" s="41" t="str">
        <f t="shared" si="3"/>
        <v/>
      </c>
      <c r="H41" s="41" t="str">
        <f t="shared" si="3"/>
        <v/>
      </c>
      <c r="I41" s="41" t="str">
        <f t="shared" si="3"/>
        <v/>
      </c>
      <c r="J41" s="41" t="str">
        <f t="shared" si="3"/>
        <v/>
      </c>
      <c r="K41" s="41" t="str">
        <f t="shared" si="3"/>
        <v/>
      </c>
      <c r="L41" s="41" t="str">
        <f t="shared" si="3"/>
        <v/>
      </c>
      <c r="M41" s="41" t="str">
        <f t="shared" si="3"/>
        <v/>
      </c>
      <c r="N41" s="41" t="str">
        <f t="shared" si="3"/>
        <v/>
      </c>
      <c r="O41" s="41" t="str">
        <f t="shared" si="3"/>
        <v/>
      </c>
      <c r="P41" s="41" t="str">
        <f t="shared" si="4"/>
        <v/>
      </c>
      <c r="Q41" s="41" t="str">
        <f t="shared" si="4"/>
        <v/>
      </c>
      <c r="R41" s="41" t="str">
        <f t="shared" si="4"/>
        <v/>
      </c>
      <c r="S41" s="41" t="str">
        <f t="shared" si="4"/>
        <v/>
      </c>
      <c r="T41" s="41" t="str">
        <f t="shared" si="4"/>
        <v/>
      </c>
      <c r="U41" s="41" t="str">
        <f t="shared" si="4"/>
        <v/>
      </c>
      <c r="V41" s="41" t="str">
        <f t="shared" si="4"/>
        <v/>
      </c>
      <c r="W41" s="41" t="str">
        <f t="shared" si="4"/>
        <v/>
      </c>
      <c r="X41" s="41" t="str">
        <f t="shared" si="4"/>
        <v/>
      </c>
      <c r="Y41" s="41" t="str">
        <f t="shared" ref="P41:AC59" si="5">IF(AND(Y$6&gt;=$C41, Y$6&lt;=$D41),"1","")</f>
        <v/>
      </c>
      <c r="Z41" s="41" t="str">
        <f t="shared" si="5"/>
        <v/>
      </c>
      <c r="AA41" s="41" t="str">
        <f t="shared" si="5"/>
        <v/>
      </c>
      <c r="AB41" s="41" t="str">
        <f t="shared" si="5"/>
        <v/>
      </c>
      <c r="AC41" s="48" t="str">
        <f t="shared" si="5"/>
        <v/>
      </c>
    </row>
    <row r="42" spans="1:29" x14ac:dyDescent="0.35">
      <c r="A42"/>
      <c r="B42" s="55"/>
      <c r="D42" s="56"/>
      <c r="F42" s="47" t="str">
        <f t="shared" si="3"/>
        <v/>
      </c>
      <c r="G42" s="41" t="str">
        <f t="shared" si="3"/>
        <v/>
      </c>
      <c r="H42" s="41" t="str">
        <f t="shared" si="3"/>
        <v/>
      </c>
      <c r="I42" s="41" t="str">
        <f t="shared" si="3"/>
        <v/>
      </c>
      <c r="J42" s="41" t="str">
        <f t="shared" si="3"/>
        <v/>
      </c>
      <c r="K42" s="41" t="str">
        <f t="shared" si="3"/>
        <v/>
      </c>
      <c r="L42" s="41" t="str">
        <f t="shared" si="3"/>
        <v/>
      </c>
      <c r="M42" s="41" t="str">
        <f t="shared" si="3"/>
        <v/>
      </c>
      <c r="N42" s="41" t="str">
        <f t="shared" si="3"/>
        <v/>
      </c>
      <c r="O42" s="41" t="str">
        <f t="shared" si="3"/>
        <v/>
      </c>
      <c r="P42" s="41" t="str">
        <f t="shared" si="5"/>
        <v/>
      </c>
      <c r="Q42" s="41" t="str">
        <f t="shared" si="5"/>
        <v/>
      </c>
      <c r="R42" s="41" t="str">
        <f t="shared" si="5"/>
        <v/>
      </c>
      <c r="S42" s="41" t="str">
        <f t="shared" si="5"/>
        <v/>
      </c>
      <c r="T42" s="41" t="str">
        <f t="shared" si="5"/>
        <v/>
      </c>
      <c r="U42" s="41" t="str">
        <f t="shared" si="5"/>
        <v/>
      </c>
      <c r="V42" s="41" t="str">
        <f t="shared" si="5"/>
        <v/>
      </c>
      <c r="W42" s="41" t="str">
        <f t="shared" si="5"/>
        <v/>
      </c>
      <c r="X42" s="41" t="str">
        <f t="shared" si="5"/>
        <v/>
      </c>
      <c r="Y42" s="41" t="str">
        <f t="shared" si="5"/>
        <v/>
      </c>
      <c r="Z42" s="41" t="str">
        <f t="shared" si="5"/>
        <v/>
      </c>
      <c r="AA42" s="41" t="str">
        <f t="shared" si="5"/>
        <v/>
      </c>
      <c r="AB42" s="41" t="str">
        <f t="shared" si="5"/>
        <v/>
      </c>
      <c r="AC42" s="48" t="str">
        <f t="shared" si="5"/>
        <v/>
      </c>
    </row>
    <row r="43" spans="1:29" x14ac:dyDescent="0.35">
      <c r="A43"/>
      <c r="B43" s="55"/>
      <c r="D43" s="56"/>
      <c r="F43" s="47" t="str">
        <f t="shared" si="3"/>
        <v/>
      </c>
      <c r="G43" s="41" t="str">
        <f t="shared" si="3"/>
        <v/>
      </c>
      <c r="H43" s="41" t="str">
        <f t="shared" si="3"/>
        <v/>
      </c>
      <c r="I43" s="41" t="str">
        <f t="shared" si="3"/>
        <v/>
      </c>
      <c r="J43" s="41" t="str">
        <f t="shared" si="3"/>
        <v/>
      </c>
      <c r="K43" s="41" t="str">
        <f t="shared" si="3"/>
        <v/>
      </c>
      <c r="L43" s="41" t="str">
        <f t="shared" si="3"/>
        <v/>
      </c>
      <c r="M43" s="41" t="str">
        <f t="shared" si="3"/>
        <v/>
      </c>
      <c r="N43" s="41" t="str">
        <f t="shared" si="3"/>
        <v/>
      </c>
      <c r="O43" s="41" t="str">
        <f t="shared" si="3"/>
        <v/>
      </c>
      <c r="P43" s="41" t="str">
        <f t="shared" si="5"/>
        <v/>
      </c>
      <c r="Q43" s="41" t="str">
        <f t="shared" si="5"/>
        <v/>
      </c>
      <c r="R43" s="41" t="str">
        <f t="shared" si="5"/>
        <v/>
      </c>
      <c r="S43" s="41" t="str">
        <f t="shared" si="5"/>
        <v/>
      </c>
      <c r="T43" s="41" t="str">
        <f t="shared" si="5"/>
        <v/>
      </c>
      <c r="U43" s="41" t="str">
        <f t="shared" si="5"/>
        <v/>
      </c>
      <c r="V43" s="41" t="str">
        <f t="shared" si="5"/>
        <v/>
      </c>
      <c r="W43" s="41" t="str">
        <f t="shared" si="5"/>
        <v/>
      </c>
      <c r="X43" s="41" t="str">
        <f t="shared" si="5"/>
        <v/>
      </c>
      <c r="Y43" s="41" t="str">
        <f t="shared" si="5"/>
        <v/>
      </c>
      <c r="Z43" s="41" t="str">
        <f t="shared" si="5"/>
        <v/>
      </c>
      <c r="AA43" s="41" t="str">
        <f t="shared" si="5"/>
        <v/>
      </c>
      <c r="AB43" s="41" t="str">
        <f t="shared" si="5"/>
        <v/>
      </c>
      <c r="AC43" s="48" t="str">
        <f t="shared" si="5"/>
        <v/>
      </c>
    </row>
    <row r="44" spans="1:29" x14ac:dyDescent="0.35">
      <c r="A44"/>
      <c r="B44" s="55"/>
      <c r="D44" s="56"/>
      <c r="F44" s="47" t="str">
        <f t="shared" si="3"/>
        <v/>
      </c>
      <c r="G44" s="41" t="str">
        <f t="shared" si="3"/>
        <v/>
      </c>
      <c r="H44" s="41" t="str">
        <f t="shared" si="3"/>
        <v/>
      </c>
      <c r="I44" s="41" t="str">
        <f t="shared" si="3"/>
        <v/>
      </c>
      <c r="J44" s="41" t="str">
        <f t="shared" si="3"/>
        <v/>
      </c>
      <c r="K44" s="41" t="str">
        <f t="shared" si="3"/>
        <v/>
      </c>
      <c r="L44" s="41" t="str">
        <f t="shared" si="3"/>
        <v/>
      </c>
      <c r="M44" s="41" t="str">
        <f t="shared" si="3"/>
        <v/>
      </c>
      <c r="N44" s="41" t="str">
        <f t="shared" si="3"/>
        <v/>
      </c>
      <c r="O44" s="41" t="str">
        <f t="shared" si="3"/>
        <v/>
      </c>
      <c r="P44" s="41" t="str">
        <f t="shared" si="5"/>
        <v/>
      </c>
      <c r="Q44" s="41" t="str">
        <f t="shared" si="5"/>
        <v/>
      </c>
      <c r="R44" s="41" t="str">
        <f t="shared" si="5"/>
        <v/>
      </c>
      <c r="S44" s="41" t="str">
        <f t="shared" si="5"/>
        <v/>
      </c>
      <c r="T44" s="41" t="str">
        <f t="shared" si="5"/>
        <v/>
      </c>
      <c r="U44" s="41" t="str">
        <f t="shared" si="5"/>
        <v/>
      </c>
      <c r="V44" s="41" t="str">
        <f t="shared" si="5"/>
        <v/>
      </c>
      <c r="W44" s="41" t="str">
        <f t="shared" si="5"/>
        <v/>
      </c>
      <c r="X44" s="41" t="str">
        <f t="shared" si="5"/>
        <v/>
      </c>
      <c r="Y44" s="41" t="str">
        <f t="shared" si="5"/>
        <v/>
      </c>
      <c r="Z44" s="41" t="str">
        <f t="shared" si="5"/>
        <v/>
      </c>
      <c r="AA44" s="41" t="str">
        <f t="shared" si="5"/>
        <v/>
      </c>
      <c r="AB44" s="41" t="str">
        <f t="shared" si="5"/>
        <v/>
      </c>
      <c r="AC44" s="48" t="str">
        <f t="shared" si="5"/>
        <v/>
      </c>
    </row>
    <row r="45" spans="1:29" x14ac:dyDescent="0.35">
      <c r="A45"/>
      <c r="B45" s="55"/>
      <c r="D45" s="56"/>
      <c r="F45" s="47" t="str">
        <f t="shared" si="3"/>
        <v/>
      </c>
      <c r="G45" s="41" t="str">
        <f t="shared" si="3"/>
        <v/>
      </c>
      <c r="H45" s="41" t="str">
        <f t="shared" si="3"/>
        <v/>
      </c>
      <c r="I45" s="41" t="str">
        <f t="shared" si="3"/>
        <v/>
      </c>
      <c r="J45" s="41" t="str">
        <f t="shared" si="3"/>
        <v/>
      </c>
      <c r="K45" s="41" t="str">
        <f t="shared" si="3"/>
        <v/>
      </c>
      <c r="L45" s="41" t="str">
        <f t="shared" si="3"/>
        <v/>
      </c>
      <c r="M45" s="41" t="str">
        <f t="shared" si="3"/>
        <v/>
      </c>
      <c r="N45" s="41" t="str">
        <f t="shared" si="3"/>
        <v/>
      </c>
      <c r="O45" s="41" t="str">
        <f t="shared" si="3"/>
        <v/>
      </c>
      <c r="P45" s="41" t="str">
        <f t="shared" si="5"/>
        <v/>
      </c>
      <c r="Q45" s="41" t="str">
        <f t="shared" si="5"/>
        <v/>
      </c>
      <c r="R45" s="41" t="str">
        <f t="shared" si="5"/>
        <v/>
      </c>
      <c r="S45" s="41" t="str">
        <f t="shared" si="5"/>
        <v/>
      </c>
      <c r="T45" s="41" t="str">
        <f t="shared" si="5"/>
        <v/>
      </c>
      <c r="U45" s="41" t="str">
        <f t="shared" si="5"/>
        <v/>
      </c>
      <c r="V45" s="41" t="str">
        <f t="shared" si="5"/>
        <v/>
      </c>
      <c r="W45" s="41" t="str">
        <f t="shared" si="5"/>
        <v/>
      </c>
      <c r="X45" s="41" t="str">
        <f t="shared" si="5"/>
        <v/>
      </c>
      <c r="Y45" s="41" t="str">
        <f t="shared" si="5"/>
        <v/>
      </c>
      <c r="Z45" s="41" t="str">
        <f t="shared" si="5"/>
        <v/>
      </c>
      <c r="AA45" s="41" t="str">
        <f t="shared" si="5"/>
        <v/>
      </c>
      <c r="AB45" s="41" t="str">
        <f t="shared" si="5"/>
        <v/>
      </c>
      <c r="AC45" s="48" t="str">
        <f t="shared" si="5"/>
        <v/>
      </c>
    </row>
    <row r="46" spans="1:29" x14ac:dyDescent="0.35">
      <c r="A46"/>
      <c r="B46" s="55"/>
      <c r="D46" s="56"/>
      <c r="F46" s="47" t="str">
        <f t="shared" si="3"/>
        <v/>
      </c>
      <c r="G46" s="41" t="str">
        <f t="shared" si="3"/>
        <v/>
      </c>
      <c r="H46" s="41" t="str">
        <f t="shared" si="3"/>
        <v/>
      </c>
      <c r="I46" s="41" t="str">
        <f t="shared" si="3"/>
        <v/>
      </c>
      <c r="J46" s="41" t="str">
        <f t="shared" si="3"/>
        <v/>
      </c>
      <c r="K46" s="41" t="str">
        <f t="shared" si="3"/>
        <v/>
      </c>
      <c r="L46" s="41" t="str">
        <f t="shared" si="3"/>
        <v/>
      </c>
      <c r="M46" s="41" t="str">
        <f t="shared" si="3"/>
        <v/>
      </c>
      <c r="N46" s="41" t="str">
        <f t="shared" si="3"/>
        <v/>
      </c>
      <c r="O46" s="41" t="str">
        <f t="shared" si="3"/>
        <v/>
      </c>
      <c r="P46" s="41" t="str">
        <f t="shared" si="5"/>
        <v/>
      </c>
      <c r="Q46" s="41" t="str">
        <f t="shared" si="5"/>
        <v/>
      </c>
      <c r="R46" s="41" t="str">
        <f t="shared" si="5"/>
        <v/>
      </c>
      <c r="S46" s="41" t="str">
        <f t="shared" si="5"/>
        <v/>
      </c>
      <c r="T46" s="41" t="str">
        <f t="shared" si="5"/>
        <v/>
      </c>
      <c r="U46" s="41" t="str">
        <f t="shared" si="5"/>
        <v/>
      </c>
      <c r="V46" s="41" t="str">
        <f t="shared" si="5"/>
        <v/>
      </c>
      <c r="W46" s="41" t="str">
        <f t="shared" si="5"/>
        <v/>
      </c>
      <c r="X46" s="41" t="str">
        <f t="shared" si="5"/>
        <v/>
      </c>
      <c r="Y46" s="41" t="str">
        <f t="shared" si="5"/>
        <v/>
      </c>
      <c r="Z46" s="41" t="str">
        <f t="shared" si="5"/>
        <v/>
      </c>
      <c r="AA46" s="41" t="str">
        <f t="shared" si="5"/>
        <v/>
      </c>
      <c r="AB46" s="41" t="str">
        <f t="shared" si="5"/>
        <v/>
      </c>
      <c r="AC46" s="48" t="str">
        <f t="shared" si="5"/>
        <v/>
      </c>
    </row>
    <row r="47" spans="1:29" x14ac:dyDescent="0.35">
      <c r="A47"/>
      <c r="B47" s="55"/>
      <c r="D47" s="56"/>
      <c r="F47" s="47" t="str">
        <f t="shared" si="3"/>
        <v/>
      </c>
      <c r="G47" s="41" t="str">
        <f t="shared" si="3"/>
        <v/>
      </c>
      <c r="H47" s="41" t="str">
        <f t="shared" si="3"/>
        <v/>
      </c>
      <c r="I47" s="41" t="str">
        <f t="shared" si="3"/>
        <v/>
      </c>
      <c r="J47" s="41" t="str">
        <f t="shared" si="3"/>
        <v/>
      </c>
      <c r="K47" s="41" t="str">
        <f t="shared" si="3"/>
        <v/>
      </c>
      <c r="L47" s="41" t="str">
        <f t="shared" si="3"/>
        <v/>
      </c>
      <c r="M47" s="41" t="str">
        <f t="shared" si="3"/>
        <v/>
      </c>
      <c r="N47" s="41" t="str">
        <f t="shared" si="3"/>
        <v/>
      </c>
      <c r="O47" s="41" t="str">
        <f t="shared" ref="F47:O73" si="6">IF(AND(O$6&gt;=$C47, O$6&lt;=$D47),"1","")</f>
        <v/>
      </c>
      <c r="P47" s="41" t="str">
        <f t="shared" si="5"/>
        <v/>
      </c>
      <c r="Q47" s="41" t="str">
        <f t="shared" si="5"/>
        <v/>
      </c>
      <c r="R47" s="41" t="str">
        <f t="shared" si="5"/>
        <v/>
      </c>
      <c r="S47" s="41" t="str">
        <f t="shared" si="5"/>
        <v/>
      </c>
      <c r="T47" s="41" t="str">
        <f t="shared" si="5"/>
        <v/>
      </c>
      <c r="U47" s="41" t="str">
        <f t="shared" si="5"/>
        <v/>
      </c>
      <c r="V47" s="41" t="str">
        <f t="shared" si="5"/>
        <v/>
      </c>
      <c r="W47" s="41" t="str">
        <f t="shared" si="5"/>
        <v/>
      </c>
      <c r="X47" s="41" t="str">
        <f t="shared" si="5"/>
        <v/>
      </c>
      <c r="Y47" s="41" t="str">
        <f t="shared" si="5"/>
        <v/>
      </c>
      <c r="Z47" s="41" t="str">
        <f t="shared" si="5"/>
        <v/>
      </c>
      <c r="AA47" s="41" t="str">
        <f t="shared" si="5"/>
        <v/>
      </c>
      <c r="AB47" s="41" t="str">
        <f t="shared" si="5"/>
        <v/>
      </c>
      <c r="AC47" s="48" t="str">
        <f t="shared" si="5"/>
        <v/>
      </c>
    </row>
    <row r="48" spans="1:29" x14ac:dyDescent="0.35">
      <c r="A48"/>
      <c r="B48" s="55"/>
      <c r="D48" s="56"/>
      <c r="F48" s="47" t="str">
        <f t="shared" si="6"/>
        <v/>
      </c>
      <c r="G48" s="41" t="str">
        <f t="shared" si="6"/>
        <v/>
      </c>
      <c r="H48" s="41" t="str">
        <f t="shared" si="6"/>
        <v/>
      </c>
      <c r="I48" s="41" t="str">
        <f t="shared" si="6"/>
        <v/>
      </c>
      <c r="J48" s="41" t="str">
        <f t="shared" si="6"/>
        <v/>
      </c>
      <c r="K48" s="41" t="str">
        <f t="shared" si="6"/>
        <v/>
      </c>
      <c r="L48" s="41" t="str">
        <f t="shared" si="6"/>
        <v/>
      </c>
      <c r="M48" s="41" t="str">
        <f t="shared" si="6"/>
        <v/>
      </c>
      <c r="N48" s="41" t="str">
        <f t="shared" si="6"/>
        <v/>
      </c>
      <c r="O48" s="41" t="str">
        <f t="shared" si="6"/>
        <v/>
      </c>
      <c r="P48" s="41" t="str">
        <f t="shared" si="5"/>
        <v/>
      </c>
      <c r="Q48" s="41" t="str">
        <f t="shared" si="5"/>
        <v/>
      </c>
      <c r="R48" s="41" t="str">
        <f t="shared" si="5"/>
        <v/>
      </c>
      <c r="S48" s="41" t="str">
        <f t="shared" si="5"/>
        <v/>
      </c>
      <c r="T48" s="41" t="str">
        <f t="shared" si="5"/>
        <v/>
      </c>
      <c r="U48" s="41" t="str">
        <f t="shared" si="5"/>
        <v/>
      </c>
      <c r="V48" s="41" t="str">
        <f t="shared" si="5"/>
        <v/>
      </c>
      <c r="W48" s="41" t="str">
        <f t="shared" si="5"/>
        <v/>
      </c>
      <c r="X48" s="41" t="str">
        <f t="shared" si="5"/>
        <v/>
      </c>
      <c r="Y48" s="41" t="str">
        <f t="shared" si="5"/>
        <v/>
      </c>
      <c r="Z48" s="41" t="str">
        <f t="shared" si="5"/>
        <v/>
      </c>
      <c r="AA48" s="41" t="str">
        <f t="shared" si="5"/>
        <v/>
      </c>
      <c r="AB48" s="41" t="str">
        <f t="shared" si="5"/>
        <v/>
      </c>
      <c r="AC48" s="48" t="str">
        <f t="shared" si="5"/>
        <v/>
      </c>
    </row>
    <row r="49" spans="1:29" x14ac:dyDescent="0.35">
      <c r="A49"/>
      <c r="B49" s="55"/>
      <c r="D49" s="56"/>
      <c r="F49" s="47" t="str">
        <f t="shared" si="6"/>
        <v/>
      </c>
      <c r="G49" s="41" t="str">
        <f t="shared" si="6"/>
        <v/>
      </c>
      <c r="H49" s="41" t="str">
        <f t="shared" si="6"/>
        <v/>
      </c>
      <c r="I49" s="41" t="str">
        <f t="shared" si="6"/>
        <v/>
      </c>
      <c r="J49" s="41" t="str">
        <f t="shared" si="6"/>
        <v/>
      </c>
      <c r="K49" s="41" t="str">
        <f t="shared" si="6"/>
        <v/>
      </c>
      <c r="L49" s="41" t="str">
        <f t="shared" si="6"/>
        <v/>
      </c>
      <c r="M49" s="41" t="str">
        <f t="shared" si="6"/>
        <v/>
      </c>
      <c r="N49" s="41" t="str">
        <f t="shared" si="6"/>
        <v/>
      </c>
      <c r="O49" s="41" t="str">
        <f t="shared" si="6"/>
        <v/>
      </c>
      <c r="P49" s="41" t="str">
        <f t="shared" si="5"/>
        <v/>
      </c>
      <c r="Q49" s="41" t="str">
        <f t="shared" si="5"/>
        <v/>
      </c>
      <c r="R49" s="41" t="str">
        <f t="shared" si="5"/>
        <v/>
      </c>
      <c r="S49" s="41" t="str">
        <f t="shared" si="5"/>
        <v/>
      </c>
      <c r="T49" s="41" t="str">
        <f t="shared" si="5"/>
        <v/>
      </c>
      <c r="U49" s="41" t="str">
        <f t="shared" si="5"/>
        <v/>
      </c>
      <c r="V49" s="41" t="str">
        <f t="shared" si="5"/>
        <v/>
      </c>
      <c r="W49" s="41" t="str">
        <f t="shared" si="5"/>
        <v/>
      </c>
      <c r="X49" s="41" t="str">
        <f t="shared" si="5"/>
        <v/>
      </c>
      <c r="Y49" s="41" t="str">
        <f t="shared" si="5"/>
        <v/>
      </c>
      <c r="Z49" s="41" t="str">
        <f t="shared" si="5"/>
        <v/>
      </c>
      <c r="AA49" s="41" t="str">
        <f t="shared" si="5"/>
        <v/>
      </c>
      <c r="AB49" s="41" t="str">
        <f t="shared" si="5"/>
        <v/>
      </c>
      <c r="AC49" s="48" t="str">
        <f t="shared" si="5"/>
        <v/>
      </c>
    </row>
    <row r="50" spans="1:29" x14ac:dyDescent="0.35">
      <c r="A50"/>
      <c r="B50" s="55"/>
      <c r="D50" s="56"/>
      <c r="F50" s="47" t="str">
        <f t="shared" si="6"/>
        <v/>
      </c>
      <c r="G50" s="41" t="str">
        <f t="shared" si="6"/>
        <v/>
      </c>
      <c r="H50" s="41" t="str">
        <f t="shared" si="6"/>
        <v/>
      </c>
      <c r="I50" s="41" t="str">
        <f t="shared" si="6"/>
        <v/>
      </c>
      <c r="J50" s="41" t="str">
        <f t="shared" si="6"/>
        <v/>
      </c>
      <c r="K50" s="41" t="str">
        <f t="shared" si="6"/>
        <v/>
      </c>
      <c r="L50" s="41" t="str">
        <f t="shared" si="6"/>
        <v/>
      </c>
      <c r="M50" s="41" t="str">
        <f t="shared" si="6"/>
        <v/>
      </c>
      <c r="N50" s="41" t="str">
        <f t="shared" si="6"/>
        <v/>
      </c>
      <c r="O50" s="41" t="str">
        <f t="shared" si="6"/>
        <v/>
      </c>
      <c r="P50" s="41" t="str">
        <f t="shared" si="5"/>
        <v/>
      </c>
      <c r="Q50" s="41" t="str">
        <f t="shared" si="5"/>
        <v/>
      </c>
      <c r="R50" s="41" t="str">
        <f t="shared" si="5"/>
        <v/>
      </c>
      <c r="S50" s="41" t="str">
        <f t="shared" si="5"/>
        <v/>
      </c>
      <c r="T50" s="41" t="str">
        <f t="shared" si="5"/>
        <v/>
      </c>
      <c r="U50" s="41" t="str">
        <f t="shared" si="5"/>
        <v/>
      </c>
      <c r="V50" s="41" t="str">
        <f t="shared" si="5"/>
        <v/>
      </c>
      <c r="W50" s="41" t="str">
        <f t="shared" si="5"/>
        <v/>
      </c>
      <c r="X50" s="41" t="str">
        <f t="shared" si="5"/>
        <v/>
      </c>
      <c r="Y50" s="41" t="str">
        <f t="shared" si="5"/>
        <v/>
      </c>
      <c r="Z50" s="41" t="str">
        <f t="shared" si="5"/>
        <v/>
      </c>
      <c r="AA50" s="41" t="str">
        <f t="shared" si="5"/>
        <v/>
      </c>
      <c r="AB50" s="41" t="str">
        <f t="shared" si="5"/>
        <v/>
      </c>
      <c r="AC50" s="48" t="str">
        <f t="shared" si="5"/>
        <v/>
      </c>
    </row>
    <row r="51" spans="1:29" x14ac:dyDescent="0.35">
      <c r="A51"/>
      <c r="B51" s="55"/>
      <c r="D51" s="56"/>
      <c r="F51" s="47" t="str">
        <f t="shared" si="6"/>
        <v/>
      </c>
      <c r="G51" s="41" t="str">
        <f t="shared" si="6"/>
        <v/>
      </c>
      <c r="H51" s="41" t="str">
        <f t="shared" si="6"/>
        <v/>
      </c>
      <c r="I51" s="41" t="str">
        <f t="shared" si="6"/>
        <v/>
      </c>
      <c r="J51" s="41" t="str">
        <f t="shared" si="6"/>
        <v/>
      </c>
      <c r="K51" s="41" t="str">
        <f t="shared" si="6"/>
        <v/>
      </c>
      <c r="L51" s="41" t="str">
        <f t="shared" si="6"/>
        <v/>
      </c>
      <c r="M51" s="41" t="str">
        <f t="shared" si="6"/>
        <v/>
      </c>
      <c r="N51" s="41" t="str">
        <f t="shared" si="6"/>
        <v/>
      </c>
      <c r="O51" s="41" t="str">
        <f t="shared" si="6"/>
        <v/>
      </c>
      <c r="P51" s="41" t="str">
        <f t="shared" si="5"/>
        <v/>
      </c>
      <c r="Q51" s="41" t="str">
        <f t="shared" si="5"/>
        <v/>
      </c>
      <c r="R51" s="41" t="str">
        <f t="shared" si="5"/>
        <v/>
      </c>
      <c r="S51" s="41" t="str">
        <f t="shared" si="5"/>
        <v/>
      </c>
      <c r="T51" s="41" t="str">
        <f t="shared" si="5"/>
        <v/>
      </c>
      <c r="U51" s="41" t="str">
        <f t="shared" si="5"/>
        <v/>
      </c>
      <c r="V51" s="41" t="str">
        <f t="shared" si="5"/>
        <v/>
      </c>
      <c r="W51" s="41" t="str">
        <f t="shared" si="5"/>
        <v/>
      </c>
      <c r="X51" s="41" t="str">
        <f t="shared" si="5"/>
        <v/>
      </c>
      <c r="Y51" s="41" t="str">
        <f t="shared" si="5"/>
        <v/>
      </c>
      <c r="Z51" s="41" t="str">
        <f t="shared" si="5"/>
        <v/>
      </c>
      <c r="AA51" s="41" t="str">
        <f t="shared" si="5"/>
        <v/>
      </c>
      <c r="AB51" s="41" t="str">
        <f t="shared" si="5"/>
        <v/>
      </c>
      <c r="AC51" s="48" t="str">
        <f t="shared" si="5"/>
        <v/>
      </c>
    </row>
    <row r="52" spans="1:29" x14ac:dyDescent="0.35">
      <c r="A52"/>
      <c r="B52" s="55"/>
      <c r="D52" s="56"/>
      <c r="F52" s="47" t="str">
        <f t="shared" si="6"/>
        <v/>
      </c>
      <c r="G52" s="41" t="str">
        <f t="shared" si="6"/>
        <v/>
      </c>
      <c r="H52" s="41" t="str">
        <f t="shared" si="6"/>
        <v/>
      </c>
      <c r="I52" s="41" t="str">
        <f t="shared" si="6"/>
        <v/>
      </c>
      <c r="J52" s="41" t="str">
        <f t="shared" si="6"/>
        <v/>
      </c>
      <c r="K52" s="41" t="str">
        <f t="shared" si="6"/>
        <v/>
      </c>
      <c r="L52" s="41" t="str">
        <f t="shared" si="6"/>
        <v/>
      </c>
      <c r="M52" s="41" t="str">
        <f t="shared" si="6"/>
        <v/>
      </c>
      <c r="N52" s="41" t="str">
        <f t="shared" si="6"/>
        <v/>
      </c>
      <c r="O52" s="41" t="str">
        <f t="shared" si="6"/>
        <v/>
      </c>
      <c r="P52" s="41" t="str">
        <f t="shared" si="5"/>
        <v/>
      </c>
      <c r="Q52" s="41" t="str">
        <f t="shared" si="5"/>
        <v/>
      </c>
      <c r="R52" s="41" t="str">
        <f t="shared" si="5"/>
        <v/>
      </c>
      <c r="S52" s="41" t="str">
        <f t="shared" si="5"/>
        <v/>
      </c>
      <c r="T52" s="41" t="str">
        <f t="shared" si="5"/>
        <v/>
      </c>
      <c r="U52" s="41" t="str">
        <f t="shared" si="5"/>
        <v/>
      </c>
      <c r="V52" s="41" t="str">
        <f t="shared" si="5"/>
        <v/>
      </c>
      <c r="W52" s="41" t="str">
        <f t="shared" si="5"/>
        <v/>
      </c>
      <c r="X52" s="41" t="str">
        <f t="shared" si="5"/>
        <v/>
      </c>
      <c r="Y52" s="41" t="str">
        <f t="shared" si="5"/>
        <v/>
      </c>
      <c r="Z52" s="41" t="str">
        <f t="shared" si="5"/>
        <v/>
      </c>
      <c r="AA52" s="41" t="str">
        <f t="shared" si="5"/>
        <v/>
      </c>
      <c r="AB52" s="41" t="str">
        <f t="shared" si="5"/>
        <v/>
      </c>
      <c r="AC52" s="48" t="str">
        <f t="shared" si="5"/>
        <v/>
      </c>
    </row>
    <row r="53" spans="1:29" x14ac:dyDescent="0.35">
      <c r="A53"/>
      <c r="B53" s="55"/>
      <c r="D53" s="56"/>
      <c r="F53" s="47" t="str">
        <f t="shared" si="6"/>
        <v/>
      </c>
      <c r="G53" s="41" t="str">
        <f t="shared" si="6"/>
        <v/>
      </c>
      <c r="H53" s="41" t="str">
        <f t="shared" si="6"/>
        <v/>
      </c>
      <c r="I53" s="41" t="str">
        <f t="shared" si="6"/>
        <v/>
      </c>
      <c r="J53" s="41" t="str">
        <f t="shared" si="6"/>
        <v/>
      </c>
      <c r="K53" s="41" t="str">
        <f t="shared" si="6"/>
        <v/>
      </c>
      <c r="L53" s="41" t="str">
        <f t="shared" si="6"/>
        <v/>
      </c>
      <c r="M53" s="41" t="str">
        <f t="shared" si="6"/>
        <v/>
      </c>
      <c r="N53" s="41" t="str">
        <f t="shared" si="6"/>
        <v/>
      </c>
      <c r="O53" s="41" t="str">
        <f t="shared" si="6"/>
        <v/>
      </c>
      <c r="P53" s="41" t="str">
        <f t="shared" si="5"/>
        <v/>
      </c>
      <c r="Q53" s="41" t="str">
        <f t="shared" si="5"/>
        <v/>
      </c>
      <c r="R53" s="41" t="str">
        <f t="shared" si="5"/>
        <v/>
      </c>
      <c r="S53" s="41" t="str">
        <f t="shared" si="5"/>
        <v/>
      </c>
      <c r="T53" s="41" t="str">
        <f t="shared" si="5"/>
        <v/>
      </c>
      <c r="U53" s="41" t="str">
        <f t="shared" si="5"/>
        <v/>
      </c>
      <c r="V53" s="41" t="str">
        <f t="shared" si="5"/>
        <v/>
      </c>
      <c r="W53" s="41" t="str">
        <f t="shared" si="5"/>
        <v/>
      </c>
      <c r="X53" s="41" t="str">
        <f t="shared" si="5"/>
        <v/>
      </c>
      <c r="Y53" s="41" t="str">
        <f t="shared" si="5"/>
        <v/>
      </c>
      <c r="Z53" s="41" t="str">
        <f t="shared" si="5"/>
        <v/>
      </c>
      <c r="AA53" s="41" t="str">
        <f t="shared" si="5"/>
        <v/>
      </c>
      <c r="AB53" s="41" t="str">
        <f t="shared" si="5"/>
        <v/>
      </c>
      <c r="AC53" s="48" t="str">
        <f t="shared" si="5"/>
        <v/>
      </c>
    </row>
    <row r="54" spans="1:29" x14ac:dyDescent="0.35">
      <c r="A54"/>
      <c r="B54" s="55"/>
      <c r="D54" s="56"/>
      <c r="F54" s="47" t="str">
        <f t="shared" si="6"/>
        <v/>
      </c>
      <c r="G54" s="41" t="str">
        <f t="shared" si="6"/>
        <v/>
      </c>
      <c r="H54" s="41" t="str">
        <f t="shared" si="6"/>
        <v/>
      </c>
      <c r="I54" s="41" t="str">
        <f t="shared" si="6"/>
        <v/>
      </c>
      <c r="J54" s="41" t="str">
        <f t="shared" si="6"/>
        <v/>
      </c>
      <c r="K54" s="41" t="str">
        <f t="shared" si="6"/>
        <v/>
      </c>
      <c r="L54" s="41" t="str">
        <f t="shared" si="6"/>
        <v/>
      </c>
      <c r="M54" s="41" t="str">
        <f t="shared" si="6"/>
        <v/>
      </c>
      <c r="N54" s="41" t="str">
        <f t="shared" si="6"/>
        <v/>
      </c>
      <c r="O54" s="41" t="str">
        <f t="shared" si="6"/>
        <v/>
      </c>
      <c r="P54" s="41" t="str">
        <f t="shared" si="5"/>
        <v/>
      </c>
      <c r="Q54" s="41" t="str">
        <f t="shared" si="5"/>
        <v/>
      </c>
      <c r="R54" s="41" t="str">
        <f t="shared" si="5"/>
        <v/>
      </c>
      <c r="S54" s="41" t="str">
        <f t="shared" si="5"/>
        <v/>
      </c>
      <c r="T54" s="41" t="str">
        <f t="shared" si="5"/>
        <v/>
      </c>
      <c r="U54" s="41" t="str">
        <f t="shared" si="5"/>
        <v/>
      </c>
      <c r="V54" s="41" t="str">
        <f t="shared" si="5"/>
        <v/>
      </c>
      <c r="W54" s="41" t="str">
        <f t="shared" si="5"/>
        <v/>
      </c>
      <c r="X54" s="41" t="str">
        <f t="shared" si="5"/>
        <v/>
      </c>
      <c r="Y54" s="41" t="str">
        <f t="shared" si="5"/>
        <v/>
      </c>
      <c r="Z54" s="41" t="str">
        <f t="shared" si="5"/>
        <v/>
      </c>
      <c r="AA54" s="41" t="str">
        <f t="shared" si="5"/>
        <v/>
      </c>
      <c r="AB54" s="41" t="str">
        <f t="shared" si="5"/>
        <v/>
      </c>
      <c r="AC54" s="48" t="str">
        <f t="shared" si="5"/>
        <v/>
      </c>
    </row>
    <row r="55" spans="1:29" x14ac:dyDescent="0.35">
      <c r="A55"/>
      <c r="B55" s="55"/>
      <c r="D55" s="56"/>
      <c r="F55" s="47" t="str">
        <f t="shared" si="6"/>
        <v/>
      </c>
      <c r="G55" s="41" t="str">
        <f t="shared" si="6"/>
        <v/>
      </c>
      <c r="H55" s="41" t="str">
        <f t="shared" si="6"/>
        <v/>
      </c>
      <c r="I55" s="41" t="str">
        <f t="shared" si="6"/>
        <v/>
      </c>
      <c r="J55" s="41" t="str">
        <f t="shared" si="6"/>
        <v/>
      </c>
      <c r="K55" s="41" t="str">
        <f t="shared" si="6"/>
        <v/>
      </c>
      <c r="L55" s="41" t="str">
        <f t="shared" si="6"/>
        <v/>
      </c>
      <c r="M55" s="41" t="str">
        <f t="shared" si="6"/>
        <v/>
      </c>
      <c r="N55" s="41" t="str">
        <f t="shared" si="6"/>
        <v/>
      </c>
      <c r="O55" s="41" t="str">
        <f t="shared" si="6"/>
        <v/>
      </c>
      <c r="P55" s="41" t="str">
        <f t="shared" si="5"/>
        <v/>
      </c>
      <c r="Q55" s="41" t="str">
        <f t="shared" si="5"/>
        <v/>
      </c>
      <c r="R55" s="41" t="str">
        <f t="shared" si="5"/>
        <v/>
      </c>
      <c r="S55" s="41" t="str">
        <f t="shared" si="5"/>
        <v/>
      </c>
      <c r="T55" s="41" t="str">
        <f t="shared" si="5"/>
        <v/>
      </c>
      <c r="U55" s="41" t="str">
        <f t="shared" si="5"/>
        <v/>
      </c>
      <c r="V55" s="41" t="str">
        <f t="shared" si="5"/>
        <v/>
      </c>
      <c r="W55" s="41" t="str">
        <f t="shared" si="5"/>
        <v/>
      </c>
      <c r="X55" s="41" t="str">
        <f t="shared" si="5"/>
        <v/>
      </c>
      <c r="Y55" s="41" t="str">
        <f t="shared" si="5"/>
        <v/>
      </c>
      <c r="Z55" s="41" t="str">
        <f t="shared" si="5"/>
        <v/>
      </c>
      <c r="AA55" s="41" t="str">
        <f t="shared" si="5"/>
        <v/>
      </c>
      <c r="AB55" s="41" t="str">
        <f t="shared" si="5"/>
        <v/>
      </c>
      <c r="AC55" s="48" t="str">
        <f t="shared" si="5"/>
        <v/>
      </c>
    </row>
    <row r="56" spans="1:29" x14ac:dyDescent="0.35">
      <c r="A56"/>
      <c r="B56" s="55"/>
      <c r="D56" s="56"/>
      <c r="F56" s="47" t="str">
        <f t="shared" si="6"/>
        <v/>
      </c>
      <c r="G56" s="41" t="str">
        <f t="shared" si="6"/>
        <v/>
      </c>
      <c r="H56" s="41" t="str">
        <f t="shared" si="6"/>
        <v/>
      </c>
      <c r="I56" s="41" t="str">
        <f t="shared" si="6"/>
        <v/>
      </c>
      <c r="J56" s="41" t="str">
        <f t="shared" si="6"/>
        <v/>
      </c>
      <c r="K56" s="41" t="str">
        <f t="shared" si="6"/>
        <v/>
      </c>
      <c r="L56" s="41" t="str">
        <f t="shared" si="6"/>
        <v/>
      </c>
      <c r="M56" s="41" t="str">
        <f t="shared" si="6"/>
        <v/>
      </c>
      <c r="N56" s="41" t="str">
        <f t="shared" si="6"/>
        <v/>
      </c>
      <c r="O56" s="41" t="str">
        <f t="shared" si="6"/>
        <v/>
      </c>
      <c r="P56" s="41" t="str">
        <f t="shared" si="5"/>
        <v/>
      </c>
      <c r="Q56" s="41" t="str">
        <f t="shared" si="5"/>
        <v/>
      </c>
      <c r="R56" s="41" t="str">
        <f t="shared" si="5"/>
        <v/>
      </c>
      <c r="S56" s="41" t="str">
        <f t="shared" si="5"/>
        <v/>
      </c>
      <c r="T56" s="41" t="str">
        <f t="shared" si="5"/>
        <v/>
      </c>
      <c r="U56" s="41" t="str">
        <f t="shared" si="5"/>
        <v/>
      </c>
      <c r="V56" s="41" t="str">
        <f t="shared" si="5"/>
        <v/>
      </c>
      <c r="W56" s="41" t="str">
        <f t="shared" si="5"/>
        <v/>
      </c>
      <c r="X56" s="41" t="str">
        <f t="shared" si="5"/>
        <v/>
      </c>
      <c r="Y56" s="41" t="str">
        <f t="shared" si="5"/>
        <v/>
      </c>
      <c r="Z56" s="41" t="str">
        <f t="shared" si="5"/>
        <v/>
      </c>
      <c r="AA56" s="41" t="str">
        <f t="shared" si="5"/>
        <v/>
      </c>
      <c r="AB56" s="41" t="str">
        <f t="shared" si="5"/>
        <v/>
      </c>
      <c r="AC56" s="48" t="str">
        <f t="shared" si="5"/>
        <v/>
      </c>
    </row>
    <row r="57" spans="1:29" x14ac:dyDescent="0.35">
      <c r="A57"/>
      <c r="B57" s="55"/>
      <c r="D57" s="56"/>
      <c r="F57" s="47" t="str">
        <f t="shared" si="6"/>
        <v/>
      </c>
      <c r="G57" s="41" t="str">
        <f t="shared" si="6"/>
        <v/>
      </c>
      <c r="H57" s="41" t="str">
        <f t="shared" si="6"/>
        <v/>
      </c>
      <c r="I57" s="41" t="str">
        <f t="shared" si="6"/>
        <v/>
      </c>
      <c r="J57" s="41" t="str">
        <f t="shared" si="6"/>
        <v/>
      </c>
      <c r="K57" s="41" t="str">
        <f t="shared" si="6"/>
        <v/>
      </c>
      <c r="L57" s="41" t="str">
        <f t="shared" si="6"/>
        <v/>
      </c>
      <c r="M57" s="41" t="str">
        <f t="shared" si="6"/>
        <v/>
      </c>
      <c r="N57" s="41" t="str">
        <f t="shared" si="6"/>
        <v/>
      </c>
      <c r="O57" s="41" t="str">
        <f t="shared" si="6"/>
        <v/>
      </c>
      <c r="P57" s="41" t="str">
        <f t="shared" si="5"/>
        <v/>
      </c>
      <c r="Q57" s="41" t="str">
        <f t="shared" si="5"/>
        <v/>
      </c>
      <c r="R57" s="41" t="str">
        <f t="shared" si="5"/>
        <v/>
      </c>
      <c r="S57" s="41" t="str">
        <f t="shared" si="5"/>
        <v/>
      </c>
      <c r="T57" s="41" t="str">
        <f t="shared" si="5"/>
        <v/>
      </c>
      <c r="U57" s="41" t="str">
        <f t="shared" si="5"/>
        <v/>
      </c>
      <c r="V57" s="41" t="str">
        <f t="shared" si="5"/>
        <v/>
      </c>
      <c r="W57" s="41" t="str">
        <f t="shared" si="5"/>
        <v/>
      </c>
      <c r="X57" s="41" t="str">
        <f t="shared" si="5"/>
        <v/>
      </c>
      <c r="Y57" s="41" t="str">
        <f t="shared" si="5"/>
        <v/>
      </c>
      <c r="Z57" s="41" t="str">
        <f t="shared" si="5"/>
        <v/>
      </c>
      <c r="AA57" s="41" t="str">
        <f t="shared" si="5"/>
        <v/>
      </c>
      <c r="AB57" s="41" t="str">
        <f t="shared" si="5"/>
        <v/>
      </c>
      <c r="AC57" s="48" t="str">
        <f t="shared" si="5"/>
        <v/>
      </c>
    </row>
    <row r="58" spans="1:29" x14ac:dyDescent="0.35">
      <c r="A58"/>
      <c r="B58" s="55"/>
      <c r="D58" s="56"/>
      <c r="F58" s="47" t="str">
        <f t="shared" si="6"/>
        <v/>
      </c>
      <c r="G58" s="41" t="str">
        <f t="shared" si="6"/>
        <v/>
      </c>
      <c r="H58" s="41" t="str">
        <f t="shared" si="6"/>
        <v/>
      </c>
      <c r="I58" s="41" t="str">
        <f t="shared" si="6"/>
        <v/>
      </c>
      <c r="J58" s="41" t="str">
        <f t="shared" si="6"/>
        <v/>
      </c>
      <c r="K58" s="41" t="str">
        <f t="shared" si="6"/>
        <v/>
      </c>
      <c r="L58" s="41" t="str">
        <f t="shared" si="6"/>
        <v/>
      </c>
      <c r="M58" s="41" t="str">
        <f t="shared" si="6"/>
        <v/>
      </c>
      <c r="N58" s="41" t="str">
        <f t="shared" si="6"/>
        <v/>
      </c>
      <c r="O58" s="41" t="str">
        <f t="shared" si="6"/>
        <v/>
      </c>
      <c r="P58" s="41" t="str">
        <f t="shared" si="5"/>
        <v/>
      </c>
      <c r="Q58" s="41" t="str">
        <f t="shared" si="5"/>
        <v/>
      </c>
      <c r="R58" s="41" t="str">
        <f t="shared" si="5"/>
        <v/>
      </c>
      <c r="S58" s="41" t="str">
        <f t="shared" si="5"/>
        <v/>
      </c>
      <c r="T58" s="41" t="str">
        <f t="shared" si="5"/>
        <v/>
      </c>
      <c r="U58" s="41" t="str">
        <f t="shared" si="5"/>
        <v/>
      </c>
      <c r="V58" s="41" t="str">
        <f t="shared" si="5"/>
        <v/>
      </c>
      <c r="W58" s="41" t="str">
        <f t="shared" si="5"/>
        <v/>
      </c>
      <c r="X58" s="41" t="str">
        <f t="shared" si="5"/>
        <v/>
      </c>
      <c r="Y58" s="41" t="str">
        <f t="shared" si="5"/>
        <v/>
      </c>
      <c r="Z58" s="41" t="str">
        <f t="shared" si="5"/>
        <v/>
      </c>
      <c r="AA58" s="41" t="str">
        <f t="shared" si="5"/>
        <v/>
      </c>
      <c r="AB58" s="41" t="str">
        <f t="shared" si="5"/>
        <v/>
      </c>
      <c r="AC58" s="48" t="str">
        <f t="shared" si="5"/>
        <v/>
      </c>
    </row>
    <row r="59" spans="1:29" x14ac:dyDescent="0.35">
      <c r="A59"/>
      <c r="B59" s="55"/>
      <c r="D59" s="56"/>
      <c r="F59" s="47" t="str">
        <f t="shared" si="6"/>
        <v/>
      </c>
      <c r="G59" s="41" t="str">
        <f t="shared" si="6"/>
        <v/>
      </c>
      <c r="H59" s="41" t="str">
        <f t="shared" si="6"/>
        <v/>
      </c>
      <c r="I59" s="41" t="str">
        <f t="shared" si="6"/>
        <v/>
      </c>
      <c r="J59" s="41" t="str">
        <f t="shared" si="6"/>
        <v/>
      </c>
      <c r="K59" s="41" t="str">
        <f t="shared" si="6"/>
        <v/>
      </c>
      <c r="L59" s="41" t="str">
        <f t="shared" si="6"/>
        <v/>
      </c>
      <c r="M59" s="41" t="str">
        <f t="shared" si="6"/>
        <v/>
      </c>
      <c r="N59" s="41" t="str">
        <f t="shared" si="6"/>
        <v/>
      </c>
      <c r="O59" s="41" t="str">
        <f t="shared" si="6"/>
        <v/>
      </c>
      <c r="P59" s="41" t="str">
        <f t="shared" si="5"/>
        <v/>
      </c>
      <c r="Q59" s="41" t="str">
        <f t="shared" si="5"/>
        <v/>
      </c>
      <c r="R59" s="41" t="str">
        <f t="shared" si="5"/>
        <v/>
      </c>
      <c r="S59" s="41" t="str">
        <f t="shared" si="5"/>
        <v/>
      </c>
      <c r="T59" s="41" t="str">
        <f t="shared" si="5"/>
        <v/>
      </c>
      <c r="U59" s="41" t="str">
        <f t="shared" si="5"/>
        <v/>
      </c>
      <c r="V59" s="41" t="str">
        <f t="shared" si="5"/>
        <v/>
      </c>
      <c r="W59" s="41" t="str">
        <f t="shared" si="5"/>
        <v/>
      </c>
      <c r="X59" s="41" t="str">
        <f t="shared" si="5"/>
        <v/>
      </c>
      <c r="Y59" s="41" t="str">
        <f t="shared" si="5"/>
        <v/>
      </c>
      <c r="Z59" s="41" t="str">
        <f t="shared" si="5"/>
        <v/>
      </c>
      <c r="AA59" s="41" t="str">
        <f t="shared" si="5"/>
        <v/>
      </c>
      <c r="AB59" s="41" t="str">
        <f t="shared" ref="P59:AC78" si="7">IF(AND(AB$6&gt;=$C59, AB$6&lt;=$D59),"1","")</f>
        <v/>
      </c>
      <c r="AC59" s="48" t="str">
        <f t="shared" si="7"/>
        <v/>
      </c>
    </row>
    <row r="60" spans="1:29" x14ac:dyDescent="0.35">
      <c r="A60"/>
      <c r="B60" s="55"/>
      <c r="D60" s="56"/>
      <c r="F60" s="47" t="str">
        <f t="shared" si="6"/>
        <v/>
      </c>
      <c r="G60" s="41" t="str">
        <f t="shared" si="6"/>
        <v/>
      </c>
      <c r="H60" s="41" t="str">
        <f t="shared" si="6"/>
        <v/>
      </c>
      <c r="I60" s="41" t="str">
        <f t="shared" si="6"/>
        <v/>
      </c>
      <c r="J60" s="41" t="str">
        <f t="shared" si="6"/>
        <v/>
      </c>
      <c r="K60" s="41" t="str">
        <f t="shared" si="6"/>
        <v/>
      </c>
      <c r="L60" s="41" t="str">
        <f t="shared" si="6"/>
        <v/>
      </c>
      <c r="M60" s="41" t="str">
        <f t="shared" si="6"/>
        <v/>
      </c>
      <c r="N60" s="41" t="str">
        <f t="shared" si="6"/>
        <v/>
      </c>
      <c r="O60" s="41" t="str">
        <f t="shared" si="6"/>
        <v/>
      </c>
      <c r="P60" s="41" t="str">
        <f t="shared" si="7"/>
        <v/>
      </c>
      <c r="Q60" s="41" t="str">
        <f t="shared" si="7"/>
        <v/>
      </c>
      <c r="R60" s="41" t="str">
        <f t="shared" si="7"/>
        <v/>
      </c>
      <c r="S60" s="41" t="str">
        <f t="shared" si="7"/>
        <v/>
      </c>
      <c r="T60" s="41" t="str">
        <f t="shared" si="7"/>
        <v/>
      </c>
      <c r="U60" s="41" t="str">
        <f t="shared" si="7"/>
        <v/>
      </c>
      <c r="V60" s="41" t="str">
        <f t="shared" si="7"/>
        <v/>
      </c>
      <c r="W60" s="41" t="str">
        <f t="shared" si="7"/>
        <v/>
      </c>
      <c r="X60" s="41" t="str">
        <f t="shared" si="7"/>
        <v/>
      </c>
      <c r="Y60" s="41" t="str">
        <f t="shared" si="7"/>
        <v/>
      </c>
      <c r="Z60" s="41" t="str">
        <f t="shared" si="7"/>
        <v/>
      </c>
      <c r="AA60" s="41" t="str">
        <f t="shared" si="7"/>
        <v/>
      </c>
      <c r="AB60" s="41" t="str">
        <f t="shared" si="7"/>
        <v/>
      </c>
      <c r="AC60" s="48" t="str">
        <f t="shared" si="7"/>
        <v/>
      </c>
    </row>
    <row r="61" spans="1:29" x14ac:dyDescent="0.35">
      <c r="A61"/>
      <c r="B61" s="55"/>
      <c r="D61" s="56"/>
      <c r="F61" s="47" t="str">
        <f t="shared" si="6"/>
        <v/>
      </c>
      <c r="G61" s="41" t="str">
        <f t="shared" si="6"/>
        <v/>
      </c>
      <c r="H61" s="41" t="str">
        <f t="shared" si="6"/>
        <v/>
      </c>
      <c r="I61" s="41" t="str">
        <f t="shared" si="6"/>
        <v/>
      </c>
      <c r="J61" s="41" t="str">
        <f t="shared" si="6"/>
        <v/>
      </c>
      <c r="K61" s="41" t="str">
        <f t="shared" si="6"/>
        <v/>
      </c>
      <c r="L61" s="41" t="str">
        <f t="shared" si="6"/>
        <v/>
      </c>
      <c r="M61" s="41" t="str">
        <f t="shared" si="6"/>
        <v/>
      </c>
      <c r="N61" s="41" t="str">
        <f t="shared" si="6"/>
        <v/>
      </c>
      <c r="O61" s="41" t="str">
        <f t="shared" si="6"/>
        <v/>
      </c>
      <c r="P61" s="41" t="str">
        <f t="shared" si="7"/>
        <v/>
      </c>
      <c r="Q61" s="41" t="str">
        <f t="shared" si="7"/>
        <v/>
      </c>
      <c r="R61" s="41" t="str">
        <f t="shared" si="7"/>
        <v/>
      </c>
      <c r="S61" s="41" t="str">
        <f t="shared" si="7"/>
        <v/>
      </c>
      <c r="T61" s="41" t="str">
        <f t="shared" si="7"/>
        <v/>
      </c>
      <c r="U61" s="41" t="str">
        <f t="shared" si="7"/>
        <v/>
      </c>
      <c r="V61" s="41" t="str">
        <f t="shared" si="7"/>
        <v/>
      </c>
      <c r="W61" s="41" t="str">
        <f t="shared" si="7"/>
        <v/>
      </c>
      <c r="X61" s="41" t="str">
        <f t="shared" si="7"/>
        <v/>
      </c>
      <c r="Y61" s="41" t="str">
        <f t="shared" si="7"/>
        <v/>
      </c>
      <c r="Z61" s="41" t="str">
        <f t="shared" si="7"/>
        <v/>
      </c>
      <c r="AA61" s="41" t="str">
        <f t="shared" si="7"/>
        <v/>
      </c>
      <c r="AB61" s="41" t="str">
        <f t="shared" si="7"/>
        <v/>
      </c>
      <c r="AC61" s="48" t="str">
        <f t="shared" si="7"/>
        <v/>
      </c>
    </row>
    <row r="62" spans="1:29" x14ac:dyDescent="0.35">
      <c r="A62"/>
      <c r="B62" s="55"/>
      <c r="D62" s="56"/>
      <c r="F62" s="47" t="str">
        <f t="shared" si="6"/>
        <v/>
      </c>
      <c r="G62" s="41" t="str">
        <f t="shared" si="6"/>
        <v/>
      </c>
      <c r="H62" s="41" t="str">
        <f t="shared" si="6"/>
        <v/>
      </c>
      <c r="I62" s="41" t="str">
        <f t="shared" si="6"/>
        <v/>
      </c>
      <c r="J62" s="41" t="str">
        <f t="shared" si="6"/>
        <v/>
      </c>
      <c r="K62" s="41" t="str">
        <f t="shared" si="6"/>
        <v/>
      </c>
      <c r="L62" s="41" t="str">
        <f t="shared" si="6"/>
        <v/>
      </c>
      <c r="M62" s="41" t="str">
        <f t="shared" si="6"/>
        <v/>
      </c>
      <c r="N62" s="41" t="str">
        <f t="shared" si="6"/>
        <v/>
      </c>
      <c r="O62" s="41" t="str">
        <f t="shared" si="6"/>
        <v/>
      </c>
      <c r="P62" s="41" t="str">
        <f t="shared" si="7"/>
        <v/>
      </c>
      <c r="Q62" s="41" t="str">
        <f t="shared" si="7"/>
        <v/>
      </c>
      <c r="R62" s="41" t="str">
        <f t="shared" si="7"/>
        <v/>
      </c>
      <c r="S62" s="41" t="str">
        <f t="shared" si="7"/>
        <v/>
      </c>
      <c r="T62" s="41" t="str">
        <f t="shared" si="7"/>
        <v/>
      </c>
      <c r="U62" s="41" t="str">
        <f t="shared" si="7"/>
        <v/>
      </c>
      <c r="V62" s="41" t="str">
        <f t="shared" si="7"/>
        <v/>
      </c>
      <c r="W62" s="41" t="str">
        <f t="shared" si="7"/>
        <v/>
      </c>
      <c r="X62" s="41" t="str">
        <f t="shared" si="7"/>
        <v/>
      </c>
      <c r="Y62" s="41" t="str">
        <f t="shared" si="7"/>
        <v/>
      </c>
      <c r="Z62" s="41" t="str">
        <f t="shared" si="7"/>
        <v/>
      </c>
      <c r="AA62" s="41" t="str">
        <f t="shared" si="7"/>
        <v/>
      </c>
      <c r="AB62" s="41" t="str">
        <f t="shared" si="7"/>
        <v/>
      </c>
      <c r="AC62" s="48" t="str">
        <f t="shared" si="7"/>
        <v/>
      </c>
    </row>
    <row r="63" spans="1:29" x14ac:dyDescent="0.35">
      <c r="A63"/>
      <c r="B63" s="55"/>
      <c r="D63" s="56"/>
      <c r="F63" s="47" t="str">
        <f t="shared" si="6"/>
        <v/>
      </c>
      <c r="G63" s="41" t="str">
        <f t="shared" si="6"/>
        <v/>
      </c>
      <c r="H63" s="41" t="str">
        <f t="shared" si="6"/>
        <v/>
      </c>
      <c r="I63" s="41" t="str">
        <f t="shared" si="6"/>
        <v/>
      </c>
      <c r="J63" s="41" t="str">
        <f t="shared" si="6"/>
        <v/>
      </c>
      <c r="K63" s="41" t="str">
        <f t="shared" si="6"/>
        <v/>
      </c>
      <c r="L63" s="41" t="str">
        <f t="shared" si="6"/>
        <v/>
      </c>
      <c r="M63" s="41" t="str">
        <f t="shared" si="6"/>
        <v/>
      </c>
      <c r="N63" s="41" t="str">
        <f t="shared" si="6"/>
        <v/>
      </c>
      <c r="O63" s="41" t="str">
        <f t="shared" si="6"/>
        <v/>
      </c>
      <c r="P63" s="41" t="str">
        <f t="shared" si="7"/>
        <v/>
      </c>
      <c r="Q63" s="41" t="str">
        <f t="shared" si="7"/>
        <v/>
      </c>
      <c r="R63" s="41" t="str">
        <f t="shared" si="7"/>
        <v/>
      </c>
      <c r="S63" s="41" t="str">
        <f t="shared" si="7"/>
        <v/>
      </c>
      <c r="T63" s="41" t="str">
        <f t="shared" si="7"/>
        <v/>
      </c>
      <c r="U63" s="41" t="str">
        <f t="shared" si="7"/>
        <v/>
      </c>
      <c r="V63" s="41" t="str">
        <f t="shared" si="7"/>
        <v/>
      </c>
      <c r="W63" s="41" t="str">
        <f t="shared" si="7"/>
        <v/>
      </c>
      <c r="X63" s="41" t="str">
        <f t="shared" si="7"/>
        <v/>
      </c>
      <c r="Y63" s="41" t="str">
        <f t="shared" si="7"/>
        <v/>
      </c>
      <c r="Z63" s="41" t="str">
        <f t="shared" si="7"/>
        <v/>
      </c>
      <c r="AA63" s="41" t="str">
        <f t="shared" si="7"/>
        <v/>
      </c>
      <c r="AB63" s="41" t="str">
        <f t="shared" si="7"/>
        <v/>
      </c>
      <c r="AC63" s="48" t="str">
        <f t="shared" si="7"/>
        <v/>
      </c>
    </row>
    <row r="64" spans="1:29" x14ac:dyDescent="0.35">
      <c r="A64"/>
      <c r="B64" s="55"/>
      <c r="D64" s="56"/>
      <c r="F64" s="47" t="str">
        <f t="shared" si="6"/>
        <v/>
      </c>
      <c r="G64" s="41" t="str">
        <f t="shared" si="6"/>
        <v/>
      </c>
      <c r="H64" s="41" t="str">
        <f t="shared" si="6"/>
        <v/>
      </c>
      <c r="I64" s="41" t="str">
        <f t="shared" si="6"/>
        <v/>
      </c>
      <c r="J64" s="41" t="str">
        <f t="shared" si="6"/>
        <v/>
      </c>
      <c r="K64" s="41" t="str">
        <f t="shared" si="6"/>
        <v/>
      </c>
      <c r="L64" s="41" t="str">
        <f t="shared" si="6"/>
        <v/>
      </c>
      <c r="M64" s="41" t="str">
        <f t="shared" si="6"/>
        <v/>
      </c>
      <c r="N64" s="41" t="str">
        <f t="shared" si="6"/>
        <v/>
      </c>
      <c r="O64" s="41" t="str">
        <f t="shared" si="6"/>
        <v/>
      </c>
      <c r="P64" s="41" t="str">
        <f t="shared" si="7"/>
        <v/>
      </c>
      <c r="Q64" s="41" t="str">
        <f t="shared" si="7"/>
        <v/>
      </c>
      <c r="R64" s="41" t="str">
        <f t="shared" si="7"/>
        <v/>
      </c>
      <c r="S64" s="41" t="str">
        <f t="shared" si="7"/>
        <v/>
      </c>
      <c r="T64" s="41" t="str">
        <f t="shared" si="7"/>
        <v/>
      </c>
      <c r="U64" s="41" t="str">
        <f t="shared" si="7"/>
        <v/>
      </c>
      <c r="V64" s="41" t="str">
        <f t="shared" si="7"/>
        <v/>
      </c>
      <c r="W64" s="41" t="str">
        <f t="shared" si="7"/>
        <v/>
      </c>
      <c r="X64" s="41" t="str">
        <f t="shared" si="7"/>
        <v/>
      </c>
      <c r="Y64" s="41" t="str">
        <f t="shared" si="7"/>
        <v/>
      </c>
      <c r="Z64" s="41" t="str">
        <f t="shared" si="7"/>
        <v/>
      </c>
      <c r="AA64" s="41" t="str">
        <f t="shared" si="7"/>
        <v/>
      </c>
      <c r="AB64" s="41" t="str">
        <f t="shared" si="7"/>
        <v/>
      </c>
      <c r="AC64" s="48" t="str">
        <f t="shared" si="7"/>
        <v/>
      </c>
    </row>
    <row r="65" spans="1:29" x14ac:dyDescent="0.35">
      <c r="A65"/>
      <c r="B65" s="55"/>
      <c r="D65" s="56"/>
      <c r="F65" s="47" t="str">
        <f t="shared" si="6"/>
        <v/>
      </c>
      <c r="G65" s="41" t="str">
        <f t="shared" si="6"/>
        <v/>
      </c>
      <c r="H65" s="41" t="str">
        <f t="shared" si="6"/>
        <v/>
      </c>
      <c r="I65" s="41" t="str">
        <f t="shared" si="6"/>
        <v/>
      </c>
      <c r="J65" s="41" t="str">
        <f t="shared" si="6"/>
        <v/>
      </c>
      <c r="K65" s="41" t="str">
        <f t="shared" si="6"/>
        <v/>
      </c>
      <c r="L65" s="41" t="str">
        <f t="shared" si="6"/>
        <v/>
      </c>
      <c r="M65" s="41" t="str">
        <f t="shared" si="6"/>
        <v/>
      </c>
      <c r="N65" s="41" t="str">
        <f t="shared" si="6"/>
        <v/>
      </c>
      <c r="O65" s="41" t="str">
        <f t="shared" si="6"/>
        <v/>
      </c>
      <c r="P65" s="41" t="str">
        <f t="shared" si="7"/>
        <v/>
      </c>
      <c r="Q65" s="41" t="str">
        <f t="shared" si="7"/>
        <v/>
      </c>
      <c r="R65" s="41" t="str">
        <f t="shared" si="7"/>
        <v/>
      </c>
      <c r="S65" s="41" t="str">
        <f t="shared" si="7"/>
        <v/>
      </c>
      <c r="T65" s="41" t="str">
        <f t="shared" si="7"/>
        <v/>
      </c>
      <c r="U65" s="41" t="str">
        <f t="shared" si="7"/>
        <v/>
      </c>
      <c r="V65" s="41" t="str">
        <f t="shared" si="7"/>
        <v/>
      </c>
      <c r="W65" s="41" t="str">
        <f t="shared" si="7"/>
        <v/>
      </c>
      <c r="X65" s="41" t="str">
        <f t="shared" si="7"/>
        <v/>
      </c>
      <c r="Y65" s="41" t="str">
        <f t="shared" si="7"/>
        <v/>
      </c>
      <c r="Z65" s="41" t="str">
        <f t="shared" si="7"/>
        <v/>
      </c>
      <c r="AA65" s="41" t="str">
        <f t="shared" si="7"/>
        <v/>
      </c>
      <c r="AB65" s="41" t="str">
        <f t="shared" si="7"/>
        <v/>
      </c>
      <c r="AC65" s="48" t="str">
        <f t="shared" si="7"/>
        <v/>
      </c>
    </row>
    <row r="66" spans="1:29" x14ac:dyDescent="0.35">
      <c r="A66"/>
      <c r="B66" s="55"/>
      <c r="D66" s="56"/>
      <c r="F66" s="47" t="str">
        <f t="shared" si="6"/>
        <v/>
      </c>
      <c r="G66" s="41" t="str">
        <f t="shared" si="6"/>
        <v/>
      </c>
      <c r="H66" s="41" t="str">
        <f t="shared" si="6"/>
        <v/>
      </c>
      <c r="I66" s="41" t="str">
        <f t="shared" si="6"/>
        <v/>
      </c>
      <c r="J66" s="41" t="str">
        <f t="shared" si="6"/>
        <v/>
      </c>
      <c r="K66" s="41" t="str">
        <f t="shared" si="6"/>
        <v/>
      </c>
      <c r="L66" s="41" t="str">
        <f t="shared" si="6"/>
        <v/>
      </c>
      <c r="M66" s="41" t="str">
        <f t="shared" si="6"/>
        <v/>
      </c>
      <c r="N66" s="41" t="str">
        <f t="shared" si="6"/>
        <v/>
      </c>
      <c r="O66" s="41" t="str">
        <f t="shared" si="6"/>
        <v/>
      </c>
      <c r="P66" s="41" t="str">
        <f t="shared" si="7"/>
        <v/>
      </c>
      <c r="Q66" s="41" t="str">
        <f t="shared" si="7"/>
        <v/>
      </c>
      <c r="R66" s="41" t="str">
        <f t="shared" si="7"/>
        <v/>
      </c>
      <c r="S66" s="41" t="str">
        <f t="shared" si="7"/>
        <v/>
      </c>
      <c r="T66" s="41" t="str">
        <f t="shared" si="7"/>
        <v/>
      </c>
      <c r="U66" s="41" t="str">
        <f t="shared" si="7"/>
        <v/>
      </c>
      <c r="V66" s="41" t="str">
        <f t="shared" si="7"/>
        <v/>
      </c>
      <c r="W66" s="41" t="str">
        <f t="shared" si="7"/>
        <v/>
      </c>
      <c r="X66" s="41" t="str">
        <f t="shared" si="7"/>
        <v/>
      </c>
      <c r="Y66" s="41" t="str">
        <f t="shared" si="7"/>
        <v/>
      </c>
      <c r="Z66" s="41" t="str">
        <f t="shared" si="7"/>
        <v/>
      </c>
      <c r="AA66" s="41" t="str">
        <f t="shared" si="7"/>
        <v/>
      </c>
      <c r="AB66" s="41" t="str">
        <f t="shared" si="7"/>
        <v/>
      </c>
      <c r="AC66" s="48" t="str">
        <f t="shared" si="7"/>
        <v/>
      </c>
    </row>
    <row r="67" spans="1:29" x14ac:dyDescent="0.35">
      <c r="A67"/>
      <c r="B67" s="55"/>
      <c r="D67" s="56"/>
      <c r="F67" s="47" t="str">
        <f t="shared" si="6"/>
        <v/>
      </c>
      <c r="G67" s="41" t="str">
        <f t="shared" si="6"/>
        <v/>
      </c>
      <c r="H67" s="41" t="str">
        <f t="shared" si="6"/>
        <v/>
      </c>
      <c r="I67" s="41" t="str">
        <f t="shared" si="6"/>
        <v/>
      </c>
      <c r="J67" s="41" t="str">
        <f t="shared" si="6"/>
        <v/>
      </c>
      <c r="K67" s="41" t="str">
        <f t="shared" si="6"/>
        <v/>
      </c>
      <c r="L67" s="41" t="str">
        <f t="shared" si="6"/>
        <v/>
      </c>
      <c r="M67" s="41" t="str">
        <f t="shared" si="6"/>
        <v/>
      </c>
      <c r="N67" s="41" t="str">
        <f t="shared" si="6"/>
        <v/>
      </c>
      <c r="O67" s="41" t="str">
        <f t="shared" si="6"/>
        <v/>
      </c>
      <c r="P67" s="41" t="str">
        <f t="shared" si="7"/>
        <v/>
      </c>
      <c r="Q67" s="41" t="str">
        <f t="shared" si="7"/>
        <v/>
      </c>
      <c r="R67" s="41" t="str">
        <f t="shared" si="7"/>
        <v/>
      </c>
      <c r="S67" s="41" t="str">
        <f t="shared" si="7"/>
        <v/>
      </c>
      <c r="T67" s="41" t="str">
        <f t="shared" si="7"/>
        <v/>
      </c>
      <c r="U67" s="41" t="str">
        <f t="shared" si="7"/>
        <v/>
      </c>
      <c r="V67" s="41" t="str">
        <f t="shared" si="7"/>
        <v/>
      </c>
      <c r="W67" s="41" t="str">
        <f t="shared" si="7"/>
        <v/>
      </c>
      <c r="X67" s="41" t="str">
        <f t="shared" si="7"/>
        <v/>
      </c>
      <c r="Y67" s="41" t="str">
        <f t="shared" si="7"/>
        <v/>
      </c>
      <c r="Z67" s="41" t="str">
        <f t="shared" si="7"/>
        <v/>
      </c>
      <c r="AA67" s="41" t="str">
        <f t="shared" si="7"/>
        <v/>
      </c>
      <c r="AB67" s="41" t="str">
        <f t="shared" si="7"/>
        <v/>
      </c>
      <c r="AC67" s="48" t="str">
        <f t="shared" si="7"/>
        <v/>
      </c>
    </row>
    <row r="68" spans="1:29" x14ac:dyDescent="0.35">
      <c r="A68"/>
      <c r="B68" s="55"/>
      <c r="D68" s="56"/>
      <c r="F68" s="47" t="str">
        <f t="shared" si="6"/>
        <v/>
      </c>
      <c r="G68" s="41" t="str">
        <f t="shared" si="6"/>
        <v/>
      </c>
      <c r="H68" s="41" t="str">
        <f t="shared" si="6"/>
        <v/>
      </c>
      <c r="I68" s="41" t="str">
        <f t="shared" si="6"/>
        <v/>
      </c>
      <c r="J68" s="41" t="str">
        <f t="shared" si="6"/>
        <v/>
      </c>
      <c r="K68" s="41" t="str">
        <f t="shared" si="6"/>
        <v/>
      </c>
      <c r="L68" s="41" t="str">
        <f t="shared" si="6"/>
        <v/>
      </c>
      <c r="M68" s="41" t="str">
        <f t="shared" si="6"/>
        <v/>
      </c>
      <c r="N68" s="41" t="str">
        <f t="shared" si="6"/>
        <v/>
      </c>
      <c r="O68" s="41" t="str">
        <f t="shared" si="6"/>
        <v/>
      </c>
      <c r="P68" s="41" t="str">
        <f t="shared" si="7"/>
        <v/>
      </c>
      <c r="Q68" s="41" t="str">
        <f t="shared" si="7"/>
        <v/>
      </c>
      <c r="R68" s="41" t="str">
        <f t="shared" si="7"/>
        <v/>
      </c>
      <c r="S68" s="41" t="str">
        <f t="shared" si="7"/>
        <v/>
      </c>
      <c r="T68" s="41" t="str">
        <f t="shared" si="7"/>
        <v/>
      </c>
      <c r="U68" s="41" t="str">
        <f t="shared" si="7"/>
        <v/>
      </c>
      <c r="V68" s="41" t="str">
        <f t="shared" si="7"/>
        <v/>
      </c>
      <c r="W68" s="41" t="str">
        <f t="shared" si="7"/>
        <v/>
      </c>
      <c r="X68" s="41" t="str">
        <f t="shared" si="7"/>
        <v/>
      </c>
      <c r="Y68" s="41" t="str">
        <f t="shared" si="7"/>
        <v/>
      </c>
      <c r="Z68" s="41" t="str">
        <f t="shared" si="7"/>
        <v/>
      </c>
      <c r="AA68" s="41" t="str">
        <f t="shared" si="7"/>
        <v/>
      </c>
      <c r="AB68" s="41" t="str">
        <f t="shared" si="7"/>
        <v/>
      </c>
      <c r="AC68" s="48" t="str">
        <f t="shared" si="7"/>
        <v/>
      </c>
    </row>
    <row r="69" spans="1:29" x14ac:dyDescent="0.35">
      <c r="A69"/>
      <c r="B69" s="55"/>
      <c r="D69" s="56"/>
      <c r="F69" s="47" t="str">
        <f t="shared" si="6"/>
        <v/>
      </c>
      <c r="G69" s="41" t="str">
        <f t="shared" si="6"/>
        <v/>
      </c>
      <c r="H69" s="41" t="str">
        <f t="shared" si="6"/>
        <v/>
      </c>
      <c r="I69" s="41" t="str">
        <f t="shared" si="6"/>
        <v/>
      </c>
      <c r="J69" s="41" t="str">
        <f t="shared" si="6"/>
        <v/>
      </c>
      <c r="K69" s="41" t="str">
        <f t="shared" si="6"/>
        <v/>
      </c>
      <c r="L69" s="41" t="str">
        <f t="shared" si="6"/>
        <v/>
      </c>
      <c r="M69" s="41" t="str">
        <f t="shared" si="6"/>
        <v/>
      </c>
      <c r="N69" s="41" t="str">
        <f t="shared" si="6"/>
        <v/>
      </c>
      <c r="O69" s="41" t="str">
        <f t="shared" si="6"/>
        <v/>
      </c>
      <c r="P69" s="41" t="str">
        <f t="shared" si="7"/>
        <v/>
      </c>
      <c r="Q69" s="41" t="str">
        <f t="shared" si="7"/>
        <v/>
      </c>
      <c r="R69" s="41" t="str">
        <f t="shared" si="7"/>
        <v/>
      </c>
      <c r="S69" s="41" t="str">
        <f t="shared" si="7"/>
        <v/>
      </c>
      <c r="T69" s="41" t="str">
        <f t="shared" si="7"/>
        <v/>
      </c>
      <c r="U69" s="41" t="str">
        <f t="shared" si="7"/>
        <v/>
      </c>
      <c r="V69" s="41" t="str">
        <f t="shared" si="7"/>
        <v/>
      </c>
      <c r="W69" s="41" t="str">
        <f t="shared" si="7"/>
        <v/>
      </c>
      <c r="X69" s="41" t="str">
        <f t="shared" si="7"/>
        <v/>
      </c>
      <c r="Y69" s="41" t="str">
        <f t="shared" si="7"/>
        <v/>
      </c>
      <c r="Z69" s="41" t="str">
        <f t="shared" si="7"/>
        <v/>
      </c>
      <c r="AA69" s="41" t="str">
        <f t="shared" si="7"/>
        <v/>
      </c>
      <c r="AB69" s="41" t="str">
        <f t="shared" si="7"/>
        <v/>
      </c>
      <c r="AC69" s="48" t="str">
        <f t="shared" si="7"/>
        <v/>
      </c>
    </row>
    <row r="70" spans="1:29" x14ac:dyDescent="0.35">
      <c r="A70"/>
      <c r="B70" s="55"/>
      <c r="D70" s="56"/>
      <c r="F70" s="47" t="str">
        <f t="shared" si="6"/>
        <v/>
      </c>
      <c r="G70" s="41" t="str">
        <f t="shared" si="6"/>
        <v/>
      </c>
      <c r="H70" s="41" t="str">
        <f t="shared" si="6"/>
        <v/>
      </c>
      <c r="I70" s="41" t="str">
        <f t="shared" si="6"/>
        <v/>
      </c>
      <c r="J70" s="41" t="str">
        <f t="shared" si="6"/>
        <v/>
      </c>
      <c r="K70" s="41" t="str">
        <f t="shared" si="6"/>
        <v/>
      </c>
      <c r="L70" s="41" t="str">
        <f t="shared" si="6"/>
        <v/>
      </c>
      <c r="M70" s="41" t="str">
        <f t="shared" si="6"/>
        <v/>
      </c>
      <c r="N70" s="41" t="str">
        <f t="shared" si="6"/>
        <v/>
      </c>
      <c r="O70" s="41" t="str">
        <f t="shared" si="6"/>
        <v/>
      </c>
      <c r="P70" s="41" t="str">
        <f t="shared" si="7"/>
        <v/>
      </c>
      <c r="Q70" s="41" t="str">
        <f t="shared" si="7"/>
        <v/>
      </c>
      <c r="R70" s="41" t="str">
        <f t="shared" si="7"/>
        <v/>
      </c>
      <c r="S70" s="41" t="str">
        <f t="shared" si="7"/>
        <v/>
      </c>
      <c r="T70" s="41" t="str">
        <f t="shared" si="7"/>
        <v/>
      </c>
      <c r="U70" s="41" t="str">
        <f t="shared" si="7"/>
        <v/>
      </c>
      <c r="V70" s="41" t="str">
        <f t="shared" si="7"/>
        <v/>
      </c>
      <c r="W70" s="41" t="str">
        <f t="shared" si="7"/>
        <v/>
      </c>
      <c r="X70" s="41" t="str">
        <f t="shared" si="7"/>
        <v/>
      </c>
      <c r="Y70" s="41" t="str">
        <f t="shared" si="7"/>
        <v/>
      </c>
      <c r="Z70" s="41" t="str">
        <f t="shared" si="7"/>
        <v/>
      </c>
      <c r="AA70" s="41" t="str">
        <f t="shared" si="7"/>
        <v/>
      </c>
      <c r="AB70" s="41" t="str">
        <f t="shared" si="7"/>
        <v/>
      </c>
      <c r="AC70" s="48" t="str">
        <f t="shared" si="7"/>
        <v/>
      </c>
    </row>
    <row r="71" spans="1:29" x14ac:dyDescent="0.35">
      <c r="A71"/>
      <c r="B71" s="55"/>
      <c r="D71" s="56"/>
      <c r="F71" s="47" t="str">
        <f t="shared" si="6"/>
        <v/>
      </c>
      <c r="G71" s="41" t="str">
        <f t="shared" si="6"/>
        <v/>
      </c>
      <c r="H71" s="41" t="str">
        <f t="shared" si="6"/>
        <v/>
      </c>
      <c r="I71" s="41" t="str">
        <f t="shared" si="6"/>
        <v/>
      </c>
      <c r="J71" s="41" t="str">
        <f t="shared" si="6"/>
        <v/>
      </c>
      <c r="K71" s="41" t="str">
        <f t="shared" si="6"/>
        <v/>
      </c>
      <c r="L71" s="41" t="str">
        <f t="shared" si="6"/>
        <v/>
      </c>
      <c r="M71" s="41" t="str">
        <f t="shared" si="6"/>
        <v/>
      </c>
      <c r="N71" s="41" t="str">
        <f t="shared" si="6"/>
        <v/>
      </c>
      <c r="O71" s="41" t="str">
        <f t="shared" si="6"/>
        <v/>
      </c>
      <c r="P71" s="41" t="str">
        <f t="shared" si="7"/>
        <v/>
      </c>
      <c r="Q71" s="41" t="str">
        <f t="shared" si="7"/>
        <v/>
      </c>
      <c r="R71" s="41" t="str">
        <f t="shared" si="7"/>
        <v/>
      </c>
      <c r="S71" s="41" t="str">
        <f t="shared" si="7"/>
        <v/>
      </c>
      <c r="T71" s="41" t="str">
        <f t="shared" si="7"/>
        <v/>
      </c>
      <c r="U71" s="41" t="str">
        <f t="shared" si="7"/>
        <v/>
      </c>
      <c r="V71" s="41" t="str">
        <f t="shared" si="7"/>
        <v/>
      </c>
      <c r="W71" s="41" t="str">
        <f t="shared" si="7"/>
        <v/>
      </c>
      <c r="X71" s="41" t="str">
        <f t="shared" si="7"/>
        <v/>
      </c>
      <c r="Y71" s="41" t="str">
        <f t="shared" si="7"/>
        <v/>
      </c>
      <c r="Z71" s="41" t="str">
        <f t="shared" si="7"/>
        <v/>
      </c>
      <c r="AA71" s="41" t="str">
        <f t="shared" si="7"/>
        <v/>
      </c>
      <c r="AB71" s="41" t="str">
        <f t="shared" si="7"/>
        <v/>
      </c>
      <c r="AC71" s="48" t="str">
        <f t="shared" si="7"/>
        <v/>
      </c>
    </row>
    <row r="72" spans="1:29" x14ac:dyDescent="0.35">
      <c r="A72"/>
      <c r="B72" s="55"/>
      <c r="D72" s="56"/>
      <c r="F72" s="47" t="str">
        <f t="shared" si="6"/>
        <v/>
      </c>
      <c r="G72" s="41" t="str">
        <f t="shared" si="6"/>
        <v/>
      </c>
      <c r="H72" s="41" t="str">
        <f t="shared" si="6"/>
        <v/>
      </c>
      <c r="I72" s="41" t="str">
        <f t="shared" si="6"/>
        <v/>
      </c>
      <c r="J72" s="41" t="str">
        <f t="shared" si="6"/>
        <v/>
      </c>
      <c r="K72" s="41" t="str">
        <f t="shared" si="6"/>
        <v/>
      </c>
      <c r="L72" s="41" t="str">
        <f t="shared" si="6"/>
        <v/>
      </c>
      <c r="M72" s="41" t="str">
        <f t="shared" si="6"/>
        <v/>
      </c>
      <c r="N72" s="41" t="str">
        <f t="shared" si="6"/>
        <v/>
      </c>
      <c r="O72" s="41" t="str">
        <f t="shared" si="6"/>
        <v/>
      </c>
      <c r="P72" s="41" t="str">
        <f t="shared" si="7"/>
        <v/>
      </c>
      <c r="Q72" s="41" t="str">
        <f t="shared" si="7"/>
        <v/>
      </c>
      <c r="R72" s="41" t="str">
        <f t="shared" si="7"/>
        <v/>
      </c>
      <c r="S72" s="41" t="str">
        <f t="shared" si="7"/>
        <v/>
      </c>
      <c r="T72" s="41" t="str">
        <f t="shared" si="7"/>
        <v/>
      </c>
      <c r="U72" s="41" t="str">
        <f t="shared" si="7"/>
        <v/>
      </c>
      <c r="V72" s="41" t="str">
        <f t="shared" si="7"/>
        <v/>
      </c>
      <c r="W72" s="41" t="str">
        <f t="shared" si="7"/>
        <v/>
      </c>
      <c r="X72" s="41" t="str">
        <f t="shared" si="7"/>
        <v/>
      </c>
      <c r="Y72" s="41" t="str">
        <f t="shared" si="7"/>
        <v/>
      </c>
      <c r="Z72" s="41" t="str">
        <f t="shared" si="7"/>
        <v/>
      </c>
      <c r="AA72" s="41" t="str">
        <f t="shared" si="7"/>
        <v/>
      </c>
      <c r="AB72" s="41" t="str">
        <f t="shared" si="7"/>
        <v/>
      </c>
      <c r="AC72" s="48" t="str">
        <f t="shared" si="7"/>
        <v/>
      </c>
    </row>
    <row r="73" spans="1:29" x14ac:dyDescent="0.35">
      <c r="A73"/>
      <c r="B73" s="55"/>
      <c r="D73" s="56"/>
      <c r="F73" s="47" t="str">
        <f t="shared" si="6"/>
        <v/>
      </c>
      <c r="G73" s="41" t="str">
        <f t="shared" si="6"/>
        <v/>
      </c>
      <c r="H73" s="41" t="str">
        <f t="shared" si="6"/>
        <v/>
      </c>
      <c r="I73" s="41" t="str">
        <f t="shared" si="6"/>
        <v/>
      </c>
      <c r="J73" s="41" t="str">
        <f t="shared" ref="F73:O98" si="8">IF(AND(J$6&gt;=$C73, J$6&lt;=$D73),"1","")</f>
        <v/>
      </c>
      <c r="K73" s="41" t="str">
        <f t="shared" si="8"/>
        <v/>
      </c>
      <c r="L73" s="41" t="str">
        <f t="shared" si="8"/>
        <v/>
      </c>
      <c r="M73" s="41" t="str">
        <f t="shared" si="8"/>
        <v/>
      </c>
      <c r="N73" s="41" t="str">
        <f t="shared" si="8"/>
        <v/>
      </c>
      <c r="O73" s="41" t="str">
        <f t="shared" si="8"/>
        <v/>
      </c>
      <c r="P73" s="41" t="str">
        <f t="shared" si="7"/>
        <v/>
      </c>
      <c r="Q73" s="41" t="str">
        <f t="shared" si="7"/>
        <v/>
      </c>
      <c r="R73" s="41" t="str">
        <f t="shared" si="7"/>
        <v/>
      </c>
      <c r="S73" s="41" t="str">
        <f t="shared" si="7"/>
        <v/>
      </c>
      <c r="T73" s="41" t="str">
        <f t="shared" si="7"/>
        <v/>
      </c>
      <c r="U73" s="41" t="str">
        <f t="shared" si="7"/>
        <v/>
      </c>
      <c r="V73" s="41" t="str">
        <f t="shared" si="7"/>
        <v/>
      </c>
      <c r="W73" s="41" t="str">
        <f t="shared" si="7"/>
        <v/>
      </c>
      <c r="X73" s="41" t="str">
        <f t="shared" si="7"/>
        <v/>
      </c>
      <c r="Y73" s="41" t="str">
        <f t="shared" si="7"/>
        <v/>
      </c>
      <c r="Z73" s="41" t="str">
        <f t="shared" si="7"/>
        <v/>
      </c>
      <c r="AA73" s="41" t="str">
        <f t="shared" si="7"/>
        <v/>
      </c>
      <c r="AB73" s="41" t="str">
        <f t="shared" si="7"/>
        <v/>
      </c>
      <c r="AC73" s="48" t="str">
        <f t="shared" si="7"/>
        <v/>
      </c>
    </row>
    <row r="74" spans="1:29" x14ac:dyDescent="0.35">
      <c r="A74"/>
      <c r="B74" s="55"/>
      <c r="D74" s="56"/>
      <c r="F74" s="47" t="str">
        <f t="shared" si="8"/>
        <v/>
      </c>
      <c r="G74" s="41" t="str">
        <f t="shared" si="8"/>
        <v/>
      </c>
      <c r="H74" s="41" t="str">
        <f t="shared" si="8"/>
        <v/>
      </c>
      <c r="I74" s="41" t="str">
        <f t="shared" si="8"/>
        <v/>
      </c>
      <c r="J74" s="41" t="str">
        <f t="shared" si="8"/>
        <v/>
      </c>
      <c r="K74" s="41" t="str">
        <f t="shared" si="8"/>
        <v/>
      </c>
      <c r="L74" s="41" t="str">
        <f t="shared" si="8"/>
        <v/>
      </c>
      <c r="M74" s="41" t="str">
        <f t="shared" si="8"/>
        <v/>
      </c>
      <c r="N74" s="41" t="str">
        <f t="shared" si="8"/>
        <v/>
      </c>
      <c r="O74" s="41" t="str">
        <f t="shared" si="8"/>
        <v/>
      </c>
      <c r="P74" s="41" t="str">
        <f t="shared" si="7"/>
        <v/>
      </c>
      <c r="Q74" s="41" t="str">
        <f t="shared" si="7"/>
        <v/>
      </c>
      <c r="R74" s="41" t="str">
        <f t="shared" si="7"/>
        <v/>
      </c>
      <c r="S74" s="41" t="str">
        <f t="shared" si="7"/>
        <v/>
      </c>
      <c r="T74" s="41" t="str">
        <f t="shared" si="7"/>
        <v/>
      </c>
      <c r="U74" s="41" t="str">
        <f t="shared" si="7"/>
        <v/>
      </c>
      <c r="V74" s="41" t="str">
        <f t="shared" si="7"/>
        <v/>
      </c>
      <c r="W74" s="41" t="str">
        <f t="shared" si="7"/>
        <v/>
      </c>
      <c r="X74" s="41" t="str">
        <f t="shared" si="7"/>
        <v/>
      </c>
      <c r="Y74" s="41" t="str">
        <f t="shared" si="7"/>
        <v/>
      </c>
      <c r="Z74" s="41" t="str">
        <f t="shared" si="7"/>
        <v/>
      </c>
      <c r="AA74" s="41" t="str">
        <f t="shared" si="7"/>
        <v/>
      </c>
      <c r="AB74" s="41" t="str">
        <f t="shared" si="7"/>
        <v/>
      </c>
      <c r="AC74" s="48" t="str">
        <f t="shared" si="7"/>
        <v/>
      </c>
    </row>
    <row r="75" spans="1:29" x14ac:dyDescent="0.35">
      <c r="A75"/>
      <c r="B75" s="55"/>
      <c r="D75" s="56"/>
      <c r="F75" s="47" t="str">
        <f t="shared" si="8"/>
        <v/>
      </c>
      <c r="G75" s="41" t="str">
        <f t="shared" si="8"/>
        <v/>
      </c>
      <c r="H75" s="41" t="str">
        <f t="shared" si="8"/>
        <v/>
      </c>
      <c r="I75" s="41" t="str">
        <f t="shared" si="8"/>
        <v/>
      </c>
      <c r="J75" s="41" t="str">
        <f t="shared" si="8"/>
        <v/>
      </c>
      <c r="K75" s="41" t="str">
        <f t="shared" si="8"/>
        <v/>
      </c>
      <c r="L75" s="41" t="str">
        <f t="shared" si="8"/>
        <v/>
      </c>
      <c r="M75" s="41" t="str">
        <f t="shared" si="8"/>
        <v/>
      </c>
      <c r="N75" s="41" t="str">
        <f t="shared" si="8"/>
        <v/>
      </c>
      <c r="O75" s="41" t="str">
        <f t="shared" si="8"/>
        <v/>
      </c>
      <c r="P75" s="41" t="str">
        <f t="shared" si="7"/>
        <v/>
      </c>
      <c r="Q75" s="41" t="str">
        <f t="shared" si="7"/>
        <v/>
      </c>
      <c r="R75" s="41" t="str">
        <f t="shared" si="7"/>
        <v/>
      </c>
      <c r="S75" s="41" t="str">
        <f t="shared" si="7"/>
        <v/>
      </c>
      <c r="T75" s="41" t="str">
        <f t="shared" si="7"/>
        <v/>
      </c>
      <c r="U75" s="41" t="str">
        <f t="shared" si="7"/>
        <v/>
      </c>
      <c r="V75" s="41" t="str">
        <f t="shared" si="7"/>
        <v/>
      </c>
      <c r="W75" s="41" t="str">
        <f t="shared" si="7"/>
        <v/>
      </c>
      <c r="X75" s="41" t="str">
        <f t="shared" si="7"/>
        <v/>
      </c>
      <c r="Y75" s="41" t="str">
        <f t="shared" si="7"/>
        <v/>
      </c>
      <c r="Z75" s="41" t="str">
        <f t="shared" si="7"/>
        <v/>
      </c>
      <c r="AA75" s="41" t="str">
        <f t="shared" si="7"/>
        <v/>
      </c>
      <c r="AB75" s="41" t="str">
        <f t="shared" si="7"/>
        <v/>
      </c>
      <c r="AC75" s="48" t="str">
        <f t="shared" si="7"/>
        <v/>
      </c>
    </row>
    <row r="76" spans="1:29" x14ac:dyDescent="0.35">
      <c r="A76"/>
      <c r="B76" s="55"/>
      <c r="D76" s="56"/>
      <c r="F76" s="47" t="str">
        <f t="shared" si="8"/>
        <v/>
      </c>
      <c r="G76" s="41" t="str">
        <f t="shared" si="8"/>
        <v/>
      </c>
      <c r="H76" s="41" t="str">
        <f t="shared" si="8"/>
        <v/>
      </c>
      <c r="I76" s="41" t="str">
        <f t="shared" si="8"/>
        <v/>
      </c>
      <c r="J76" s="41" t="str">
        <f t="shared" si="8"/>
        <v/>
      </c>
      <c r="K76" s="41" t="str">
        <f t="shared" si="8"/>
        <v/>
      </c>
      <c r="L76" s="41" t="str">
        <f t="shared" si="8"/>
        <v/>
      </c>
      <c r="M76" s="41" t="str">
        <f t="shared" si="8"/>
        <v/>
      </c>
      <c r="N76" s="41" t="str">
        <f t="shared" si="8"/>
        <v/>
      </c>
      <c r="O76" s="41" t="str">
        <f t="shared" si="8"/>
        <v/>
      </c>
      <c r="P76" s="41" t="str">
        <f t="shared" si="7"/>
        <v/>
      </c>
      <c r="Q76" s="41" t="str">
        <f t="shared" si="7"/>
        <v/>
      </c>
      <c r="R76" s="41" t="str">
        <f t="shared" si="7"/>
        <v/>
      </c>
      <c r="S76" s="41" t="str">
        <f t="shared" si="7"/>
        <v/>
      </c>
      <c r="T76" s="41" t="str">
        <f t="shared" si="7"/>
        <v/>
      </c>
      <c r="U76" s="41" t="str">
        <f t="shared" si="7"/>
        <v/>
      </c>
      <c r="V76" s="41" t="str">
        <f t="shared" si="7"/>
        <v/>
      </c>
      <c r="W76" s="41" t="str">
        <f t="shared" si="7"/>
        <v/>
      </c>
      <c r="X76" s="41" t="str">
        <f t="shared" si="7"/>
        <v/>
      </c>
      <c r="Y76" s="41" t="str">
        <f t="shared" si="7"/>
        <v/>
      </c>
      <c r="Z76" s="41" t="str">
        <f t="shared" si="7"/>
        <v/>
      </c>
      <c r="AA76" s="41" t="str">
        <f t="shared" si="7"/>
        <v/>
      </c>
      <c r="AB76" s="41" t="str">
        <f t="shared" si="7"/>
        <v/>
      </c>
      <c r="AC76" s="48" t="str">
        <f t="shared" si="7"/>
        <v/>
      </c>
    </row>
    <row r="77" spans="1:29" x14ac:dyDescent="0.35">
      <c r="A77"/>
      <c r="B77" s="55"/>
      <c r="D77" s="56"/>
      <c r="F77" s="47" t="str">
        <f t="shared" si="8"/>
        <v/>
      </c>
      <c r="G77" s="41" t="str">
        <f t="shared" si="8"/>
        <v/>
      </c>
      <c r="H77" s="41" t="str">
        <f t="shared" si="8"/>
        <v/>
      </c>
      <c r="I77" s="41" t="str">
        <f t="shared" si="8"/>
        <v/>
      </c>
      <c r="J77" s="41" t="str">
        <f t="shared" si="8"/>
        <v/>
      </c>
      <c r="K77" s="41" t="str">
        <f t="shared" si="8"/>
        <v/>
      </c>
      <c r="L77" s="41" t="str">
        <f t="shared" si="8"/>
        <v/>
      </c>
      <c r="M77" s="41" t="str">
        <f t="shared" si="8"/>
        <v/>
      </c>
      <c r="N77" s="41" t="str">
        <f t="shared" si="8"/>
        <v/>
      </c>
      <c r="O77" s="41" t="str">
        <f t="shared" si="8"/>
        <v/>
      </c>
      <c r="P77" s="41" t="str">
        <f t="shared" si="7"/>
        <v/>
      </c>
      <c r="Q77" s="41" t="str">
        <f t="shared" si="7"/>
        <v/>
      </c>
      <c r="R77" s="41" t="str">
        <f t="shared" si="7"/>
        <v/>
      </c>
      <c r="S77" s="41" t="str">
        <f t="shared" si="7"/>
        <v/>
      </c>
      <c r="T77" s="41" t="str">
        <f t="shared" si="7"/>
        <v/>
      </c>
      <c r="U77" s="41" t="str">
        <f t="shared" si="7"/>
        <v/>
      </c>
      <c r="V77" s="41" t="str">
        <f t="shared" si="7"/>
        <v/>
      </c>
      <c r="W77" s="41" t="str">
        <f t="shared" si="7"/>
        <v/>
      </c>
      <c r="X77" s="41" t="str">
        <f t="shared" si="7"/>
        <v/>
      </c>
      <c r="Y77" s="41" t="str">
        <f t="shared" si="7"/>
        <v/>
      </c>
      <c r="Z77" s="41" t="str">
        <f t="shared" si="7"/>
        <v/>
      </c>
      <c r="AA77" s="41" t="str">
        <f t="shared" si="7"/>
        <v/>
      </c>
      <c r="AB77" s="41" t="str">
        <f t="shared" si="7"/>
        <v/>
      </c>
      <c r="AC77" s="48" t="str">
        <f t="shared" si="7"/>
        <v/>
      </c>
    </row>
    <row r="78" spans="1:29" x14ac:dyDescent="0.35">
      <c r="A78"/>
      <c r="B78" s="55"/>
      <c r="D78" s="56"/>
      <c r="F78" s="47" t="str">
        <f t="shared" si="8"/>
        <v/>
      </c>
      <c r="G78" s="41" t="str">
        <f t="shared" si="8"/>
        <v/>
      </c>
      <c r="H78" s="41" t="str">
        <f t="shared" si="8"/>
        <v/>
      </c>
      <c r="I78" s="41" t="str">
        <f t="shared" si="8"/>
        <v/>
      </c>
      <c r="J78" s="41" t="str">
        <f t="shared" si="8"/>
        <v/>
      </c>
      <c r="K78" s="41" t="str">
        <f t="shared" si="8"/>
        <v/>
      </c>
      <c r="L78" s="41" t="str">
        <f t="shared" si="8"/>
        <v/>
      </c>
      <c r="M78" s="41" t="str">
        <f t="shared" si="8"/>
        <v/>
      </c>
      <c r="N78" s="41" t="str">
        <f t="shared" si="8"/>
        <v/>
      </c>
      <c r="O78" s="41" t="str">
        <f t="shared" si="8"/>
        <v/>
      </c>
      <c r="P78" s="41" t="str">
        <f t="shared" si="7"/>
        <v/>
      </c>
      <c r="Q78" s="41" t="str">
        <f t="shared" ref="P78:AC96" si="9">IF(AND(Q$6&gt;=$C78, Q$6&lt;=$D78),"1","")</f>
        <v/>
      </c>
      <c r="R78" s="41" t="str">
        <f t="shared" si="9"/>
        <v/>
      </c>
      <c r="S78" s="41" t="str">
        <f t="shared" si="9"/>
        <v/>
      </c>
      <c r="T78" s="41" t="str">
        <f t="shared" si="9"/>
        <v/>
      </c>
      <c r="U78" s="41" t="str">
        <f t="shared" si="9"/>
        <v/>
      </c>
      <c r="V78" s="41" t="str">
        <f t="shared" si="9"/>
        <v/>
      </c>
      <c r="W78" s="41" t="str">
        <f t="shared" si="9"/>
        <v/>
      </c>
      <c r="X78" s="41" t="str">
        <f t="shared" si="9"/>
        <v/>
      </c>
      <c r="Y78" s="41" t="str">
        <f t="shared" si="9"/>
        <v/>
      </c>
      <c r="Z78" s="41" t="str">
        <f t="shared" si="9"/>
        <v/>
      </c>
      <c r="AA78" s="41" t="str">
        <f t="shared" si="9"/>
        <v/>
      </c>
      <c r="AB78" s="41" t="str">
        <f t="shared" si="9"/>
        <v/>
      </c>
      <c r="AC78" s="48" t="str">
        <f t="shared" si="9"/>
        <v/>
      </c>
    </row>
    <row r="79" spans="1:29" x14ac:dyDescent="0.35">
      <c r="A79"/>
      <c r="B79" s="55"/>
      <c r="D79" s="56"/>
      <c r="F79" s="47" t="str">
        <f t="shared" si="8"/>
        <v/>
      </c>
      <c r="G79" s="41" t="str">
        <f t="shared" si="8"/>
        <v/>
      </c>
      <c r="H79" s="41" t="str">
        <f t="shared" si="8"/>
        <v/>
      </c>
      <c r="I79" s="41" t="str">
        <f t="shared" si="8"/>
        <v/>
      </c>
      <c r="J79" s="41" t="str">
        <f t="shared" si="8"/>
        <v/>
      </c>
      <c r="K79" s="41" t="str">
        <f t="shared" si="8"/>
        <v/>
      </c>
      <c r="L79" s="41" t="str">
        <f t="shared" si="8"/>
        <v/>
      </c>
      <c r="M79" s="41" t="str">
        <f t="shared" si="8"/>
        <v/>
      </c>
      <c r="N79" s="41" t="str">
        <f t="shared" si="8"/>
        <v/>
      </c>
      <c r="O79" s="41" t="str">
        <f t="shared" si="8"/>
        <v/>
      </c>
      <c r="P79" s="41" t="str">
        <f t="shared" si="9"/>
        <v/>
      </c>
      <c r="Q79" s="41" t="str">
        <f t="shared" si="9"/>
        <v/>
      </c>
      <c r="R79" s="41" t="str">
        <f t="shared" si="9"/>
        <v/>
      </c>
      <c r="S79" s="41" t="str">
        <f t="shared" si="9"/>
        <v/>
      </c>
      <c r="T79" s="41" t="str">
        <f t="shared" si="9"/>
        <v/>
      </c>
      <c r="U79" s="41" t="str">
        <f t="shared" si="9"/>
        <v/>
      </c>
      <c r="V79" s="41" t="str">
        <f t="shared" si="9"/>
        <v/>
      </c>
      <c r="W79" s="41" t="str">
        <f t="shared" si="9"/>
        <v/>
      </c>
      <c r="X79" s="41" t="str">
        <f t="shared" si="9"/>
        <v/>
      </c>
      <c r="Y79" s="41" t="str">
        <f t="shared" si="9"/>
        <v/>
      </c>
      <c r="Z79" s="41" t="str">
        <f t="shared" si="9"/>
        <v/>
      </c>
      <c r="AA79" s="41" t="str">
        <f t="shared" si="9"/>
        <v/>
      </c>
      <c r="AB79" s="41" t="str">
        <f t="shared" si="9"/>
        <v/>
      </c>
      <c r="AC79" s="48" t="str">
        <f t="shared" si="9"/>
        <v/>
      </c>
    </row>
    <row r="80" spans="1:29" x14ac:dyDescent="0.35">
      <c r="A80"/>
      <c r="B80" s="55"/>
      <c r="D80" s="56"/>
      <c r="F80" s="47" t="str">
        <f t="shared" si="8"/>
        <v/>
      </c>
      <c r="G80" s="41" t="str">
        <f t="shared" si="8"/>
        <v/>
      </c>
      <c r="H80" s="41" t="str">
        <f t="shared" si="8"/>
        <v/>
      </c>
      <c r="I80" s="41" t="str">
        <f t="shared" si="8"/>
        <v/>
      </c>
      <c r="J80" s="41" t="str">
        <f t="shared" si="8"/>
        <v/>
      </c>
      <c r="K80" s="41" t="str">
        <f t="shared" si="8"/>
        <v/>
      </c>
      <c r="L80" s="41" t="str">
        <f t="shared" si="8"/>
        <v/>
      </c>
      <c r="M80" s="41" t="str">
        <f t="shared" si="8"/>
        <v/>
      </c>
      <c r="N80" s="41" t="str">
        <f t="shared" si="8"/>
        <v/>
      </c>
      <c r="O80" s="41" t="str">
        <f t="shared" si="8"/>
        <v/>
      </c>
      <c r="P80" s="41" t="str">
        <f t="shared" si="9"/>
        <v/>
      </c>
      <c r="Q80" s="41" t="str">
        <f t="shared" si="9"/>
        <v/>
      </c>
      <c r="R80" s="41" t="str">
        <f t="shared" si="9"/>
        <v/>
      </c>
      <c r="S80" s="41" t="str">
        <f t="shared" si="9"/>
        <v/>
      </c>
      <c r="T80" s="41" t="str">
        <f t="shared" si="9"/>
        <v/>
      </c>
      <c r="U80" s="41" t="str">
        <f t="shared" si="9"/>
        <v/>
      </c>
      <c r="V80" s="41" t="str">
        <f t="shared" si="9"/>
        <v/>
      </c>
      <c r="W80" s="41" t="str">
        <f t="shared" si="9"/>
        <v/>
      </c>
      <c r="X80" s="41" t="str">
        <f t="shared" si="9"/>
        <v/>
      </c>
      <c r="Y80" s="41" t="str">
        <f t="shared" si="9"/>
        <v/>
      </c>
      <c r="Z80" s="41" t="str">
        <f t="shared" si="9"/>
        <v/>
      </c>
      <c r="AA80" s="41" t="str">
        <f t="shared" si="9"/>
        <v/>
      </c>
      <c r="AB80" s="41" t="str">
        <f t="shared" si="9"/>
        <v/>
      </c>
      <c r="AC80" s="48" t="str">
        <f t="shared" si="9"/>
        <v/>
      </c>
    </row>
    <row r="81" spans="1:29" x14ac:dyDescent="0.35">
      <c r="A81"/>
      <c r="B81" s="55"/>
      <c r="D81" s="56"/>
      <c r="F81" s="47" t="str">
        <f t="shared" si="8"/>
        <v/>
      </c>
      <c r="G81" s="41" t="str">
        <f t="shared" si="8"/>
        <v/>
      </c>
      <c r="H81" s="41" t="str">
        <f t="shared" si="8"/>
        <v/>
      </c>
      <c r="I81" s="41" t="str">
        <f t="shared" si="8"/>
        <v/>
      </c>
      <c r="J81" s="41" t="str">
        <f t="shared" si="8"/>
        <v/>
      </c>
      <c r="K81" s="41" t="str">
        <f t="shared" si="8"/>
        <v/>
      </c>
      <c r="L81" s="41" t="str">
        <f t="shared" si="8"/>
        <v/>
      </c>
      <c r="M81" s="41" t="str">
        <f t="shared" si="8"/>
        <v/>
      </c>
      <c r="N81" s="41" t="str">
        <f t="shared" si="8"/>
        <v/>
      </c>
      <c r="O81" s="41" t="str">
        <f t="shared" si="8"/>
        <v/>
      </c>
      <c r="P81" s="41" t="str">
        <f t="shared" si="9"/>
        <v/>
      </c>
      <c r="Q81" s="41" t="str">
        <f t="shared" si="9"/>
        <v/>
      </c>
      <c r="R81" s="41" t="str">
        <f t="shared" si="9"/>
        <v/>
      </c>
      <c r="S81" s="41" t="str">
        <f t="shared" si="9"/>
        <v/>
      </c>
      <c r="T81" s="41" t="str">
        <f t="shared" si="9"/>
        <v/>
      </c>
      <c r="U81" s="41" t="str">
        <f t="shared" si="9"/>
        <v/>
      </c>
      <c r="V81" s="41" t="str">
        <f t="shared" si="9"/>
        <v/>
      </c>
      <c r="W81" s="41" t="str">
        <f t="shared" si="9"/>
        <v/>
      </c>
      <c r="X81" s="41" t="str">
        <f t="shared" si="9"/>
        <v/>
      </c>
      <c r="Y81" s="41" t="str">
        <f t="shared" si="9"/>
        <v/>
      </c>
      <c r="Z81" s="41" t="str">
        <f t="shared" si="9"/>
        <v/>
      </c>
      <c r="AA81" s="41" t="str">
        <f t="shared" si="9"/>
        <v/>
      </c>
      <c r="AB81" s="41" t="str">
        <f t="shared" si="9"/>
        <v/>
      </c>
      <c r="AC81" s="48" t="str">
        <f t="shared" si="9"/>
        <v/>
      </c>
    </row>
    <row r="82" spans="1:29" x14ac:dyDescent="0.35">
      <c r="A82"/>
      <c r="B82" s="55"/>
      <c r="D82" s="56"/>
      <c r="F82" s="47" t="str">
        <f t="shared" si="8"/>
        <v/>
      </c>
      <c r="G82" s="41" t="str">
        <f t="shared" si="8"/>
        <v/>
      </c>
      <c r="H82" s="41" t="str">
        <f t="shared" si="8"/>
        <v/>
      </c>
      <c r="I82" s="41" t="str">
        <f t="shared" si="8"/>
        <v/>
      </c>
      <c r="J82" s="41" t="str">
        <f t="shared" si="8"/>
        <v/>
      </c>
      <c r="K82" s="41" t="str">
        <f t="shared" si="8"/>
        <v/>
      </c>
      <c r="L82" s="41" t="str">
        <f t="shared" si="8"/>
        <v/>
      </c>
      <c r="M82" s="41" t="str">
        <f t="shared" si="8"/>
        <v/>
      </c>
      <c r="N82" s="41" t="str">
        <f t="shared" si="8"/>
        <v/>
      </c>
      <c r="O82" s="41" t="str">
        <f t="shared" si="8"/>
        <v/>
      </c>
      <c r="P82" s="41" t="str">
        <f t="shared" si="9"/>
        <v/>
      </c>
      <c r="Q82" s="41" t="str">
        <f t="shared" si="9"/>
        <v/>
      </c>
      <c r="R82" s="41" t="str">
        <f t="shared" si="9"/>
        <v/>
      </c>
      <c r="S82" s="41" t="str">
        <f t="shared" si="9"/>
        <v/>
      </c>
      <c r="T82" s="41" t="str">
        <f t="shared" si="9"/>
        <v/>
      </c>
      <c r="U82" s="41" t="str">
        <f t="shared" si="9"/>
        <v/>
      </c>
      <c r="V82" s="41" t="str">
        <f t="shared" si="9"/>
        <v/>
      </c>
      <c r="W82" s="41" t="str">
        <f t="shared" si="9"/>
        <v/>
      </c>
      <c r="X82" s="41" t="str">
        <f t="shared" si="9"/>
        <v/>
      </c>
      <c r="Y82" s="41" t="str">
        <f t="shared" si="9"/>
        <v/>
      </c>
      <c r="Z82" s="41" t="str">
        <f t="shared" si="9"/>
        <v/>
      </c>
      <c r="AA82" s="41" t="str">
        <f t="shared" si="9"/>
        <v/>
      </c>
      <c r="AB82" s="41" t="str">
        <f t="shared" si="9"/>
        <v/>
      </c>
      <c r="AC82" s="48" t="str">
        <f t="shared" si="9"/>
        <v/>
      </c>
    </row>
    <row r="83" spans="1:29" x14ac:dyDescent="0.35">
      <c r="A83"/>
      <c r="B83" s="55"/>
      <c r="D83" s="56"/>
      <c r="F83" s="47" t="str">
        <f t="shared" si="8"/>
        <v/>
      </c>
      <c r="G83" s="41" t="str">
        <f t="shared" si="8"/>
        <v/>
      </c>
      <c r="H83" s="41" t="str">
        <f t="shared" si="8"/>
        <v/>
      </c>
      <c r="I83" s="41" t="str">
        <f t="shared" si="8"/>
        <v/>
      </c>
      <c r="J83" s="41" t="str">
        <f t="shared" si="8"/>
        <v/>
      </c>
      <c r="K83" s="41" t="str">
        <f t="shared" si="8"/>
        <v/>
      </c>
      <c r="L83" s="41" t="str">
        <f t="shared" si="8"/>
        <v/>
      </c>
      <c r="M83" s="41" t="str">
        <f t="shared" si="8"/>
        <v/>
      </c>
      <c r="N83" s="41" t="str">
        <f t="shared" si="8"/>
        <v/>
      </c>
      <c r="O83" s="41" t="str">
        <f t="shared" si="8"/>
        <v/>
      </c>
      <c r="P83" s="41" t="str">
        <f t="shared" si="9"/>
        <v/>
      </c>
      <c r="Q83" s="41" t="str">
        <f t="shared" si="9"/>
        <v/>
      </c>
      <c r="R83" s="41" t="str">
        <f t="shared" si="9"/>
        <v/>
      </c>
      <c r="S83" s="41" t="str">
        <f t="shared" si="9"/>
        <v/>
      </c>
      <c r="T83" s="41" t="str">
        <f t="shared" si="9"/>
        <v/>
      </c>
      <c r="U83" s="41" t="str">
        <f t="shared" si="9"/>
        <v/>
      </c>
      <c r="V83" s="41" t="str">
        <f t="shared" si="9"/>
        <v/>
      </c>
      <c r="W83" s="41" t="str">
        <f t="shared" si="9"/>
        <v/>
      </c>
      <c r="X83" s="41" t="str">
        <f t="shared" si="9"/>
        <v/>
      </c>
      <c r="Y83" s="41" t="str">
        <f t="shared" si="9"/>
        <v/>
      </c>
      <c r="Z83" s="41" t="str">
        <f t="shared" si="9"/>
        <v/>
      </c>
      <c r="AA83" s="41" t="str">
        <f t="shared" si="9"/>
        <v/>
      </c>
      <c r="AB83" s="41" t="str">
        <f t="shared" si="9"/>
        <v/>
      </c>
      <c r="AC83" s="48" t="str">
        <f t="shared" si="9"/>
        <v/>
      </c>
    </row>
    <row r="84" spans="1:29" x14ac:dyDescent="0.35">
      <c r="A84"/>
      <c r="B84" s="55"/>
      <c r="D84" s="56"/>
      <c r="F84" s="47" t="str">
        <f t="shared" si="8"/>
        <v/>
      </c>
      <c r="G84" s="41" t="str">
        <f t="shared" si="8"/>
        <v/>
      </c>
      <c r="H84" s="41" t="str">
        <f t="shared" si="8"/>
        <v/>
      </c>
      <c r="I84" s="41" t="str">
        <f t="shared" si="8"/>
        <v/>
      </c>
      <c r="J84" s="41" t="str">
        <f t="shared" si="8"/>
        <v/>
      </c>
      <c r="K84" s="41" t="str">
        <f t="shared" si="8"/>
        <v/>
      </c>
      <c r="L84" s="41" t="str">
        <f t="shared" si="8"/>
        <v/>
      </c>
      <c r="M84" s="41" t="str">
        <f t="shared" si="8"/>
        <v/>
      </c>
      <c r="N84" s="41" t="str">
        <f t="shared" si="8"/>
        <v/>
      </c>
      <c r="O84" s="41" t="str">
        <f t="shared" si="8"/>
        <v/>
      </c>
      <c r="P84" s="41" t="str">
        <f t="shared" si="9"/>
        <v/>
      </c>
      <c r="Q84" s="41" t="str">
        <f t="shared" si="9"/>
        <v/>
      </c>
      <c r="R84" s="41" t="str">
        <f t="shared" si="9"/>
        <v/>
      </c>
      <c r="S84" s="41" t="str">
        <f t="shared" si="9"/>
        <v/>
      </c>
      <c r="T84" s="41" t="str">
        <f t="shared" si="9"/>
        <v/>
      </c>
      <c r="U84" s="41" t="str">
        <f t="shared" si="9"/>
        <v/>
      </c>
      <c r="V84" s="41" t="str">
        <f t="shared" si="9"/>
        <v/>
      </c>
      <c r="W84" s="41" t="str">
        <f t="shared" si="9"/>
        <v/>
      </c>
      <c r="X84" s="41" t="str">
        <f t="shared" si="9"/>
        <v/>
      </c>
      <c r="Y84" s="41" t="str">
        <f t="shared" si="9"/>
        <v/>
      </c>
      <c r="Z84" s="41" t="str">
        <f t="shared" si="9"/>
        <v/>
      </c>
      <c r="AA84" s="41" t="str">
        <f t="shared" si="9"/>
        <v/>
      </c>
      <c r="AB84" s="41" t="str">
        <f t="shared" si="9"/>
        <v/>
      </c>
      <c r="AC84" s="48" t="str">
        <f t="shared" si="9"/>
        <v/>
      </c>
    </row>
    <row r="85" spans="1:29" x14ac:dyDescent="0.35">
      <c r="A85"/>
      <c r="B85" s="55"/>
      <c r="D85" s="56"/>
      <c r="F85" s="47" t="str">
        <f t="shared" si="8"/>
        <v/>
      </c>
      <c r="G85" s="41" t="str">
        <f t="shared" si="8"/>
        <v/>
      </c>
      <c r="H85" s="41" t="str">
        <f t="shared" si="8"/>
        <v/>
      </c>
      <c r="I85" s="41" t="str">
        <f t="shared" si="8"/>
        <v/>
      </c>
      <c r="J85" s="41" t="str">
        <f t="shared" si="8"/>
        <v/>
      </c>
      <c r="K85" s="41" t="str">
        <f t="shared" si="8"/>
        <v/>
      </c>
      <c r="L85" s="41" t="str">
        <f t="shared" si="8"/>
        <v/>
      </c>
      <c r="M85" s="41" t="str">
        <f t="shared" si="8"/>
        <v/>
      </c>
      <c r="N85" s="41" t="str">
        <f t="shared" si="8"/>
        <v/>
      </c>
      <c r="O85" s="41" t="str">
        <f t="shared" si="8"/>
        <v/>
      </c>
      <c r="P85" s="41" t="str">
        <f t="shared" si="9"/>
        <v/>
      </c>
      <c r="Q85" s="41" t="str">
        <f t="shared" si="9"/>
        <v/>
      </c>
      <c r="R85" s="41" t="str">
        <f t="shared" si="9"/>
        <v/>
      </c>
      <c r="S85" s="41" t="str">
        <f t="shared" si="9"/>
        <v/>
      </c>
      <c r="T85" s="41" t="str">
        <f t="shared" si="9"/>
        <v/>
      </c>
      <c r="U85" s="41" t="str">
        <f t="shared" si="9"/>
        <v/>
      </c>
      <c r="V85" s="41" t="str">
        <f t="shared" si="9"/>
        <v/>
      </c>
      <c r="W85" s="41" t="str">
        <f t="shared" si="9"/>
        <v/>
      </c>
      <c r="X85" s="41" t="str">
        <f t="shared" si="9"/>
        <v/>
      </c>
      <c r="Y85" s="41" t="str">
        <f t="shared" si="9"/>
        <v/>
      </c>
      <c r="Z85" s="41" t="str">
        <f t="shared" si="9"/>
        <v/>
      </c>
      <c r="AA85" s="41" t="str">
        <f t="shared" si="9"/>
        <v/>
      </c>
      <c r="AB85" s="41" t="str">
        <f t="shared" si="9"/>
        <v/>
      </c>
      <c r="AC85" s="48" t="str">
        <f t="shared" si="9"/>
        <v/>
      </c>
    </row>
    <row r="86" spans="1:29" x14ac:dyDescent="0.35">
      <c r="A86"/>
      <c r="B86" s="55"/>
      <c r="D86" s="56"/>
      <c r="F86" s="47" t="str">
        <f t="shared" si="8"/>
        <v/>
      </c>
      <c r="G86" s="41" t="str">
        <f t="shared" si="8"/>
        <v/>
      </c>
      <c r="H86" s="41" t="str">
        <f t="shared" si="8"/>
        <v/>
      </c>
      <c r="I86" s="41" t="str">
        <f t="shared" si="8"/>
        <v/>
      </c>
      <c r="J86" s="41" t="str">
        <f t="shared" si="8"/>
        <v/>
      </c>
      <c r="K86" s="41" t="str">
        <f t="shared" si="8"/>
        <v/>
      </c>
      <c r="L86" s="41" t="str">
        <f t="shared" si="8"/>
        <v/>
      </c>
      <c r="M86" s="41" t="str">
        <f t="shared" si="8"/>
        <v/>
      </c>
      <c r="N86" s="41" t="str">
        <f t="shared" si="8"/>
        <v/>
      </c>
      <c r="O86" s="41" t="str">
        <f t="shared" si="8"/>
        <v/>
      </c>
      <c r="P86" s="41" t="str">
        <f t="shared" si="9"/>
        <v/>
      </c>
      <c r="Q86" s="41" t="str">
        <f t="shared" si="9"/>
        <v/>
      </c>
      <c r="R86" s="41" t="str">
        <f t="shared" si="9"/>
        <v/>
      </c>
      <c r="S86" s="41" t="str">
        <f t="shared" si="9"/>
        <v/>
      </c>
      <c r="T86" s="41" t="str">
        <f t="shared" si="9"/>
        <v/>
      </c>
      <c r="U86" s="41" t="str">
        <f t="shared" si="9"/>
        <v/>
      </c>
      <c r="V86" s="41" t="str">
        <f t="shared" si="9"/>
        <v/>
      </c>
      <c r="W86" s="41" t="str">
        <f t="shared" si="9"/>
        <v/>
      </c>
      <c r="X86" s="41" t="str">
        <f t="shared" si="9"/>
        <v/>
      </c>
      <c r="Y86" s="41" t="str">
        <f t="shared" si="9"/>
        <v/>
      </c>
      <c r="Z86" s="41" t="str">
        <f t="shared" si="9"/>
        <v/>
      </c>
      <c r="AA86" s="41" t="str">
        <f t="shared" si="9"/>
        <v/>
      </c>
      <c r="AB86" s="41" t="str">
        <f t="shared" si="9"/>
        <v/>
      </c>
      <c r="AC86" s="48" t="str">
        <f t="shared" si="9"/>
        <v/>
      </c>
    </row>
    <row r="87" spans="1:29" x14ac:dyDescent="0.35">
      <c r="A87"/>
      <c r="B87" s="55"/>
      <c r="D87" s="56"/>
      <c r="F87" s="47" t="str">
        <f t="shared" si="8"/>
        <v/>
      </c>
      <c r="G87" s="41" t="str">
        <f t="shared" si="8"/>
        <v/>
      </c>
      <c r="H87" s="41" t="str">
        <f t="shared" si="8"/>
        <v/>
      </c>
      <c r="I87" s="41" t="str">
        <f t="shared" si="8"/>
        <v/>
      </c>
      <c r="J87" s="41" t="str">
        <f t="shared" si="8"/>
        <v/>
      </c>
      <c r="K87" s="41" t="str">
        <f t="shared" si="8"/>
        <v/>
      </c>
      <c r="L87" s="41" t="str">
        <f t="shared" si="8"/>
        <v/>
      </c>
      <c r="M87" s="41" t="str">
        <f t="shared" si="8"/>
        <v/>
      </c>
      <c r="N87" s="41" t="str">
        <f t="shared" si="8"/>
        <v/>
      </c>
      <c r="O87" s="41" t="str">
        <f t="shared" si="8"/>
        <v/>
      </c>
      <c r="P87" s="41" t="str">
        <f t="shared" si="9"/>
        <v/>
      </c>
      <c r="Q87" s="41" t="str">
        <f t="shared" si="9"/>
        <v/>
      </c>
      <c r="R87" s="41" t="str">
        <f t="shared" si="9"/>
        <v/>
      </c>
      <c r="S87" s="41" t="str">
        <f t="shared" si="9"/>
        <v/>
      </c>
      <c r="T87" s="41" t="str">
        <f t="shared" si="9"/>
        <v/>
      </c>
      <c r="U87" s="41" t="str">
        <f t="shared" si="9"/>
        <v/>
      </c>
      <c r="V87" s="41" t="str">
        <f t="shared" si="9"/>
        <v/>
      </c>
      <c r="W87" s="41" t="str">
        <f t="shared" si="9"/>
        <v/>
      </c>
      <c r="X87" s="41" t="str">
        <f t="shared" si="9"/>
        <v/>
      </c>
      <c r="Y87" s="41" t="str">
        <f t="shared" si="9"/>
        <v/>
      </c>
      <c r="Z87" s="41" t="str">
        <f t="shared" si="9"/>
        <v/>
      </c>
      <c r="AA87" s="41" t="str">
        <f t="shared" si="9"/>
        <v/>
      </c>
      <c r="AB87" s="41" t="str">
        <f t="shared" si="9"/>
        <v/>
      </c>
      <c r="AC87" s="48" t="str">
        <f t="shared" si="9"/>
        <v/>
      </c>
    </row>
    <row r="88" spans="1:29" x14ac:dyDescent="0.35">
      <c r="A88"/>
      <c r="B88" s="55"/>
      <c r="D88" s="56"/>
      <c r="F88" s="47" t="str">
        <f t="shared" si="8"/>
        <v/>
      </c>
      <c r="G88" s="41" t="str">
        <f t="shared" si="8"/>
        <v/>
      </c>
      <c r="H88" s="41" t="str">
        <f t="shared" si="8"/>
        <v/>
      </c>
      <c r="I88" s="41" t="str">
        <f t="shared" si="8"/>
        <v/>
      </c>
      <c r="J88" s="41" t="str">
        <f t="shared" si="8"/>
        <v/>
      </c>
      <c r="K88" s="41" t="str">
        <f t="shared" si="8"/>
        <v/>
      </c>
      <c r="L88" s="41" t="str">
        <f t="shared" si="8"/>
        <v/>
      </c>
      <c r="M88" s="41" t="str">
        <f t="shared" si="8"/>
        <v/>
      </c>
      <c r="N88" s="41" t="str">
        <f t="shared" si="8"/>
        <v/>
      </c>
      <c r="O88" s="41" t="str">
        <f t="shared" si="8"/>
        <v/>
      </c>
      <c r="P88" s="41" t="str">
        <f t="shared" si="9"/>
        <v/>
      </c>
      <c r="Q88" s="41" t="str">
        <f t="shared" si="9"/>
        <v/>
      </c>
      <c r="R88" s="41" t="str">
        <f t="shared" si="9"/>
        <v/>
      </c>
      <c r="S88" s="41" t="str">
        <f t="shared" si="9"/>
        <v/>
      </c>
      <c r="T88" s="41" t="str">
        <f t="shared" si="9"/>
        <v/>
      </c>
      <c r="U88" s="41" t="str">
        <f t="shared" si="9"/>
        <v/>
      </c>
      <c r="V88" s="41" t="str">
        <f t="shared" si="9"/>
        <v/>
      </c>
      <c r="W88" s="41" t="str">
        <f t="shared" si="9"/>
        <v/>
      </c>
      <c r="X88" s="41" t="str">
        <f t="shared" si="9"/>
        <v/>
      </c>
      <c r="Y88" s="41" t="str">
        <f t="shared" si="9"/>
        <v/>
      </c>
      <c r="Z88" s="41" t="str">
        <f t="shared" si="9"/>
        <v/>
      </c>
      <c r="AA88" s="41" t="str">
        <f t="shared" si="9"/>
        <v/>
      </c>
      <c r="AB88" s="41" t="str">
        <f t="shared" si="9"/>
        <v/>
      </c>
      <c r="AC88" s="48" t="str">
        <f t="shared" si="9"/>
        <v/>
      </c>
    </row>
    <row r="89" spans="1:29" x14ac:dyDescent="0.35">
      <c r="A89"/>
      <c r="B89" s="55"/>
      <c r="D89" s="56"/>
      <c r="F89" s="47" t="str">
        <f t="shared" si="8"/>
        <v/>
      </c>
      <c r="G89" s="41" t="str">
        <f t="shared" si="8"/>
        <v/>
      </c>
      <c r="H89" s="41" t="str">
        <f t="shared" si="8"/>
        <v/>
      </c>
      <c r="I89" s="41" t="str">
        <f t="shared" si="8"/>
        <v/>
      </c>
      <c r="J89" s="41" t="str">
        <f t="shared" si="8"/>
        <v/>
      </c>
      <c r="K89" s="41" t="str">
        <f t="shared" si="8"/>
        <v/>
      </c>
      <c r="L89" s="41" t="str">
        <f t="shared" si="8"/>
        <v/>
      </c>
      <c r="M89" s="41" t="str">
        <f t="shared" si="8"/>
        <v/>
      </c>
      <c r="N89" s="41" t="str">
        <f t="shared" si="8"/>
        <v/>
      </c>
      <c r="O89" s="41" t="str">
        <f t="shared" si="8"/>
        <v/>
      </c>
      <c r="P89" s="41" t="str">
        <f t="shared" si="9"/>
        <v/>
      </c>
      <c r="Q89" s="41" t="str">
        <f t="shared" si="9"/>
        <v/>
      </c>
      <c r="R89" s="41" t="str">
        <f t="shared" si="9"/>
        <v/>
      </c>
      <c r="S89" s="41" t="str">
        <f t="shared" si="9"/>
        <v/>
      </c>
      <c r="T89" s="41" t="str">
        <f t="shared" si="9"/>
        <v/>
      </c>
      <c r="U89" s="41" t="str">
        <f t="shared" si="9"/>
        <v/>
      </c>
      <c r="V89" s="41" t="str">
        <f t="shared" si="9"/>
        <v/>
      </c>
      <c r="W89" s="41" t="str">
        <f t="shared" si="9"/>
        <v/>
      </c>
      <c r="X89" s="41" t="str">
        <f t="shared" si="9"/>
        <v/>
      </c>
      <c r="Y89" s="41" t="str">
        <f t="shared" si="9"/>
        <v/>
      </c>
      <c r="Z89" s="41" t="str">
        <f t="shared" si="9"/>
        <v/>
      </c>
      <c r="AA89" s="41" t="str">
        <f t="shared" si="9"/>
        <v/>
      </c>
      <c r="AB89" s="41" t="str">
        <f t="shared" si="9"/>
        <v/>
      </c>
      <c r="AC89" s="48" t="str">
        <f t="shared" si="9"/>
        <v/>
      </c>
    </row>
    <row r="90" spans="1:29" x14ac:dyDescent="0.35">
      <c r="A90"/>
      <c r="B90" s="55"/>
      <c r="D90" s="56"/>
      <c r="F90" s="47" t="str">
        <f t="shared" si="8"/>
        <v/>
      </c>
      <c r="G90" s="41" t="str">
        <f t="shared" si="8"/>
        <v/>
      </c>
      <c r="H90" s="41" t="str">
        <f t="shared" si="8"/>
        <v/>
      </c>
      <c r="I90" s="41" t="str">
        <f t="shared" si="8"/>
        <v/>
      </c>
      <c r="J90" s="41" t="str">
        <f t="shared" si="8"/>
        <v/>
      </c>
      <c r="K90" s="41" t="str">
        <f t="shared" si="8"/>
        <v/>
      </c>
      <c r="L90" s="41" t="str">
        <f t="shared" si="8"/>
        <v/>
      </c>
      <c r="M90" s="41" t="str">
        <f t="shared" si="8"/>
        <v/>
      </c>
      <c r="N90" s="41" t="str">
        <f t="shared" si="8"/>
        <v/>
      </c>
      <c r="O90" s="41" t="str">
        <f t="shared" si="8"/>
        <v/>
      </c>
      <c r="P90" s="41" t="str">
        <f t="shared" si="9"/>
        <v/>
      </c>
      <c r="Q90" s="41" t="str">
        <f t="shared" si="9"/>
        <v/>
      </c>
      <c r="R90" s="41" t="str">
        <f t="shared" si="9"/>
        <v/>
      </c>
      <c r="S90" s="41" t="str">
        <f t="shared" si="9"/>
        <v/>
      </c>
      <c r="T90" s="41" t="str">
        <f t="shared" si="9"/>
        <v/>
      </c>
      <c r="U90" s="41" t="str">
        <f t="shared" si="9"/>
        <v/>
      </c>
      <c r="V90" s="41" t="str">
        <f t="shared" si="9"/>
        <v/>
      </c>
      <c r="W90" s="41" t="str">
        <f t="shared" si="9"/>
        <v/>
      </c>
      <c r="X90" s="41" t="str">
        <f t="shared" si="9"/>
        <v/>
      </c>
      <c r="Y90" s="41" t="str">
        <f t="shared" si="9"/>
        <v/>
      </c>
      <c r="Z90" s="41" t="str">
        <f t="shared" si="9"/>
        <v/>
      </c>
      <c r="AA90" s="41" t="str">
        <f t="shared" si="9"/>
        <v/>
      </c>
      <c r="AB90" s="41" t="str">
        <f t="shared" si="9"/>
        <v/>
      </c>
      <c r="AC90" s="48" t="str">
        <f t="shared" si="9"/>
        <v/>
      </c>
    </row>
    <row r="91" spans="1:29" x14ac:dyDescent="0.35">
      <c r="A91"/>
      <c r="B91" s="55"/>
      <c r="D91" s="56"/>
      <c r="F91" s="47" t="str">
        <f t="shared" si="8"/>
        <v/>
      </c>
      <c r="G91" s="41" t="str">
        <f t="shared" si="8"/>
        <v/>
      </c>
      <c r="H91" s="41" t="str">
        <f t="shared" si="8"/>
        <v/>
      </c>
      <c r="I91" s="41" t="str">
        <f t="shared" si="8"/>
        <v/>
      </c>
      <c r="J91" s="41" t="str">
        <f t="shared" si="8"/>
        <v/>
      </c>
      <c r="K91" s="41" t="str">
        <f t="shared" si="8"/>
        <v/>
      </c>
      <c r="L91" s="41" t="str">
        <f t="shared" si="8"/>
        <v/>
      </c>
      <c r="M91" s="41" t="str">
        <f t="shared" si="8"/>
        <v/>
      </c>
      <c r="N91" s="41" t="str">
        <f t="shared" si="8"/>
        <v/>
      </c>
      <c r="O91" s="41" t="str">
        <f t="shared" si="8"/>
        <v/>
      </c>
      <c r="P91" s="41" t="str">
        <f t="shared" si="9"/>
        <v/>
      </c>
      <c r="Q91" s="41" t="str">
        <f t="shared" si="9"/>
        <v/>
      </c>
      <c r="R91" s="41" t="str">
        <f t="shared" si="9"/>
        <v/>
      </c>
      <c r="S91" s="41" t="str">
        <f t="shared" si="9"/>
        <v/>
      </c>
      <c r="T91" s="41" t="str">
        <f t="shared" si="9"/>
        <v/>
      </c>
      <c r="U91" s="41" t="str">
        <f t="shared" si="9"/>
        <v/>
      </c>
      <c r="V91" s="41" t="str">
        <f t="shared" si="9"/>
        <v/>
      </c>
      <c r="W91" s="41" t="str">
        <f t="shared" si="9"/>
        <v/>
      </c>
      <c r="X91" s="41" t="str">
        <f t="shared" si="9"/>
        <v/>
      </c>
      <c r="Y91" s="41" t="str">
        <f t="shared" si="9"/>
        <v/>
      </c>
      <c r="Z91" s="41" t="str">
        <f t="shared" si="9"/>
        <v/>
      </c>
      <c r="AA91" s="41" t="str">
        <f t="shared" si="9"/>
        <v/>
      </c>
      <c r="AB91" s="41" t="str">
        <f t="shared" si="9"/>
        <v/>
      </c>
      <c r="AC91" s="48" t="str">
        <f t="shared" si="9"/>
        <v/>
      </c>
    </row>
    <row r="92" spans="1:29" x14ac:dyDescent="0.35">
      <c r="A92"/>
      <c r="B92" s="55"/>
      <c r="D92" s="56"/>
      <c r="F92" s="47" t="str">
        <f t="shared" si="8"/>
        <v/>
      </c>
      <c r="G92" s="41" t="str">
        <f t="shared" si="8"/>
        <v/>
      </c>
      <c r="H92" s="41" t="str">
        <f t="shared" si="8"/>
        <v/>
      </c>
      <c r="I92" s="41" t="str">
        <f t="shared" si="8"/>
        <v/>
      </c>
      <c r="J92" s="41" t="str">
        <f t="shared" si="8"/>
        <v/>
      </c>
      <c r="K92" s="41" t="str">
        <f t="shared" si="8"/>
        <v/>
      </c>
      <c r="L92" s="41" t="str">
        <f t="shared" si="8"/>
        <v/>
      </c>
      <c r="M92" s="41" t="str">
        <f t="shared" si="8"/>
        <v/>
      </c>
      <c r="N92" s="41" t="str">
        <f t="shared" si="8"/>
        <v/>
      </c>
      <c r="O92" s="41" t="str">
        <f t="shared" si="8"/>
        <v/>
      </c>
      <c r="P92" s="41" t="str">
        <f t="shared" si="9"/>
        <v/>
      </c>
      <c r="Q92" s="41" t="str">
        <f t="shared" si="9"/>
        <v/>
      </c>
      <c r="R92" s="41" t="str">
        <f t="shared" si="9"/>
        <v/>
      </c>
      <c r="S92" s="41" t="str">
        <f t="shared" si="9"/>
        <v/>
      </c>
      <c r="T92" s="41" t="str">
        <f t="shared" si="9"/>
        <v/>
      </c>
      <c r="U92" s="41" t="str">
        <f t="shared" si="9"/>
        <v/>
      </c>
      <c r="V92" s="41" t="str">
        <f t="shared" si="9"/>
        <v/>
      </c>
      <c r="W92" s="41" t="str">
        <f t="shared" si="9"/>
        <v/>
      </c>
      <c r="X92" s="41" t="str">
        <f t="shared" si="9"/>
        <v/>
      </c>
      <c r="Y92" s="41" t="str">
        <f t="shared" si="9"/>
        <v/>
      </c>
      <c r="Z92" s="41" t="str">
        <f t="shared" si="9"/>
        <v/>
      </c>
      <c r="AA92" s="41" t="str">
        <f t="shared" si="9"/>
        <v/>
      </c>
      <c r="AB92" s="41" t="str">
        <f t="shared" si="9"/>
        <v/>
      </c>
      <c r="AC92" s="48" t="str">
        <f t="shared" si="9"/>
        <v/>
      </c>
    </row>
    <row r="93" spans="1:29" x14ac:dyDescent="0.35">
      <c r="A93"/>
      <c r="B93" s="55"/>
      <c r="D93" s="56"/>
      <c r="F93" s="47" t="str">
        <f t="shared" si="8"/>
        <v/>
      </c>
      <c r="G93" s="41" t="str">
        <f t="shared" si="8"/>
        <v/>
      </c>
      <c r="H93" s="41" t="str">
        <f t="shared" si="8"/>
        <v/>
      </c>
      <c r="I93" s="41" t="str">
        <f t="shared" si="8"/>
        <v/>
      </c>
      <c r="J93" s="41" t="str">
        <f t="shared" si="8"/>
        <v/>
      </c>
      <c r="K93" s="41" t="str">
        <f t="shared" si="8"/>
        <v/>
      </c>
      <c r="L93" s="41" t="str">
        <f t="shared" si="8"/>
        <v/>
      </c>
      <c r="M93" s="41" t="str">
        <f t="shared" si="8"/>
        <v/>
      </c>
      <c r="N93" s="41" t="str">
        <f t="shared" si="8"/>
        <v/>
      </c>
      <c r="O93" s="41" t="str">
        <f t="shared" si="8"/>
        <v/>
      </c>
      <c r="P93" s="41" t="str">
        <f t="shared" si="9"/>
        <v/>
      </c>
      <c r="Q93" s="41" t="str">
        <f t="shared" si="9"/>
        <v/>
      </c>
      <c r="R93" s="41" t="str">
        <f t="shared" si="9"/>
        <v/>
      </c>
      <c r="S93" s="41" t="str">
        <f t="shared" si="9"/>
        <v/>
      </c>
      <c r="T93" s="41" t="str">
        <f t="shared" si="9"/>
        <v/>
      </c>
      <c r="U93" s="41" t="str">
        <f t="shared" si="9"/>
        <v/>
      </c>
      <c r="V93" s="41" t="str">
        <f t="shared" si="9"/>
        <v/>
      </c>
      <c r="W93" s="41" t="str">
        <f t="shared" si="9"/>
        <v/>
      </c>
      <c r="X93" s="41" t="str">
        <f t="shared" si="9"/>
        <v/>
      </c>
      <c r="Y93" s="41" t="str">
        <f t="shared" si="9"/>
        <v/>
      </c>
      <c r="Z93" s="41" t="str">
        <f t="shared" si="9"/>
        <v/>
      </c>
      <c r="AA93" s="41" t="str">
        <f t="shared" si="9"/>
        <v/>
      </c>
      <c r="AB93" s="41" t="str">
        <f t="shared" si="9"/>
        <v/>
      </c>
      <c r="AC93" s="48" t="str">
        <f t="shared" si="9"/>
        <v/>
      </c>
    </row>
    <row r="94" spans="1:29" x14ac:dyDescent="0.35">
      <c r="A94"/>
      <c r="B94" s="55"/>
      <c r="D94" s="56"/>
      <c r="F94" s="47" t="str">
        <f t="shared" si="8"/>
        <v/>
      </c>
      <c r="G94" s="41" t="str">
        <f t="shared" si="8"/>
        <v/>
      </c>
      <c r="H94" s="41" t="str">
        <f t="shared" si="8"/>
        <v/>
      </c>
      <c r="I94" s="41" t="str">
        <f t="shared" si="8"/>
        <v/>
      </c>
      <c r="J94" s="41" t="str">
        <f t="shared" si="8"/>
        <v/>
      </c>
      <c r="K94" s="41" t="str">
        <f t="shared" si="8"/>
        <v/>
      </c>
      <c r="L94" s="41" t="str">
        <f t="shared" si="8"/>
        <v/>
      </c>
      <c r="M94" s="41" t="str">
        <f t="shared" si="8"/>
        <v/>
      </c>
      <c r="N94" s="41" t="str">
        <f t="shared" si="8"/>
        <v/>
      </c>
      <c r="O94" s="41" t="str">
        <f t="shared" si="8"/>
        <v/>
      </c>
      <c r="P94" s="41" t="str">
        <f t="shared" si="9"/>
        <v/>
      </c>
      <c r="Q94" s="41" t="str">
        <f t="shared" si="9"/>
        <v/>
      </c>
      <c r="R94" s="41" t="str">
        <f t="shared" si="9"/>
        <v/>
      </c>
      <c r="S94" s="41" t="str">
        <f t="shared" si="9"/>
        <v/>
      </c>
      <c r="T94" s="41" t="str">
        <f t="shared" si="9"/>
        <v/>
      </c>
      <c r="U94" s="41" t="str">
        <f t="shared" si="9"/>
        <v/>
      </c>
      <c r="V94" s="41" t="str">
        <f t="shared" si="9"/>
        <v/>
      </c>
      <c r="W94" s="41" t="str">
        <f t="shared" si="9"/>
        <v/>
      </c>
      <c r="X94" s="41" t="str">
        <f t="shared" si="9"/>
        <v/>
      </c>
      <c r="Y94" s="41" t="str">
        <f t="shared" si="9"/>
        <v/>
      </c>
      <c r="Z94" s="41" t="str">
        <f t="shared" si="9"/>
        <v/>
      </c>
      <c r="AA94" s="41" t="str">
        <f t="shared" si="9"/>
        <v/>
      </c>
      <c r="AB94" s="41" t="str">
        <f t="shared" si="9"/>
        <v/>
      </c>
      <c r="AC94" s="48" t="str">
        <f t="shared" si="9"/>
        <v/>
      </c>
    </row>
    <row r="95" spans="1:29" x14ac:dyDescent="0.35">
      <c r="A95"/>
      <c r="B95" s="55"/>
      <c r="D95" s="56"/>
      <c r="F95" s="47" t="str">
        <f t="shared" si="8"/>
        <v/>
      </c>
      <c r="G95" s="41" t="str">
        <f t="shared" si="8"/>
        <v/>
      </c>
      <c r="H95" s="41" t="str">
        <f t="shared" si="8"/>
        <v/>
      </c>
      <c r="I95" s="41" t="str">
        <f t="shared" si="8"/>
        <v/>
      </c>
      <c r="J95" s="41" t="str">
        <f t="shared" si="8"/>
        <v/>
      </c>
      <c r="K95" s="41" t="str">
        <f t="shared" si="8"/>
        <v/>
      </c>
      <c r="L95" s="41" t="str">
        <f t="shared" si="8"/>
        <v/>
      </c>
      <c r="M95" s="41" t="str">
        <f t="shared" si="8"/>
        <v/>
      </c>
      <c r="N95" s="41" t="str">
        <f t="shared" si="8"/>
        <v/>
      </c>
      <c r="O95" s="41" t="str">
        <f t="shared" si="8"/>
        <v/>
      </c>
      <c r="P95" s="41" t="str">
        <f t="shared" si="9"/>
        <v/>
      </c>
      <c r="Q95" s="41" t="str">
        <f t="shared" si="9"/>
        <v/>
      </c>
      <c r="R95" s="41" t="str">
        <f t="shared" si="9"/>
        <v/>
      </c>
      <c r="S95" s="41" t="str">
        <f t="shared" si="9"/>
        <v/>
      </c>
      <c r="T95" s="41" t="str">
        <f t="shared" si="9"/>
        <v/>
      </c>
      <c r="U95" s="41" t="str">
        <f t="shared" si="9"/>
        <v/>
      </c>
      <c r="V95" s="41" t="str">
        <f t="shared" si="9"/>
        <v/>
      </c>
      <c r="W95" s="41" t="str">
        <f t="shared" si="9"/>
        <v/>
      </c>
      <c r="X95" s="41" t="str">
        <f t="shared" si="9"/>
        <v/>
      </c>
      <c r="Y95" s="41" t="str">
        <f t="shared" si="9"/>
        <v/>
      </c>
      <c r="Z95" s="41" t="str">
        <f t="shared" si="9"/>
        <v/>
      </c>
      <c r="AA95" s="41" t="str">
        <f t="shared" si="9"/>
        <v/>
      </c>
      <c r="AB95" s="41" t="str">
        <f t="shared" si="9"/>
        <v/>
      </c>
      <c r="AC95" s="48" t="str">
        <f t="shared" si="9"/>
        <v/>
      </c>
    </row>
    <row r="96" spans="1:29" x14ac:dyDescent="0.35">
      <c r="A96"/>
      <c r="B96" s="55"/>
      <c r="D96" s="56"/>
      <c r="F96" s="47" t="str">
        <f t="shared" si="8"/>
        <v/>
      </c>
      <c r="G96" s="41" t="str">
        <f t="shared" si="8"/>
        <v/>
      </c>
      <c r="H96" s="41" t="str">
        <f t="shared" si="8"/>
        <v/>
      </c>
      <c r="I96" s="41" t="str">
        <f t="shared" si="8"/>
        <v/>
      </c>
      <c r="J96" s="41" t="str">
        <f t="shared" si="8"/>
        <v/>
      </c>
      <c r="K96" s="41" t="str">
        <f t="shared" si="8"/>
        <v/>
      </c>
      <c r="L96" s="41" t="str">
        <f t="shared" si="8"/>
        <v/>
      </c>
      <c r="M96" s="41" t="str">
        <f t="shared" si="8"/>
        <v/>
      </c>
      <c r="N96" s="41" t="str">
        <f t="shared" si="8"/>
        <v/>
      </c>
      <c r="O96" s="41" t="str">
        <f t="shared" si="8"/>
        <v/>
      </c>
      <c r="P96" s="41" t="str">
        <f t="shared" si="9"/>
        <v/>
      </c>
      <c r="Q96" s="41" t="str">
        <f t="shared" si="9"/>
        <v/>
      </c>
      <c r="R96" s="41" t="str">
        <f t="shared" si="9"/>
        <v/>
      </c>
      <c r="S96" s="41" t="str">
        <f t="shared" si="9"/>
        <v/>
      </c>
      <c r="T96" s="41" t="str">
        <f t="shared" ref="P96:AC106" si="10">IF(AND(T$6&gt;=$C96, T$6&lt;=$D96),"1","")</f>
        <v/>
      </c>
      <c r="U96" s="41" t="str">
        <f t="shared" si="10"/>
        <v/>
      </c>
      <c r="V96" s="41" t="str">
        <f t="shared" si="10"/>
        <v/>
      </c>
      <c r="W96" s="41" t="str">
        <f t="shared" si="10"/>
        <v/>
      </c>
      <c r="X96" s="41" t="str">
        <f t="shared" si="10"/>
        <v/>
      </c>
      <c r="Y96" s="41" t="str">
        <f t="shared" si="10"/>
        <v/>
      </c>
      <c r="Z96" s="41" t="str">
        <f t="shared" si="10"/>
        <v/>
      </c>
      <c r="AA96" s="41" t="str">
        <f t="shared" si="10"/>
        <v/>
      </c>
      <c r="AB96" s="41" t="str">
        <f t="shared" si="10"/>
        <v/>
      </c>
      <c r="AC96" s="48" t="str">
        <f t="shared" si="10"/>
        <v/>
      </c>
    </row>
    <row r="97" spans="1:29" x14ac:dyDescent="0.35">
      <c r="A97"/>
      <c r="B97" s="55"/>
      <c r="D97" s="56"/>
      <c r="F97" s="47" t="str">
        <f t="shared" si="8"/>
        <v/>
      </c>
      <c r="G97" s="41" t="str">
        <f t="shared" si="8"/>
        <v/>
      </c>
      <c r="H97" s="41" t="str">
        <f t="shared" si="8"/>
        <v/>
      </c>
      <c r="I97" s="41" t="str">
        <f t="shared" si="8"/>
        <v/>
      </c>
      <c r="J97" s="41" t="str">
        <f t="shared" si="8"/>
        <v/>
      </c>
      <c r="K97" s="41" t="str">
        <f t="shared" si="8"/>
        <v/>
      </c>
      <c r="L97" s="41" t="str">
        <f t="shared" si="8"/>
        <v/>
      </c>
      <c r="M97" s="41" t="str">
        <f t="shared" si="8"/>
        <v/>
      </c>
      <c r="N97" s="41" t="str">
        <f t="shared" si="8"/>
        <v/>
      </c>
      <c r="O97" s="41" t="str">
        <f t="shared" si="8"/>
        <v/>
      </c>
      <c r="P97" s="41" t="str">
        <f t="shared" si="10"/>
        <v/>
      </c>
      <c r="Q97" s="41" t="str">
        <f t="shared" si="10"/>
        <v/>
      </c>
      <c r="R97" s="41" t="str">
        <f t="shared" si="10"/>
        <v/>
      </c>
      <c r="S97" s="41" t="str">
        <f t="shared" si="10"/>
        <v/>
      </c>
      <c r="T97" s="41" t="str">
        <f t="shared" si="10"/>
        <v/>
      </c>
      <c r="U97" s="41" t="str">
        <f t="shared" si="10"/>
        <v/>
      </c>
      <c r="V97" s="41" t="str">
        <f t="shared" si="10"/>
        <v/>
      </c>
      <c r="W97" s="41" t="str">
        <f t="shared" si="10"/>
        <v/>
      </c>
      <c r="X97" s="41" t="str">
        <f t="shared" si="10"/>
        <v/>
      </c>
      <c r="Y97" s="41" t="str">
        <f t="shared" si="10"/>
        <v/>
      </c>
      <c r="Z97" s="41" t="str">
        <f t="shared" si="10"/>
        <v/>
      </c>
      <c r="AA97" s="41" t="str">
        <f t="shared" si="10"/>
        <v/>
      </c>
      <c r="AB97" s="41" t="str">
        <f t="shared" si="10"/>
        <v/>
      </c>
      <c r="AC97" s="48" t="str">
        <f t="shared" si="10"/>
        <v/>
      </c>
    </row>
    <row r="98" spans="1:29" x14ac:dyDescent="0.35">
      <c r="A98"/>
      <c r="B98" s="55"/>
      <c r="D98" s="56"/>
      <c r="F98" s="47" t="str">
        <f t="shared" si="8"/>
        <v/>
      </c>
      <c r="G98" s="41" t="str">
        <f t="shared" si="8"/>
        <v/>
      </c>
      <c r="H98" s="41" t="str">
        <f t="shared" si="8"/>
        <v/>
      </c>
      <c r="I98" s="41" t="str">
        <f t="shared" si="8"/>
        <v/>
      </c>
      <c r="J98" s="41" t="str">
        <f t="shared" si="8"/>
        <v/>
      </c>
      <c r="K98" s="41" t="str">
        <f t="shared" si="8"/>
        <v/>
      </c>
      <c r="L98" s="41" t="str">
        <f t="shared" si="8"/>
        <v/>
      </c>
      <c r="M98" s="41" t="str">
        <f t="shared" si="8"/>
        <v/>
      </c>
      <c r="N98" s="41" t="str">
        <f t="shared" si="8"/>
        <v/>
      </c>
      <c r="O98" s="41" t="str">
        <f t="shared" ref="F98:O106" si="11">IF(AND(O$6&gt;=$C98, O$6&lt;=$D98),"1","")</f>
        <v/>
      </c>
      <c r="P98" s="41" t="str">
        <f t="shared" si="10"/>
        <v/>
      </c>
      <c r="Q98" s="41" t="str">
        <f t="shared" si="10"/>
        <v/>
      </c>
      <c r="R98" s="41" t="str">
        <f t="shared" si="10"/>
        <v/>
      </c>
      <c r="S98" s="41" t="str">
        <f t="shared" si="10"/>
        <v/>
      </c>
      <c r="T98" s="41" t="str">
        <f t="shared" si="10"/>
        <v/>
      </c>
      <c r="U98" s="41" t="str">
        <f t="shared" si="10"/>
        <v/>
      </c>
      <c r="V98" s="41" t="str">
        <f t="shared" si="10"/>
        <v/>
      </c>
      <c r="W98" s="41" t="str">
        <f t="shared" si="10"/>
        <v/>
      </c>
      <c r="X98" s="41" t="str">
        <f t="shared" si="10"/>
        <v/>
      </c>
      <c r="Y98" s="41" t="str">
        <f t="shared" si="10"/>
        <v/>
      </c>
      <c r="Z98" s="41" t="str">
        <f t="shared" si="10"/>
        <v/>
      </c>
      <c r="AA98" s="41" t="str">
        <f t="shared" si="10"/>
        <v/>
      </c>
      <c r="AB98" s="41" t="str">
        <f t="shared" si="10"/>
        <v/>
      </c>
      <c r="AC98" s="48" t="str">
        <f t="shared" si="10"/>
        <v/>
      </c>
    </row>
    <row r="99" spans="1:29" x14ac:dyDescent="0.35">
      <c r="A99"/>
      <c r="B99" s="55"/>
      <c r="D99" s="56"/>
      <c r="F99" s="47" t="str">
        <f t="shared" si="11"/>
        <v/>
      </c>
      <c r="G99" s="41" t="str">
        <f t="shared" si="11"/>
        <v/>
      </c>
      <c r="H99" s="41" t="str">
        <f t="shared" si="11"/>
        <v/>
      </c>
      <c r="I99" s="41" t="str">
        <f t="shared" si="11"/>
        <v/>
      </c>
      <c r="J99" s="41" t="str">
        <f t="shared" si="11"/>
        <v/>
      </c>
      <c r="K99" s="41" t="str">
        <f t="shared" si="11"/>
        <v/>
      </c>
      <c r="L99" s="41" t="str">
        <f t="shared" si="11"/>
        <v/>
      </c>
      <c r="M99" s="41" t="str">
        <f t="shared" si="11"/>
        <v/>
      </c>
      <c r="N99" s="41" t="str">
        <f t="shared" si="11"/>
        <v/>
      </c>
      <c r="O99" s="41" t="str">
        <f t="shared" si="11"/>
        <v/>
      </c>
      <c r="P99" s="41" t="str">
        <f t="shared" si="10"/>
        <v/>
      </c>
      <c r="Q99" s="41" t="str">
        <f t="shared" si="10"/>
        <v/>
      </c>
      <c r="R99" s="41" t="str">
        <f t="shared" si="10"/>
        <v/>
      </c>
      <c r="S99" s="41" t="str">
        <f t="shared" si="10"/>
        <v/>
      </c>
      <c r="T99" s="41" t="str">
        <f t="shared" si="10"/>
        <v/>
      </c>
      <c r="U99" s="41" t="str">
        <f t="shared" si="10"/>
        <v/>
      </c>
      <c r="V99" s="41" t="str">
        <f t="shared" si="10"/>
        <v/>
      </c>
      <c r="W99" s="41" t="str">
        <f t="shared" si="10"/>
        <v/>
      </c>
      <c r="X99" s="41" t="str">
        <f t="shared" si="10"/>
        <v/>
      </c>
      <c r="Y99" s="41" t="str">
        <f t="shared" si="10"/>
        <v/>
      </c>
      <c r="Z99" s="41" t="str">
        <f t="shared" si="10"/>
        <v/>
      </c>
      <c r="AA99" s="41" t="str">
        <f t="shared" si="10"/>
        <v/>
      </c>
      <c r="AB99" s="41" t="str">
        <f t="shared" si="10"/>
        <v/>
      </c>
      <c r="AC99" s="48" t="str">
        <f t="shared" si="10"/>
        <v/>
      </c>
    </row>
    <row r="100" spans="1:29" x14ac:dyDescent="0.35">
      <c r="A100"/>
      <c r="B100" s="55"/>
      <c r="D100" s="56"/>
      <c r="F100" s="47" t="str">
        <f t="shared" si="11"/>
        <v/>
      </c>
      <c r="G100" s="41" t="str">
        <f t="shared" si="11"/>
        <v/>
      </c>
      <c r="H100" s="41" t="str">
        <f t="shared" si="11"/>
        <v/>
      </c>
      <c r="I100" s="41" t="str">
        <f t="shared" si="11"/>
        <v/>
      </c>
      <c r="J100" s="41" t="str">
        <f t="shared" si="11"/>
        <v/>
      </c>
      <c r="K100" s="41" t="str">
        <f t="shared" si="11"/>
        <v/>
      </c>
      <c r="L100" s="41" t="str">
        <f t="shared" si="11"/>
        <v/>
      </c>
      <c r="M100" s="41" t="str">
        <f t="shared" si="11"/>
        <v/>
      </c>
      <c r="N100" s="41" t="str">
        <f t="shared" si="11"/>
        <v/>
      </c>
      <c r="O100" s="41" t="str">
        <f t="shared" si="11"/>
        <v/>
      </c>
      <c r="P100" s="41" t="str">
        <f t="shared" si="10"/>
        <v/>
      </c>
      <c r="Q100" s="41" t="str">
        <f t="shared" si="10"/>
        <v/>
      </c>
      <c r="R100" s="41" t="str">
        <f t="shared" si="10"/>
        <v/>
      </c>
      <c r="S100" s="41" t="str">
        <f t="shared" si="10"/>
        <v/>
      </c>
      <c r="T100" s="41" t="str">
        <f t="shared" si="10"/>
        <v/>
      </c>
      <c r="U100" s="41" t="str">
        <f t="shared" si="10"/>
        <v/>
      </c>
      <c r="V100" s="41" t="str">
        <f t="shared" si="10"/>
        <v/>
      </c>
      <c r="W100" s="41" t="str">
        <f t="shared" si="10"/>
        <v/>
      </c>
      <c r="X100" s="41" t="str">
        <f t="shared" si="10"/>
        <v/>
      </c>
      <c r="Y100" s="41" t="str">
        <f t="shared" si="10"/>
        <v/>
      </c>
      <c r="Z100" s="41" t="str">
        <f t="shared" si="10"/>
        <v/>
      </c>
      <c r="AA100" s="41" t="str">
        <f t="shared" si="10"/>
        <v/>
      </c>
      <c r="AB100" s="41" t="str">
        <f t="shared" si="10"/>
        <v/>
      </c>
      <c r="AC100" s="48" t="str">
        <f t="shared" si="10"/>
        <v/>
      </c>
    </row>
    <row r="101" spans="1:29" x14ac:dyDescent="0.35">
      <c r="A101"/>
      <c r="B101" s="55"/>
      <c r="D101" s="56"/>
      <c r="F101" s="47" t="str">
        <f t="shared" si="11"/>
        <v/>
      </c>
      <c r="G101" s="41" t="str">
        <f t="shared" si="11"/>
        <v/>
      </c>
      <c r="H101" s="41" t="str">
        <f t="shared" si="11"/>
        <v/>
      </c>
      <c r="I101" s="41" t="str">
        <f t="shared" si="11"/>
        <v/>
      </c>
      <c r="J101" s="41" t="str">
        <f t="shared" si="11"/>
        <v/>
      </c>
      <c r="K101" s="41" t="str">
        <f t="shared" si="11"/>
        <v/>
      </c>
      <c r="L101" s="41" t="str">
        <f t="shared" si="11"/>
        <v/>
      </c>
      <c r="M101" s="41" t="str">
        <f t="shared" si="11"/>
        <v/>
      </c>
      <c r="N101" s="41" t="str">
        <f t="shared" si="11"/>
        <v/>
      </c>
      <c r="O101" s="41" t="str">
        <f t="shared" si="11"/>
        <v/>
      </c>
      <c r="P101" s="41" t="str">
        <f t="shared" si="10"/>
        <v/>
      </c>
      <c r="Q101" s="41" t="str">
        <f t="shared" si="10"/>
        <v/>
      </c>
      <c r="R101" s="41" t="str">
        <f t="shared" si="10"/>
        <v/>
      </c>
      <c r="S101" s="41" t="str">
        <f t="shared" si="10"/>
        <v/>
      </c>
      <c r="T101" s="41" t="str">
        <f t="shared" si="10"/>
        <v/>
      </c>
      <c r="U101" s="41" t="str">
        <f t="shared" si="10"/>
        <v/>
      </c>
      <c r="V101" s="41" t="str">
        <f t="shared" si="10"/>
        <v/>
      </c>
      <c r="W101" s="41" t="str">
        <f t="shared" si="10"/>
        <v/>
      </c>
      <c r="X101" s="41" t="str">
        <f t="shared" si="10"/>
        <v/>
      </c>
      <c r="Y101" s="41" t="str">
        <f t="shared" si="10"/>
        <v/>
      </c>
      <c r="Z101" s="41" t="str">
        <f t="shared" si="10"/>
        <v/>
      </c>
      <c r="AA101" s="41" t="str">
        <f t="shared" si="10"/>
        <v/>
      </c>
      <c r="AB101" s="41" t="str">
        <f t="shared" si="10"/>
        <v/>
      </c>
      <c r="AC101" s="48" t="str">
        <f t="shared" si="10"/>
        <v/>
      </c>
    </row>
    <row r="102" spans="1:29" x14ac:dyDescent="0.35">
      <c r="A102"/>
      <c r="B102" s="55"/>
      <c r="D102" s="56"/>
      <c r="F102" s="47" t="str">
        <f t="shared" si="11"/>
        <v/>
      </c>
      <c r="G102" s="41" t="str">
        <f t="shared" si="11"/>
        <v/>
      </c>
      <c r="H102" s="41" t="str">
        <f t="shared" si="11"/>
        <v/>
      </c>
      <c r="I102" s="41" t="str">
        <f t="shared" si="11"/>
        <v/>
      </c>
      <c r="J102" s="41" t="str">
        <f t="shared" si="11"/>
        <v/>
      </c>
      <c r="K102" s="41" t="str">
        <f t="shared" si="11"/>
        <v/>
      </c>
      <c r="L102" s="41" t="str">
        <f t="shared" si="11"/>
        <v/>
      </c>
      <c r="M102" s="41" t="str">
        <f t="shared" si="11"/>
        <v/>
      </c>
      <c r="N102" s="41" t="str">
        <f t="shared" si="11"/>
        <v/>
      </c>
      <c r="O102" s="41" t="str">
        <f t="shared" si="11"/>
        <v/>
      </c>
      <c r="P102" s="41" t="str">
        <f t="shared" si="10"/>
        <v/>
      </c>
      <c r="Q102" s="41" t="str">
        <f t="shared" si="10"/>
        <v/>
      </c>
      <c r="R102" s="41" t="str">
        <f t="shared" si="10"/>
        <v/>
      </c>
      <c r="S102" s="41" t="str">
        <f t="shared" si="10"/>
        <v/>
      </c>
      <c r="T102" s="41" t="str">
        <f t="shared" si="10"/>
        <v/>
      </c>
      <c r="U102" s="41" t="str">
        <f t="shared" si="10"/>
        <v/>
      </c>
      <c r="V102" s="41" t="str">
        <f t="shared" si="10"/>
        <v/>
      </c>
      <c r="W102" s="41" t="str">
        <f t="shared" si="10"/>
        <v/>
      </c>
      <c r="X102" s="41" t="str">
        <f t="shared" si="10"/>
        <v/>
      </c>
      <c r="Y102" s="41" t="str">
        <f t="shared" si="10"/>
        <v/>
      </c>
      <c r="Z102" s="41" t="str">
        <f t="shared" si="10"/>
        <v/>
      </c>
      <c r="AA102" s="41" t="str">
        <f t="shared" si="10"/>
        <v/>
      </c>
      <c r="AB102" s="41" t="str">
        <f t="shared" si="10"/>
        <v/>
      </c>
      <c r="AC102" s="48" t="str">
        <f t="shared" si="10"/>
        <v/>
      </c>
    </row>
    <row r="103" spans="1:29" x14ac:dyDescent="0.35">
      <c r="A103"/>
      <c r="B103" s="55"/>
      <c r="D103" s="56"/>
      <c r="F103" s="47" t="str">
        <f t="shared" si="11"/>
        <v/>
      </c>
      <c r="G103" s="41" t="str">
        <f t="shared" si="11"/>
        <v/>
      </c>
      <c r="H103" s="41" t="str">
        <f t="shared" si="11"/>
        <v/>
      </c>
      <c r="I103" s="41" t="str">
        <f t="shared" si="11"/>
        <v/>
      </c>
      <c r="J103" s="41" t="str">
        <f t="shared" si="11"/>
        <v/>
      </c>
      <c r="K103" s="41" t="str">
        <f t="shared" si="11"/>
        <v/>
      </c>
      <c r="L103" s="41" t="str">
        <f t="shared" si="11"/>
        <v/>
      </c>
      <c r="M103" s="41" t="str">
        <f t="shared" si="11"/>
        <v/>
      </c>
      <c r="N103" s="41" t="str">
        <f t="shared" si="11"/>
        <v/>
      </c>
      <c r="O103" s="41" t="str">
        <f t="shared" si="11"/>
        <v/>
      </c>
      <c r="P103" s="41" t="str">
        <f t="shared" si="10"/>
        <v/>
      </c>
      <c r="Q103" s="41" t="str">
        <f t="shared" si="10"/>
        <v/>
      </c>
      <c r="R103" s="41" t="str">
        <f t="shared" si="10"/>
        <v/>
      </c>
      <c r="S103" s="41" t="str">
        <f t="shared" si="10"/>
        <v/>
      </c>
      <c r="T103" s="41" t="str">
        <f t="shared" si="10"/>
        <v/>
      </c>
      <c r="U103" s="41" t="str">
        <f t="shared" si="10"/>
        <v/>
      </c>
      <c r="V103" s="41" t="str">
        <f t="shared" si="10"/>
        <v/>
      </c>
      <c r="W103" s="41" t="str">
        <f t="shared" si="10"/>
        <v/>
      </c>
      <c r="X103" s="41" t="str">
        <f t="shared" si="10"/>
        <v/>
      </c>
      <c r="Y103" s="41" t="str">
        <f t="shared" si="10"/>
        <v/>
      </c>
      <c r="Z103" s="41" t="str">
        <f t="shared" si="10"/>
        <v/>
      </c>
      <c r="AA103" s="41" t="str">
        <f t="shared" si="10"/>
        <v/>
      </c>
      <c r="AB103" s="41" t="str">
        <f t="shared" si="10"/>
        <v/>
      </c>
      <c r="AC103" s="48" t="str">
        <f t="shared" si="10"/>
        <v/>
      </c>
    </row>
    <row r="104" spans="1:29" x14ac:dyDescent="0.35">
      <c r="A104"/>
      <c r="B104" s="55"/>
      <c r="D104" s="56"/>
      <c r="F104" s="47" t="str">
        <f t="shared" si="11"/>
        <v/>
      </c>
      <c r="G104" s="41" t="str">
        <f t="shared" si="11"/>
        <v/>
      </c>
      <c r="H104" s="41" t="str">
        <f t="shared" si="11"/>
        <v/>
      </c>
      <c r="I104" s="41" t="str">
        <f t="shared" si="11"/>
        <v/>
      </c>
      <c r="J104" s="41" t="str">
        <f t="shared" si="11"/>
        <v/>
      </c>
      <c r="K104" s="41" t="str">
        <f t="shared" si="11"/>
        <v/>
      </c>
      <c r="L104" s="41" t="str">
        <f t="shared" si="11"/>
        <v/>
      </c>
      <c r="M104" s="41" t="str">
        <f t="shared" si="11"/>
        <v/>
      </c>
      <c r="N104" s="41" t="str">
        <f t="shared" si="11"/>
        <v/>
      </c>
      <c r="O104" s="41" t="str">
        <f t="shared" si="11"/>
        <v/>
      </c>
      <c r="P104" s="41" t="str">
        <f t="shared" si="10"/>
        <v/>
      </c>
      <c r="Q104" s="41" t="str">
        <f t="shared" si="10"/>
        <v/>
      </c>
      <c r="R104" s="41" t="str">
        <f t="shared" si="10"/>
        <v/>
      </c>
      <c r="S104" s="41" t="str">
        <f t="shared" si="10"/>
        <v/>
      </c>
      <c r="T104" s="41" t="str">
        <f t="shared" si="10"/>
        <v/>
      </c>
      <c r="U104" s="41" t="str">
        <f t="shared" si="10"/>
        <v/>
      </c>
      <c r="V104" s="41" t="str">
        <f t="shared" si="10"/>
        <v/>
      </c>
      <c r="W104" s="41" t="str">
        <f t="shared" si="10"/>
        <v/>
      </c>
      <c r="X104" s="41" t="str">
        <f t="shared" si="10"/>
        <v/>
      </c>
      <c r="Y104" s="41" t="str">
        <f t="shared" si="10"/>
        <v/>
      </c>
      <c r="Z104" s="41" t="str">
        <f t="shared" si="10"/>
        <v/>
      </c>
      <c r="AA104" s="41" t="str">
        <f t="shared" si="10"/>
        <v/>
      </c>
      <c r="AB104" s="41" t="str">
        <f t="shared" si="10"/>
        <v/>
      </c>
      <c r="AC104" s="48" t="str">
        <f t="shared" si="10"/>
        <v/>
      </c>
    </row>
    <row r="105" spans="1:29" x14ac:dyDescent="0.35">
      <c r="A105"/>
      <c r="B105" s="55"/>
      <c r="D105" s="56"/>
      <c r="F105" s="47" t="str">
        <f t="shared" si="11"/>
        <v/>
      </c>
      <c r="G105" s="41" t="str">
        <f t="shared" si="11"/>
        <v/>
      </c>
      <c r="H105" s="41" t="str">
        <f t="shared" si="11"/>
        <v/>
      </c>
      <c r="I105" s="41" t="str">
        <f t="shared" si="11"/>
        <v/>
      </c>
      <c r="J105" s="41" t="str">
        <f t="shared" si="11"/>
        <v/>
      </c>
      <c r="K105" s="41" t="str">
        <f t="shared" si="11"/>
        <v/>
      </c>
      <c r="L105" s="41" t="str">
        <f t="shared" si="11"/>
        <v/>
      </c>
      <c r="M105" s="41" t="str">
        <f t="shared" si="11"/>
        <v/>
      </c>
      <c r="N105" s="41" t="str">
        <f t="shared" si="11"/>
        <v/>
      </c>
      <c r="O105" s="41" t="str">
        <f t="shared" si="11"/>
        <v/>
      </c>
      <c r="P105" s="41" t="str">
        <f t="shared" si="10"/>
        <v/>
      </c>
      <c r="Q105" s="41" t="str">
        <f t="shared" si="10"/>
        <v/>
      </c>
      <c r="R105" s="41" t="str">
        <f t="shared" si="10"/>
        <v/>
      </c>
      <c r="S105" s="41" t="str">
        <f t="shared" si="10"/>
        <v/>
      </c>
      <c r="T105" s="41" t="str">
        <f t="shared" si="10"/>
        <v/>
      </c>
      <c r="U105" s="41" t="str">
        <f t="shared" si="10"/>
        <v/>
      </c>
      <c r="V105" s="41" t="str">
        <f t="shared" si="10"/>
        <v/>
      </c>
      <c r="W105" s="41" t="str">
        <f t="shared" si="10"/>
        <v/>
      </c>
      <c r="X105" s="41" t="str">
        <f t="shared" si="10"/>
        <v/>
      </c>
      <c r="Y105" s="41" t="str">
        <f t="shared" si="10"/>
        <v/>
      </c>
      <c r="Z105" s="41" t="str">
        <f t="shared" si="10"/>
        <v/>
      </c>
      <c r="AA105" s="41" t="str">
        <f t="shared" si="10"/>
        <v/>
      </c>
      <c r="AB105" s="41" t="str">
        <f t="shared" si="10"/>
        <v/>
      </c>
      <c r="AC105" s="48" t="str">
        <f t="shared" si="10"/>
        <v/>
      </c>
    </row>
    <row r="106" spans="1:29" x14ac:dyDescent="0.35">
      <c r="A106"/>
      <c r="B106" s="57"/>
      <c r="C106" s="58"/>
      <c r="D106" s="59"/>
      <c r="F106" s="49" t="str">
        <f t="shared" si="11"/>
        <v/>
      </c>
      <c r="G106" s="50" t="str">
        <f t="shared" si="11"/>
        <v/>
      </c>
      <c r="H106" s="50" t="str">
        <f t="shared" si="11"/>
        <v/>
      </c>
      <c r="I106" s="50" t="str">
        <f t="shared" si="11"/>
        <v/>
      </c>
      <c r="J106" s="50" t="str">
        <f t="shared" si="11"/>
        <v/>
      </c>
      <c r="K106" s="50" t="str">
        <f t="shared" si="11"/>
        <v/>
      </c>
      <c r="L106" s="50" t="str">
        <f t="shared" si="11"/>
        <v/>
      </c>
      <c r="M106" s="50" t="str">
        <f t="shared" si="11"/>
        <v/>
      </c>
      <c r="N106" s="50" t="str">
        <f t="shared" si="11"/>
        <v/>
      </c>
      <c r="O106" s="50" t="str">
        <f t="shared" si="11"/>
        <v/>
      </c>
      <c r="P106" s="50" t="str">
        <f t="shared" si="10"/>
        <v/>
      </c>
      <c r="Q106" s="50" t="str">
        <f t="shared" si="10"/>
        <v/>
      </c>
      <c r="R106" s="50" t="str">
        <f t="shared" si="10"/>
        <v/>
      </c>
      <c r="S106" s="50" t="str">
        <f t="shared" si="10"/>
        <v/>
      </c>
      <c r="T106" s="50" t="str">
        <f t="shared" si="10"/>
        <v/>
      </c>
      <c r="U106" s="50" t="str">
        <f t="shared" si="10"/>
        <v/>
      </c>
      <c r="V106" s="50" t="str">
        <f t="shared" si="10"/>
        <v/>
      </c>
      <c r="W106" s="50" t="str">
        <f t="shared" si="10"/>
        <v/>
      </c>
      <c r="X106" s="50" t="str">
        <f t="shared" si="10"/>
        <v/>
      </c>
      <c r="Y106" s="50" t="str">
        <f t="shared" si="10"/>
        <v/>
      </c>
      <c r="Z106" s="50" t="str">
        <f t="shared" si="10"/>
        <v/>
      </c>
      <c r="AA106" s="50" t="str">
        <f t="shared" si="10"/>
        <v/>
      </c>
      <c r="AB106" s="50" t="str">
        <f t="shared" si="10"/>
        <v/>
      </c>
      <c r="AC106" s="51" t="str">
        <f t="shared" si="10"/>
        <v/>
      </c>
    </row>
    <row r="107" spans="1:29" x14ac:dyDescent="0.35">
      <c r="A107"/>
    </row>
    <row r="108" spans="1:29" x14ac:dyDescent="0.35">
      <c r="A108"/>
    </row>
    <row r="109" spans="1:29" x14ac:dyDescent="0.35">
      <c r="A109"/>
    </row>
    <row r="110" spans="1:29" x14ac:dyDescent="0.35">
      <c r="A110"/>
    </row>
    <row r="111" spans="1:29" x14ac:dyDescent="0.35">
      <c r="A111"/>
    </row>
    <row r="112" spans="1:29" x14ac:dyDescent="0.35">
      <c r="A112"/>
    </row>
    <row r="113" spans="1:1" x14ac:dyDescent="0.35">
      <c r="A113"/>
    </row>
    <row r="114" spans="1:1" x14ac:dyDescent="0.35">
      <c r="A114"/>
    </row>
    <row r="115" spans="1:1" x14ac:dyDescent="0.35">
      <c r="A115"/>
    </row>
    <row r="116" spans="1:1" x14ac:dyDescent="0.35">
      <c r="A116"/>
    </row>
    <row r="117" spans="1:1" x14ac:dyDescent="0.35">
      <c r="A117"/>
    </row>
    <row r="118" spans="1:1" x14ac:dyDescent="0.35">
      <c r="A118"/>
    </row>
    <row r="119" spans="1:1" x14ac:dyDescent="0.35">
      <c r="A119"/>
    </row>
    <row r="120" spans="1:1" x14ac:dyDescent="0.35">
      <c r="A120"/>
    </row>
    <row r="121" spans="1:1" x14ac:dyDescent="0.35">
      <c r="A121"/>
    </row>
    <row r="122" spans="1:1" x14ac:dyDescent="0.35">
      <c r="A122"/>
    </row>
    <row r="123" spans="1:1" x14ac:dyDescent="0.35">
      <c r="A123"/>
    </row>
    <row r="124" spans="1:1" x14ac:dyDescent="0.35">
      <c r="A124"/>
    </row>
    <row r="125" spans="1:1" x14ac:dyDescent="0.35">
      <c r="A125"/>
    </row>
    <row r="126" spans="1:1" x14ac:dyDescent="0.35">
      <c r="A126"/>
    </row>
    <row r="127" spans="1:1" x14ac:dyDescent="0.35">
      <c r="A127"/>
    </row>
    <row r="128" spans="1:1" x14ac:dyDescent="0.35">
      <c r="A128"/>
    </row>
    <row r="129" spans="1:1" x14ac:dyDescent="0.35">
      <c r="A129"/>
    </row>
    <row r="130" spans="1:1" x14ac:dyDescent="0.35">
      <c r="A130"/>
    </row>
    <row r="131" spans="1:1" x14ac:dyDescent="0.35">
      <c r="A131"/>
    </row>
    <row r="132" spans="1:1" x14ac:dyDescent="0.35">
      <c r="A132"/>
    </row>
    <row r="133" spans="1:1" x14ac:dyDescent="0.35">
      <c r="A133"/>
    </row>
    <row r="134" spans="1:1" x14ac:dyDescent="0.35">
      <c r="A134"/>
    </row>
    <row r="135" spans="1:1" x14ac:dyDescent="0.35">
      <c r="A135"/>
    </row>
    <row r="136" spans="1:1" x14ac:dyDescent="0.35">
      <c r="A136"/>
    </row>
    <row r="137" spans="1:1" x14ac:dyDescent="0.35">
      <c r="A137"/>
    </row>
    <row r="138" spans="1:1" x14ac:dyDescent="0.35">
      <c r="A138"/>
    </row>
    <row r="139" spans="1:1" x14ac:dyDescent="0.35">
      <c r="A139"/>
    </row>
    <row r="140" spans="1:1" x14ac:dyDescent="0.35">
      <c r="A140"/>
    </row>
    <row r="141" spans="1:1" x14ac:dyDescent="0.35">
      <c r="A141"/>
    </row>
    <row r="142" spans="1:1" x14ac:dyDescent="0.35">
      <c r="A142"/>
    </row>
    <row r="143" spans="1:1" x14ac:dyDescent="0.35">
      <c r="A143"/>
    </row>
    <row r="144" spans="1:1" x14ac:dyDescent="0.35">
      <c r="A144"/>
    </row>
    <row r="145" spans="1:1" x14ac:dyDescent="0.35">
      <c r="A145"/>
    </row>
    <row r="146" spans="1:1" x14ac:dyDescent="0.35">
      <c r="A146"/>
    </row>
    <row r="147" spans="1:1" x14ac:dyDescent="0.35">
      <c r="A147"/>
    </row>
    <row r="148" spans="1:1" x14ac:dyDescent="0.35">
      <c r="A148"/>
    </row>
    <row r="149" spans="1:1" x14ac:dyDescent="0.35">
      <c r="A149"/>
    </row>
    <row r="150" spans="1:1" x14ac:dyDescent="0.35">
      <c r="A150"/>
    </row>
    <row r="151" spans="1:1" x14ac:dyDescent="0.35">
      <c r="A151"/>
    </row>
    <row r="152" spans="1:1" x14ac:dyDescent="0.35">
      <c r="A152"/>
    </row>
    <row r="153" spans="1:1" x14ac:dyDescent="0.35">
      <c r="A153"/>
    </row>
    <row r="154" spans="1:1" x14ac:dyDescent="0.35">
      <c r="A154"/>
    </row>
    <row r="155" spans="1:1" x14ac:dyDescent="0.35">
      <c r="A155"/>
    </row>
    <row r="156" spans="1:1" x14ac:dyDescent="0.35">
      <c r="A156"/>
    </row>
    <row r="157" spans="1:1" x14ac:dyDescent="0.35">
      <c r="A157"/>
    </row>
    <row r="158" spans="1:1" x14ac:dyDescent="0.35">
      <c r="A158"/>
    </row>
    <row r="159" spans="1:1" x14ac:dyDescent="0.35">
      <c r="A159"/>
    </row>
    <row r="160" spans="1:1" x14ac:dyDescent="0.35">
      <c r="A160"/>
    </row>
    <row r="161" spans="1:1" x14ac:dyDescent="0.35">
      <c r="A161"/>
    </row>
    <row r="162" spans="1:1" x14ac:dyDescent="0.35">
      <c r="A162"/>
    </row>
    <row r="163" spans="1:1" x14ac:dyDescent="0.35">
      <c r="A163"/>
    </row>
    <row r="164" spans="1:1" x14ac:dyDescent="0.35">
      <c r="A164"/>
    </row>
    <row r="165" spans="1:1" x14ac:dyDescent="0.35">
      <c r="A165"/>
    </row>
    <row r="166" spans="1:1" x14ac:dyDescent="0.35">
      <c r="A166"/>
    </row>
    <row r="167" spans="1:1" x14ac:dyDescent="0.35">
      <c r="A167"/>
    </row>
    <row r="168" spans="1:1" x14ac:dyDescent="0.35">
      <c r="A168"/>
    </row>
    <row r="169" spans="1:1" x14ac:dyDescent="0.35">
      <c r="A169"/>
    </row>
    <row r="170" spans="1:1" x14ac:dyDescent="0.35">
      <c r="A170"/>
    </row>
    <row r="171" spans="1:1" x14ac:dyDescent="0.35">
      <c r="A171"/>
    </row>
    <row r="172" spans="1:1" x14ac:dyDescent="0.35">
      <c r="A172"/>
    </row>
    <row r="173" spans="1:1" x14ac:dyDescent="0.35">
      <c r="A173"/>
    </row>
    <row r="174" spans="1:1" x14ac:dyDescent="0.35">
      <c r="A174"/>
    </row>
    <row r="175" spans="1:1" x14ac:dyDescent="0.35">
      <c r="A175"/>
    </row>
    <row r="176" spans="1:1" x14ac:dyDescent="0.35">
      <c r="A176"/>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row r="208" spans="1:1" x14ac:dyDescent="0.35">
      <c r="A208"/>
    </row>
    <row r="209" spans="1:1" x14ac:dyDescent="0.35">
      <c r="A209"/>
    </row>
    <row r="210" spans="1:1" x14ac:dyDescent="0.35">
      <c r="A210"/>
    </row>
    <row r="211" spans="1:1" x14ac:dyDescent="0.35">
      <c r="A211"/>
    </row>
    <row r="212" spans="1:1" x14ac:dyDescent="0.35">
      <c r="A212"/>
    </row>
    <row r="213" spans="1:1" x14ac:dyDescent="0.35">
      <c r="A213"/>
    </row>
    <row r="214" spans="1:1" x14ac:dyDescent="0.35">
      <c r="A214"/>
    </row>
    <row r="215" spans="1:1" x14ac:dyDescent="0.35">
      <c r="A215"/>
    </row>
    <row r="216" spans="1:1" x14ac:dyDescent="0.35">
      <c r="A216"/>
    </row>
    <row r="217" spans="1:1" x14ac:dyDescent="0.35">
      <c r="A217"/>
    </row>
    <row r="218" spans="1:1" x14ac:dyDescent="0.35">
      <c r="A218"/>
    </row>
    <row r="219" spans="1:1" x14ac:dyDescent="0.35">
      <c r="A219"/>
    </row>
    <row r="220" spans="1:1" x14ac:dyDescent="0.35">
      <c r="A220"/>
    </row>
    <row r="221" spans="1:1" x14ac:dyDescent="0.35">
      <c r="A221"/>
    </row>
    <row r="222" spans="1:1" x14ac:dyDescent="0.35">
      <c r="A222"/>
    </row>
    <row r="223" spans="1:1" x14ac:dyDescent="0.35">
      <c r="A223"/>
    </row>
    <row r="224" spans="1:1" x14ac:dyDescent="0.35">
      <c r="A224"/>
    </row>
    <row r="225" spans="1:1" x14ac:dyDescent="0.35">
      <c r="A225"/>
    </row>
    <row r="226" spans="1:1" x14ac:dyDescent="0.35">
      <c r="A226"/>
    </row>
    <row r="227" spans="1:1" x14ac:dyDescent="0.35">
      <c r="A227"/>
    </row>
    <row r="228" spans="1:1" x14ac:dyDescent="0.35">
      <c r="A228"/>
    </row>
    <row r="229" spans="1:1" x14ac:dyDescent="0.35">
      <c r="A229"/>
    </row>
    <row r="230" spans="1:1" x14ac:dyDescent="0.35">
      <c r="A230"/>
    </row>
    <row r="231" spans="1:1" x14ac:dyDescent="0.35">
      <c r="A231"/>
    </row>
    <row r="232" spans="1:1" x14ac:dyDescent="0.35">
      <c r="A232"/>
    </row>
    <row r="233" spans="1:1" x14ac:dyDescent="0.35">
      <c r="A233"/>
    </row>
    <row r="234" spans="1:1" x14ac:dyDescent="0.35">
      <c r="A234"/>
    </row>
    <row r="235" spans="1:1" x14ac:dyDescent="0.35">
      <c r="A235"/>
    </row>
    <row r="236" spans="1:1" x14ac:dyDescent="0.35">
      <c r="A236"/>
    </row>
    <row r="237" spans="1:1" x14ac:dyDescent="0.35">
      <c r="A237"/>
    </row>
    <row r="238" spans="1:1" x14ac:dyDescent="0.35">
      <c r="A238"/>
    </row>
    <row r="239" spans="1:1" x14ac:dyDescent="0.35">
      <c r="A239"/>
    </row>
    <row r="240" spans="1:1" x14ac:dyDescent="0.35">
      <c r="A240"/>
    </row>
    <row r="241" spans="1:1" x14ac:dyDescent="0.35">
      <c r="A241"/>
    </row>
    <row r="242" spans="1:1" x14ac:dyDescent="0.35">
      <c r="A242"/>
    </row>
    <row r="243" spans="1:1" x14ac:dyDescent="0.35">
      <c r="A243"/>
    </row>
    <row r="244" spans="1:1" x14ac:dyDescent="0.35">
      <c r="A244"/>
    </row>
    <row r="245" spans="1:1" x14ac:dyDescent="0.35">
      <c r="A245"/>
    </row>
    <row r="246" spans="1:1" x14ac:dyDescent="0.35">
      <c r="A246"/>
    </row>
    <row r="247" spans="1:1" x14ac:dyDescent="0.35">
      <c r="A247"/>
    </row>
    <row r="248" spans="1:1" x14ac:dyDescent="0.35">
      <c r="A248"/>
    </row>
    <row r="249" spans="1:1" x14ac:dyDescent="0.35">
      <c r="A249"/>
    </row>
    <row r="250" spans="1:1" x14ac:dyDescent="0.35">
      <c r="A250"/>
    </row>
    <row r="251" spans="1:1" x14ac:dyDescent="0.35">
      <c r="A251"/>
    </row>
    <row r="252" spans="1:1" x14ac:dyDescent="0.35">
      <c r="A252"/>
    </row>
    <row r="253" spans="1:1" x14ac:dyDescent="0.35">
      <c r="A253"/>
    </row>
    <row r="254" spans="1:1" x14ac:dyDescent="0.35">
      <c r="A254"/>
    </row>
    <row r="255" spans="1:1" x14ac:dyDescent="0.35">
      <c r="A255"/>
    </row>
    <row r="256" spans="1:1" x14ac:dyDescent="0.35">
      <c r="A256"/>
    </row>
    <row r="257" spans="1:1" x14ac:dyDescent="0.35">
      <c r="A257"/>
    </row>
    <row r="258" spans="1:1" x14ac:dyDescent="0.35">
      <c r="A258"/>
    </row>
    <row r="259" spans="1:1" x14ac:dyDescent="0.35">
      <c r="A259"/>
    </row>
    <row r="260" spans="1:1" x14ac:dyDescent="0.35">
      <c r="A260"/>
    </row>
    <row r="261" spans="1:1" x14ac:dyDescent="0.35">
      <c r="A261"/>
    </row>
    <row r="262" spans="1:1" x14ac:dyDescent="0.35">
      <c r="A262"/>
    </row>
    <row r="263" spans="1:1" x14ac:dyDescent="0.35">
      <c r="A263"/>
    </row>
    <row r="264" spans="1:1" x14ac:dyDescent="0.35">
      <c r="A264"/>
    </row>
    <row r="265" spans="1:1" x14ac:dyDescent="0.35">
      <c r="A265"/>
    </row>
    <row r="266" spans="1:1" x14ac:dyDescent="0.35">
      <c r="A266"/>
    </row>
    <row r="267" spans="1:1" x14ac:dyDescent="0.35">
      <c r="A267"/>
    </row>
    <row r="268" spans="1:1" x14ac:dyDescent="0.35">
      <c r="A268"/>
    </row>
    <row r="269" spans="1:1" x14ac:dyDescent="0.35">
      <c r="A269"/>
    </row>
    <row r="270" spans="1:1" x14ac:dyDescent="0.35">
      <c r="A270"/>
    </row>
    <row r="271" spans="1:1" x14ac:dyDescent="0.35">
      <c r="A271"/>
    </row>
    <row r="272" spans="1:1" x14ac:dyDescent="0.35">
      <c r="A272"/>
    </row>
    <row r="273" spans="1:1" x14ac:dyDescent="0.35">
      <c r="A273"/>
    </row>
    <row r="274" spans="1:1" x14ac:dyDescent="0.35">
      <c r="A274"/>
    </row>
    <row r="275" spans="1:1" x14ac:dyDescent="0.35">
      <c r="A275"/>
    </row>
    <row r="276" spans="1:1" x14ac:dyDescent="0.35">
      <c r="A276"/>
    </row>
    <row r="277" spans="1:1" x14ac:dyDescent="0.35">
      <c r="A277"/>
    </row>
    <row r="278" spans="1:1" x14ac:dyDescent="0.35">
      <c r="A278"/>
    </row>
    <row r="279" spans="1:1" x14ac:dyDescent="0.35">
      <c r="A279"/>
    </row>
    <row r="280" spans="1:1" x14ac:dyDescent="0.35">
      <c r="A280"/>
    </row>
    <row r="281" spans="1:1" x14ac:dyDescent="0.35">
      <c r="A281"/>
    </row>
    <row r="282" spans="1:1" x14ac:dyDescent="0.35">
      <c r="A282"/>
    </row>
    <row r="283" spans="1:1" x14ac:dyDescent="0.35">
      <c r="A283"/>
    </row>
    <row r="284" spans="1:1" x14ac:dyDescent="0.35">
      <c r="A284"/>
    </row>
    <row r="285" spans="1:1" x14ac:dyDescent="0.35">
      <c r="A285"/>
    </row>
    <row r="286" spans="1:1" x14ac:dyDescent="0.35">
      <c r="A286"/>
    </row>
    <row r="287" spans="1:1" x14ac:dyDescent="0.35">
      <c r="A287"/>
    </row>
    <row r="288" spans="1:1" x14ac:dyDescent="0.35">
      <c r="A288"/>
    </row>
    <row r="289" spans="1:1" x14ac:dyDescent="0.35">
      <c r="A289"/>
    </row>
    <row r="290" spans="1:1" x14ac:dyDescent="0.35">
      <c r="A290"/>
    </row>
    <row r="291" spans="1:1" x14ac:dyDescent="0.35">
      <c r="A291"/>
    </row>
    <row r="292" spans="1:1" x14ac:dyDescent="0.35">
      <c r="A292"/>
    </row>
    <row r="293" spans="1:1" x14ac:dyDescent="0.35">
      <c r="A293"/>
    </row>
    <row r="294" spans="1:1" x14ac:dyDescent="0.35">
      <c r="A294"/>
    </row>
    <row r="295" spans="1:1" x14ac:dyDescent="0.35">
      <c r="A295"/>
    </row>
    <row r="296" spans="1:1" x14ac:dyDescent="0.35">
      <c r="A296"/>
    </row>
    <row r="297" spans="1:1" x14ac:dyDescent="0.35">
      <c r="A297"/>
    </row>
    <row r="298" spans="1:1" x14ac:dyDescent="0.35">
      <c r="A298"/>
    </row>
    <row r="299" spans="1:1" x14ac:dyDescent="0.35">
      <c r="A299"/>
    </row>
    <row r="300" spans="1:1" x14ac:dyDescent="0.35">
      <c r="A300"/>
    </row>
    <row r="301" spans="1:1" x14ac:dyDescent="0.35">
      <c r="A301"/>
    </row>
    <row r="302" spans="1:1" x14ac:dyDescent="0.35">
      <c r="A302"/>
    </row>
    <row r="303" spans="1:1" x14ac:dyDescent="0.35">
      <c r="A303"/>
    </row>
    <row r="304" spans="1:1" x14ac:dyDescent="0.35">
      <c r="A304"/>
    </row>
    <row r="305" spans="1:1" x14ac:dyDescent="0.35">
      <c r="A305"/>
    </row>
    <row r="306" spans="1:1" x14ac:dyDescent="0.35">
      <c r="A306"/>
    </row>
    <row r="307" spans="1:1" x14ac:dyDescent="0.35">
      <c r="A307"/>
    </row>
    <row r="308" spans="1:1" x14ac:dyDescent="0.35">
      <c r="A308"/>
    </row>
    <row r="309" spans="1:1" x14ac:dyDescent="0.35">
      <c r="A309"/>
    </row>
    <row r="310" spans="1:1" x14ac:dyDescent="0.35">
      <c r="A310"/>
    </row>
    <row r="311" spans="1:1" x14ac:dyDescent="0.35">
      <c r="A311"/>
    </row>
    <row r="312" spans="1:1" x14ac:dyDescent="0.35">
      <c r="A312"/>
    </row>
    <row r="313" spans="1:1" x14ac:dyDescent="0.35">
      <c r="A313"/>
    </row>
    <row r="314" spans="1:1" x14ac:dyDescent="0.35">
      <c r="A314"/>
    </row>
    <row r="315" spans="1:1" x14ac:dyDescent="0.35">
      <c r="A315"/>
    </row>
    <row r="316" spans="1:1" x14ac:dyDescent="0.35">
      <c r="A316"/>
    </row>
    <row r="317" spans="1:1" x14ac:dyDescent="0.35">
      <c r="A317"/>
    </row>
    <row r="318" spans="1:1" x14ac:dyDescent="0.35">
      <c r="A318"/>
    </row>
    <row r="319" spans="1:1" x14ac:dyDescent="0.35">
      <c r="A319"/>
    </row>
    <row r="320" spans="1:1" x14ac:dyDescent="0.35">
      <c r="A320"/>
    </row>
    <row r="321" spans="1:1" x14ac:dyDescent="0.35">
      <c r="A321"/>
    </row>
    <row r="322" spans="1:1" x14ac:dyDescent="0.35">
      <c r="A322"/>
    </row>
    <row r="323" spans="1:1" x14ac:dyDescent="0.35">
      <c r="A323"/>
    </row>
    <row r="324" spans="1:1" x14ac:dyDescent="0.35">
      <c r="A324"/>
    </row>
    <row r="325" spans="1:1" x14ac:dyDescent="0.35">
      <c r="A325"/>
    </row>
    <row r="326" spans="1:1" x14ac:dyDescent="0.35">
      <c r="A326"/>
    </row>
    <row r="327" spans="1:1" x14ac:dyDescent="0.35">
      <c r="A327"/>
    </row>
    <row r="328" spans="1:1" x14ac:dyDescent="0.35">
      <c r="A328"/>
    </row>
    <row r="329" spans="1:1" x14ac:dyDescent="0.35">
      <c r="A329"/>
    </row>
    <row r="330" spans="1:1" x14ac:dyDescent="0.35">
      <c r="A330"/>
    </row>
    <row r="331" spans="1:1" x14ac:dyDescent="0.35">
      <c r="A331"/>
    </row>
    <row r="332" spans="1:1" x14ac:dyDescent="0.35">
      <c r="A332"/>
    </row>
    <row r="333" spans="1:1" x14ac:dyDescent="0.35">
      <c r="A333"/>
    </row>
    <row r="334" spans="1:1" x14ac:dyDescent="0.35">
      <c r="A334"/>
    </row>
    <row r="335" spans="1:1" x14ac:dyDescent="0.35">
      <c r="A335"/>
    </row>
    <row r="336" spans="1:1" x14ac:dyDescent="0.35">
      <c r="A336"/>
    </row>
    <row r="337" spans="1:1" x14ac:dyDescent="0.35">
      <c r="A337"/>
    </row>
    <row r="338" spans="1:1" x14ac:dyDescent="0.35">
      <c r="A338"/>
    </row>
    <row r="339" spans="1:1" x14ac:dyDescent="0.35">
      <c r="A339"/>
    </row>
    <row r="340" spans="1:1" x14ac:dyDescent="0.35">
      <c r="A340"/>
    </row>
    <row r="341" spans="1:1" x14ac:dyDescent="0.35">
      <c r="A341"/>
    </row>
    <row r="342" spans="1:1" x14ac:dyDescent="0.35">
      <c r="A342"/>
    </row>
    <row r="343" spans="1:1" x14ac:dyDescent="0.35">
      <c r="A343"/>
    </row>
    <row r="344" spans="1:1" x14ac:dyDescent="0.35">
      <c r="A344"/>
    </row>
    <row r="345" spans="1:1" x14ac:dyDescent="0.35">
      <c r="A345"/>
    </row>
    <row r="346" spans="1:1" x14ac:dyDescent="0.35">
      <c r="A346"/>
    </row>
    <row r="347" spans="1:1" x14ac:dyDescent="0.35">
      <c r="A347"/>
    </row>
    <row r="348" spans="1:1" x14ac:dyDescent="0.35">
      <c r="A348"/>
    </row>
    <row r="349" spans="1:1" x14ac:dyDescent="0.35">
      <c r="A349"/>
    </row>
    <row r="350" spans="1:1" x14ac:dyDescent="0.35">
      <c r="A350"/>
    </row>
    <row r="351" spans="1:1" x14ac:dyDescent="0.35">
      <c r="A351"/>
    </row>
    <row r="352" spans="1:1" x14ac:dyDescent="0.35">
      <c r="A352"/>
    </row>
    <row r="353" spans="1:1" x14ac:dyDescent="0.35">
      <c r="A353"/>
    </row>
    <row r="354" spans="1:1" x14ac:dyDescent="0.35">
      <c r="A354"/>
    </row>
    <row r="355" spans="1:1" x14ac:dyDescent="0.35">
      <c r="A355"/>
    </row>
    <row r="356" spans="1:1" x14ac:dyDescent="0.35">
      <c r="A356"/>
    </row>
    <row r="357" spans="1:1" x14ac:dyDescent="0.35">
      <c r="A357"/>
    </row>
    <row r="358" spans="1:1" x14ac:dyDescent="0.35">
      <c r="A358"/>
    </row>
    <row r="359" spans="1:1" x14ac:dyDescent="0.35">
      <c r="A359"/>
    </row>
    <row r="360" spans="1:1" x14ac:dyDescent="0.35">
      <c r="A360"/>
    </row>
    <row r="361" spans="1:1" x14ac:dyDescent="0.35">
      <c r="A361"/>
    </row>
    <row r="362" spans="1:1" x14ac:dyDescent="0.35">
      <c r="A362"/>
    </row>
    <row r="363" spans="1:1" x14ac:dyDescent="0.35">
      <c r="A363"/>
    </row>
    <row r="364" spans="1:1" x14ac:dyDescent="0.35">
      <c r="A364"/>
    </row>
    <row r="365" spans="1:1" x14ac:dyDescent="0.35">
      <c r="A365"/>
    </row>
    <row r="366" spans="1:1" x14ac:dyDescent="0.35">
      <c r="A366"/>
    </row>
    <row r="367" spans="1:1" x14ac:dyDescent="0.35">
      <c r="A367"/>
    </row>
    <row r="368" spans="1:1" x14ac:dyDescent="0.35">
      <c r="A368"/>
    </row>
    <row r="369" spans="1:1" x14ac:dyDescent="0.35">
      <c r="A369"/>
    </row>
    <row r="370" spans="1:1" x14ac:dyDescent="0.35">
      <c r="A370"/>
    </row>
    <row r="371" spans="1:1" x14ac:dyDescent="0.35">
      <c r="A371"/>
    </row>
    <row r="372" spans="1:1" x14ac:dyDescent="0.35">
      <c r="A372"/>
    </row>
    <row r="373" spans="1:1" x14ac:dyDescent="0.35">
      <c r="A373"/>
    </row>
    <row r="374" spans="1:1" x14ac:dyDescent="0.35">
      <c r="A374"/>
    </row>
    <row r="375" spans="1:1" x14ac:dyDescent="0.35">
      <c r="A375"/>
    </row>
    <row r="376" spans="1:1" x14ac:dyDescent="0.35">
      <c r="A376"/>
    </row>
    <row r="377" spans="1:1" x14ac:dyDescent="0.35">
      <c r="A377"/>
    </row>
    <row r="378" spans="1:1" x14ac:dyDescent="0.35">
      <c r="A378"/>
    </row>
    <row r="379" spans="1:1" x14ac:dyDescent="0.35">
      <c r="A379"/>
    </row>
    <row r="380" spans="1:1" x14ac:dyDescent="0.35">
      <c r="A380"/>
    </row>
    <row r="381" spans="1:1" x14ac:dyDescent="0.35">
      <c r="A381"/>
    </row>
    <row r="382" spans="1:1" x14ac:dyDescent="0.35">
      <c r="A382"/>
    </row>
    <row r="383" spans="1:1" x14ac:dyDescent="0.35">
      <c r="A383"/>
    </row>
    <row r="384" spans="1:1" x14ac:dyDescent="0.35">
      <c r="A384"/>
    </row>
    <row r="385" spans="1:1" x14ac:dyDescent="0.35">
      <c r="A385"/>
    </row>
    <row r="386" spans="1:1" x14ac:dyDescent="0.35">
      <c r="A386"/>
    </row>
    <row r="387" spans="1:1" x14ac:dyDescent="0.35">
      <c r="A387"/>
    </row>
    <row r="388" spans="1:1" x14ac:dyDescent="0.35">
      <c r="A388"/>
    </row>
    <row r="389" spans="1:1" x14ac:dyDescent="0.35">
      <c r="A389"/>
    </row>
    <row r="390" spans="1:1" x14ac:dyDescent="0.35">
      <c r="A390"/>
    </row>
    <row r="391" spans="1:1" x14ac:dyDescent="0.35">
      <c r="A391"/>
    </row>
    <row r="392" spans="1:1" x14ac:dyDescent="0.35">
      <c r="A392"/>
    </row>
    <row r="393" spans="1:1" x14ac:dyDescent="0.35">
      <c r="A393"/>
    </row>
    <row r="394" spans="1:1" x14ac:dyDescent="0.35">
      <c r="A394"/>
    </row>
    <row r="395" spans="1:1" x14ac:dyDescent="0.35">
      <c r="A395"/>
    </row>
    <row r="396" spans="1:1" x14ac:dyDescent="0.35">
      <c r="A396"/>
    </row>
    <row r="397" spans="1:1" x14ac:dyDescent="0.35">
      <c r="A397"/>
    </row>
    <row r="398" spans="1:1" x14ac:dyDescent="0.35">
      <c r="A398"/>
    </row>
    <row r="399" spans="1:1" x14ac:dyDescent="0.35">
      <c r="A399"/>
    </row>
    <row r="400" spans="1:1" x14ac:dyDescent="0.35">
      <c r="A400"/>
    </row>
    <row r="401" spans="1:1" x14ac:dyDescent="0.35">
      <c r="A401"/>
    </row>
    <row r="402" spans="1:1" x14ac:dyDescent="0.35">
      <c r="A402"/>
    </row>
    <row r="403" spans="1:1" x14ac:dyDescent="0.35">
      <c r="A403"/>
    </row>
    <row r="404" spans="1:1" x14ac:dyDescent="0.35">
      <c r="A404"/>
    </row>
    <row r="405" spans="1:1" x14ac:dyDescent="0.35">
      <c r="A405"/>
    </row>
    <row r="406" spans="1:1" x14ac:dyDescent="0.35">
      <c r="A406"/>
    </row>
    <row r="407" spans="1:1" x14ac:dyDescent="0.35">
      <c r="A407"/>
    </row>
    <row r="408" spans="1:1" x14ac:dyDescent="0.35">
      <c r="A408"/>
    </row>
    <row r="409" spans="1:1" x14ac:dyDescent="0.35">
      <c r="A409"/>
    </row>
    <row r="410" spans="1:1" x14ac:dyDescent="0.35">
      <c r="A410"/>
    </row>
    <row r="411" spans="1:1" x14ac:dyDescent="0.35">
      <c r="A411"/>
    </row>
    <row r="412" spans="1:1" x14ac:dyDescent="0.35">
      <c r="A412"/>
    </row>
    <row r="413" spans="1:1" x14ac:dyDescent="0.35">
      <c r="A413"/>
    </row>
    <row r="414" spans="1:1" x14ac:dyDescent="0.35">
      <c r="A414"/>
    </row>
    <row r="415" spans="1:1" x14ac:dyDescent="0.35">
      <c r="A415"/>
    </row>
    <row r="416" spans="1:1" x14ac:dyDescent="0.35">
      <c r="A416"/>
    </row>
    <row r="417" spans="1:1" x14ac:dyDescent="0.35">
      <c r="A417"/>
    </row>
    <row r="418" spans="1:1" x14ac:dyDescent="0.35">
      <c r="A418"/>
    </row>
    <row r="419" spans="1:1" x14ac:dyDescent="0.35">
      <c r="A419"/>
    </row>
    <row r="420" spans="1:1" x14ac:dyDescent="0.35">
      <c r="A420"/>
    </row>
    <row r="421" spans="1:1" x14ac:dyDescent="0.35">
      <c r="A421"/>
    </row>
    <row r="422" spans="1:1" x14ac:dyDescent="0.35">
      <c r="A422"/>
    </row>
    <row r="423" spans="1:1" x14ac:dyDescent="0.35">
      <c r="A423"/>
    </row>
    <row r="424" spans="1:1" x14ac:dyDescent="0.35">
      <c r="A424"/>
    </row>
    <row r="425" spans="1:1" x14ac:dyDescent="0.35">
      <c r="A425"/>
    </row>
    <row r="426" spans="1:1" x14ac:dyDescent="0.35">
      <c r="A426"/>
    </row>
    <row r="427" spans="1:1" x14ac:dyDescent="0.35">
      <c r="A427"/>
    </row>
    <row r="428" spans="1:1" x14ac:dyDescent="0.35">
      <c r="A428"/>
    </row>
    <row r="429" spans="1:1" x14ac:dyDescent="0.35">
      <c r="A429"/>
    </row>
    <row r="430" spans="1:1" x14ac:dyDescent="0.35">
      <c r="A430"/>
    </row>
    <row r="431" spans="1:1" x14ac:dyDescent="0.35">
      <c r="A431"/>
    </row>
    <row r="432" spans="1:1" x14ac:dyDescent="0.35">
      <c r="A432"/>
    </row>
    <row r="433" spans="1:1" x14ac:dyDescent="0.35">
      <c r="A433"/>
    </row>
    <row r="434" spans="1:1" x14ac:dyDescent="0.35">
      <c r="A434"/>
    </row>
    <row r="435" spans="1:1" x14ac:dyDescent="0.35">
      <c r="A435"/>
    </row>
    <row r="436" spans="1:1" x14ac:dyDescent="0.35">
      <c r="A436"/>
    </row>
    <row r="437" spans="1:1" x14ac:dyDescent="0.35">
      <c r="A437"/>
    </row>
    <row r="438" spans="1:1" x14ac:dyDescent="0.35">
      <c r="A438"/>
    </row>
    <row r="439" spans="1:1" x14ac:dyDescent="0.35">
      <c r="A439"/>
    </row>
    <row r="440" spans="1:1" x14ac:dyDescent="0.35">
      <c r="A440"/>
    </row>
    <row r="441" spans="1:1" x14ac:dyDescent="0.35">
      <c r="A441"/>
    </row>
    <row r="442" spans="1:1" x14ac:dyDescent="0.35">
      <c r="A442"/>
    </row>
    <row r="443" spans="1:1" x14ac:dyDescent="0.35">
      <c r="A443"/>
    </row>
    <row r="444" spans="1:1" x14ac:dyDescent="0.35">
      <c r="A444"/>
    </row>
    <row r="445" spans="1:1" x14ac:dyDescent="0.35">
      <c r="A445"/>
    </row>
    <row r="446" spans="1:1" x14ac:dyDescent="0.35">
      <c r="A446"/>
    </row>
    <row r="447" spans="1:1" x14ac:dyDescent="0.35">
      <c r="A447"/>
    </row>
    <row r="448" spans="1:1" x14ac:dyDescent="0.35">
      <c r="A448"/>
    </row>
    <row r="449" spans="1:1" x14ac:dyDescent="0.35">
      <c r="A449"/>
    </row>
    <row r="450" spans="1:1" x14ac:dyDescent="0.35">
      <c r="A450"/>
    </row>
    <row r="451" spans="1:1" x14ac:dyDescent="0.35">
      <c r="A451"/>
    </row>
    <row r="452" spans="1:1" x14ac:dyDescent="0.35">
      <c r="A452"/>
    </row>
    <row r="453" spans="1:1" x14ac:dyDescent="0.35">
      <c r="A453"/>
    </row>
    <row r="454" spans="1:1" x14ac:dyDescent="0.35">
      <c r="A454"/>
    </row>
    <row r="455" spans="1:1" x14ac:dyDescent="0.35">
      <c r="A455"/>
    </row>
    <row r="456" spans="1:1" x14ac:dyDescent="0.35">
      <c r="A456"/>
    </row>
    <row r="457" spans="1:1" x14ac:dyDescent="0.35">
      <c r="A457"/>
    </row>
    <row r="458" spans="1:1" x14ac:dyDescent="0.35">
      <c r="A458"/>
    </row>
    <row r="459" spans="1:1" x14ac:dyDescent="0.35">
      <c r="A459"/>
    </row>
    <row r="460" spans="1:1" x14ac:dyDescent="0.35">
      <c r="A460"/>
    </row>
    <row r="461" spans="1:1" x14ac:dyDescent="0.35">
      <c r="A461"/>
    </row>
    <row r="462" spans="1:1" x14ac:dyDescent="0.35">
      <c r="A462"/>
    </row>
    <row r="463" spans="1:1" x14ac:dyDescent="0.35">
      <c r="A463"/>
    </row>
    <row r="464" spans="1:1" x14ac:dyDescent="0.35">
      <c r="A464"/>
    </row>
    <row r="465" spans="1:1" x14ac:dyDescent="0.35">
      <c r="A465"/>
    </row>
    <row r="466" spans="1:1" x14ac:dyDescent="0.35">
      <c r="A466"/>
    </row>
    <row r="467" spans="1:1" x14ac:dyDescent="0.35">
      <c r="A467"/>
    </row>
    <row r="468" spans="1:1" x14ac:dyDescent="0.35">
      <c r="A468"/>
    </row>
    <row r="469" spans="1:1" x14ac:dyDescent="0.35">
      <c r="A469"/>
    </row>
    <row r="470" spans="1:1" x14ac:dyDescent="0.35">
      <c r="A470"/>
    </row>
    <row r="471" spans="1:1" x14ac:dyDescent="0.35">
      <c r="A471"/>
    </row>
    <row r="472" spans="1:1" x14ac:dyDescent="0.35">
      <c r="A472"/>
    </row>
    <row r="473" spans="1:1" x14ac:dyDescent="0.35">
      <c r="A473"/>
    </row>
    <row r="474" spans="1:1" x14ac:dyDescent="0.35">
      <c r="A474"/>
    </row>
    <row r="475" spans="1:1" x14ac:dyDescent="0.35">
      <c r="A475"/>
    </row>
    <row r="476" spans="1:1" x14ac:dyDescent="0.35">
      <c r="A476"/>
    </row>
    <row r="477" spans="1:1" x14ac:dyDescent="0.35">
      <c r="A477"/>
    </row>
    <row r="478" spans="1:1" x14ac:dyDescent="0.35">
      <c r="A478"/>
    </row>
    <row r="479" spans="1:1" x14ac:dyDescent="0.35">
      <c r="A479"/>
    </row>
    <row r="480" spans="1:1" x14ac:dyDescent="0.35">
      <c r="A480"/>
    </row>
    <row r="481" spans="1:1" x14ac:dyDescent="0.35">
      <c r="A481"/>
    </row>
    <row r="482" spans="1:1" x14ac:dyDescent="0.35">
      <c r="A482"/>
    </row>
    <row r="483" spans="1:1" x14ac:dyDescent="0.35">
      <c r="A483"/>
    </row>
    <row r="484" spans="1:1" x14ac:dyDescent="0.35">
      <c r="A484"/>
    </row>
    <row r="485" spans="1:1" x14ac:dyDescent="0.35">
      <c r="A485"/>
    </row>
    <row r="486" spans="1:1" x14ac:dyDescent="0.35">
      <c r="A486"/>
    </row>
    <row r="487" spans="1:1" x14ac:dyDescent="0.35">
      <c r="A487"/>
    </row>
    <row r="488" spans="1:1" x14ac:dyDescent="0.35">
      <c r="A488"/>
    </row>
    <row r="489" spans="1:1" x14ac:dyDescent="0.35">
      <c r="A489"/>
    </row>
    <row r="490" spans="1:1" x14ac:dyDescent="0.35">
      <c r="A490"/>
    </row>
    <row r="491" spans="1:1" x14ac:dyDescent="0.35">
      <c r="A491"/>
    </row>
    <row r="492" spans="1:1" x14ac:dyDescent="0.35">
      <c r="A492"/>
    </row>
    <row r="493" spans="1:1" x14ac:dyDescent="0.35">
      <c r="A493"/>
    </row>
    <row r="494" spans="1:1" x14ac:dyDescent="0.35">
      <c r="A494"/>
    </row>
    <row r="495" spans="1:1" x14ac:dyDescent="0.35">
      <c r="A495"/>
    </row>
    <row r="496" spans="1:1" x14ac:dyDescent="0.35">
      <c r="A496"/>
    </row>
    <row r="497" spans="1:1" x14ac:dyDescent="0.35">
      <c r="A497"/>
    </row>
    <row r="498" spans="1:1" x14ac:dyDescent="0.35">
      <c r="A498"/>
    </row>
    <row r="499" spans="1:1" x14ac:dyDescent="0.35">
      <c r="A499"/>
    </row>
    <row r="500" spans="1:1" x14ac:dyDescent="0.35">
      <c r="A500"/>
    </row>
    <row r="501" spans="1:1" x14ac:dyDescent="0.35">
      <c r="A501"/>
    </row>
    <row r="502" spans="1:1" x14ac:dyDescent="0.35">
      <c r="A502"/>
    </row>
    <row r="503" spans="1:1" x14ac:dyDescent="0.35">
      <c r="A503"/>
    </row>
    <row r="504" spans="1:1" x14ac:dyDescent="0.35">
      <c r="A504"/>
    </row>
    <row r="505" spans="1:1" x14ac:dyDescent="0.35">
      <c r="A505"/>
    </row>
    <row r="506" spans="1:1" x14ac:dyDescent="0.35">
      <c r="A506"/>
    </row>
    <row r="507" spans="1:1" x14ac:dyDescent="0.35">
      <c r="A507"/>
    </row>
    <row r="508" spans="1:1" x14ac:dyDescent="0.35">
      <c r="A508"/>
    </row>
    <row r="509" spans="1:1" x14ac:dyDescent="0.35">
      <c r="A509"/>
    </row>
    <row r="510" spans="1:1" x14ac:dyDescent="0.35">
      <c r="A510"/>
    </row>
    <row r="511" spans="1:1" x14ac:dyDescent="0.35">
      <c r="A511"/>
    </row>
    <row r="512" spans="1:1" x14ac:dyDescent="0.35">
      <c r="A512"/>
    </row>
    <row r="513" spans="1:1" x14ac:dyDescent="0.35">
      <c r="A513"/>
    </row>
    <row r="514" spans="1:1" x14ac:dyDescent="0.35">
      <c r="A514"/>
    </row>
    <row r="515" spans="1:1" x14ac:dyDescent="0.35">
      <c r="A515"/>
    </row>
    <row r="516" spans="1:1" x14ac:dyDescent="0.35">
      <c r="A516"/>
    </row>
    <row r="517" spans="1:1" x14ac:dyDescent="0.35">
      <c r="A517"/>
    </row>
    <row r="518" spans="1:1" x14ac:dyDescent="0.35">
      <c r="A518"/>
    </row>
    <row r="519" spans="1:1" x14ac:dyDescent="0.35">
      <c r="A519"/>
    </row>
    <row r="520" spans="1:1" x14ac:dyDescent="0.35">
      <c r="A520"/>
    </row>
    <row r="521" spans="1:1" x14ac:dyDescent="0.35">
      <c r="A521"/>
    </row>
    <row r="522" spans="1:1" x14ac:dyDescent="0.35">
      <c r="A522"/>
    </row>
    <row r="523" spans="1:1" x14ac:dyDescent="0.35">
      <c r="A523"/>
    </row>
    <row r="524" spans="1:1" x14ac:dyDescent="0.35">
      <c r="A524"/>
    </row>
    <row r="525" spans="1:1" x14ac:dyDescent="0.35">
      <c r="A525"/>
    </row>
    <row r="526" spans="1:1" x14ac:dyDescent="0.35">
      <c r="A526"/>
    </row>
    <row r="527" spans="1:1" x14ac:dyDescent="0.35">
      <c r="A527"/>
    </row>
    <row r="528" spans="1:1" x14ac:dyDescent="0.35">
      <c r="A528"/>
    </row>
    <row r="529" spans="1:1" x14ac:dyDescent="0.35">
      <c r="A529"/>
    </row>
    <row r="530" spans="1:1" x14ac:dyDescent="0.35">
      <c r="A530"/>
    </row>
    <row r="531" spans="1:1" x14ac:dyDescent="0.35">
      <c r="A531"/>
    </row>
    <row r="532" spans="1:1" x14ac:dyDescent="0.35">
      <c r="A532"/>
    </row>
    <row r="533" spans="1:1" x14ac:dyDescent="0.35">
      <c r="A533"/>
    </row>
    <row r="534" spans="1:1" x14ac:dyDescent="0.35">
      <c r="A534"/>
    </row>
    <row r="535" spans="1:1" x14ac:dyDescent="0.35">
      <c r="A535"/>
    </row>
    <row r="536" spans="1:1" x14ac:dyDescent="0.35">
      <c r="A536"/>
    </row>
    <row r="537" spans="1:1" x14ac:dyDescent="0.35">
      <c r="A537"/>
    </row>
    <row r="538" spans="1:1" x14ac:dyDescent="0.35">
      <c r="A538"/>
    </row>
    <row r="539" spans="1:1" x14ac:dyDescent="0.35">
      <c r="A539"/>
    </row>
    <row r="540" spans="1:1" x14ac:dyDescent="0.35">
      <c r="A540"/>
    </row>
    <row r="541" spans="1:1" x14ac:dyDescent="0.35">
      <c r="A541"/>
    </row>
    <row r="542" spans="1:1" x14ac:dyDescent="0.35">
      <c r="A542"/>
    </row>
    <row r="543" spans="1:1" x14ac:dyDescent="0.35">
      <c r="A543"/>
    </row>
    <row r="544" spans="1:1" x14ac:dyDescent="0.35">
      <c r="A544"/>
    </row>
    <row r="545" spans="1:1" x14ac:dyDescent="0.35">
      <c r="A545"/>
    </row>
    <row r="546" spans="1:1" x14ac:dyDescent="0.35">
      <c r="A546"/>
    </row>
    <row r="547" spans="1:1" x14ac:dyDescent="0.35">
      <c r="A547"/>
    </row>
    <row r="548" spans="1:1" x14ac:dyDescent="0.35">
      <c r="A548"/>
    </row>
    <row r="549" spans="1:1" x14ac:dyDescent="0.35">
      <c r="A549"/>
    </row>
    <row r="550" spans="1:1" x14ac:dyDescent="0.35">
      <c r="A550"/>
    </row>
    <row r="551" spans="1:1" x14ac:dyDescent="0.35">
      <c r="A551"/>
    </row>
    <row r="552" spans="1:1" x14ac:dyDescent="0.35">
      <c r="A552"/>
    </row>
    <row r="553" spans="1:1" x14ac:dyDescent="0.35">
      <c r="A553"/>
    </row>
    <row r="554" spans="1:1" x14ac:dyDescent="0.35">
      <c r="A554"/>
    </row>
    <row r="555" spans="1:1" x14ac:dyDescent="0.35">
      <c r="A555"/>
    </row>
    <row r="556" spans="1:1" x14ac:dyDescent="0.35">
      <c r="A556"/>
    </row>
    <row r="557" spans="1:1" x14ac:dyDescent="0.35">
      <c r="A557"/>
    </row>
    <row r="558" spans="1:1" x14ac:dyDescent="0.35">
      <c r="A558"/>
    </row>
    <row r="559" spans="1:1" x14ac:dyDescent="0.35">
      <c r="A559"/>
    </row>
    <row r="560" spans="1:1" x14ac:dyDescent="0.35">
      <c r="A560"/>
    </row>
    <row r="561" spans="1:1" x14ac:dyDescent="0.35">
      <c r="A561"/>
    </row>
    <row r="562" spans="1:1" x14ac:dyDescent="0.35">
      <c r="A562"/>
    </row>
    <row r="563" spans="1:1" x14ac:dyDescent="0.35">
      <c r="A563"/>
    </row>
    <row r="564" spans="1:1" x14ac:dyDescent="0.35">
      <c r="A564"/>
    </row>
    <row r="565" spans="1:1" x14ac:dyDescent="0.35">
      <c r="A565"/>
    </row>
    <row r="566" spans="1:1" x14ac:dyDescent="0.35">
      <c r="A566"/>
    </row>
    <row r="567" spans="1:1" x14ac:dyDescent="0.35">
      <c r="A567"/>
    </row>
    <row r="568" spans="1:1" x14ac:dyDescent="0.35">
      <c r="A568"/>
    </row>
    <row r="569" spans="1:1" x14ac:dyDescent="0.35">
      <c r="A569"/>
    </row>
    <row r="570" spans="1:1" x14ac:dyDescent="0.35">
      <c r="A570"/>
    </row>
    <row r="571" spans="1:1" x14ac:dyDescent="0.35">
      <c r="A571"/>
    </row>
    <row r="572" spans="1:1" x14ac:dyDescent="0.35">
      <c r="A572"/>
    </row>
    <row r="573" spans="1:1" x14ac:dyDescent="0.35">
      <c r="A573"/>
    </row>
    <row r="574" spans="1:1" x14ac:dyDescent="0.35">
      <c r="A574"/>
    </row>
    <row r="575" spans="1:1" x14ac:dyDescent="0.35">
      <c r="A575"/>
    </row>
    <row r="576" spans="1:1" x14ac:dyDescent="0.35">
      <c r="A576"/>
    </row>
    <row r="577" spans="1:1" x14ac:dyDescent="0.35">
      <c r="A577"/>
    </row>
    <row r="578" spans="1:1" x14ac:dyDescent="0.35">
      <c r="A578"/>
    </row>
    <row r="579" spans="1:1" x14ac:dyDescent="0.35">
      <c r="A579"/>
    </row>
    <row r="580" spans="1:1" x14ac:dyDescent="0.35">
      <c r="A580"/>
    </row>
    <row r="581" spans="1:1" x14ac:dyDescent="0.35">
      <c r="A581"/>
    </row>
    <row r="582" spans="1:1" x14ac:dyDescent="0.35">
      <c r="A582"/>
    </row>
    <row r="583" spans="1:1" x14ac:dyDescent="0.35">
      <c r="A583"/>
    </row>
    <row r="584" spans="1:1" x14ac:dyDescent="0.35">
      <c r="A584"/>
    </row>
    <row r="585" spans="1:1" x14ac:dyDescent="0.35">
      <c r="A585"/>
    </row>
    <row r="586" spans="1:1" x14ac:dyDescent="0.35">
      <c r="A586"/>
    </row>
    <row r="587" spans="1:1" x14ac:dyDescent="0.35">
      <c r="A587"/>
    </row>
    <row r="588" spans="1:1" x14ac:dyDescent="0.35">
      <c r="A588"/>
    </row>
    <row r="589" spans="1:1" x14ac:dyDescent="0.35">
      <c r="A589"/>
    </row>
    <row r="590" spans="1:1" x14ac:dyDescent="0.35">
      <c r="A590"/>
    </row>
    <row r="591" spans="1:1" x14ac:dyDescent="0.35">
      <c r="A591"/>
    </row>
    <row r="592" spans="1:1" x14ac:dyDescent="0.35">
      <c r="A592"/>
    </row>
    <row r="593" spans="1:1" x14ac:dyDescent="0.35">
      <c r="A593"/>
    </row>
    <row r="594" spans="1:1" x14ac:dyDescent="0.35">
      <c r="A594"/>
    </row>
    <row r="595" spans="1:1" x14ac:dyDescent="0.35">
      <c r="A595"/>
    </row>
    <row r="596" spans="1:1" x14ac:dyDescent="0.35">
      <c r="A596"/>
    </row>
    <row r="597" spans="1:1" x14ac:dyDescent="0.35">
      <c r="A597"/>
    </row>
    <row r="598" spans="1:1" x14ac:dyDescent="0.35">
      <c r="A598"/>
    </row>
    <row r="599" spans="1:1" x14ac:dyDescent="0.35">
      <c r="A599"/>
    </row>
    <row r="600" spans="1:1" x14ac:dyDescent="0.35">
      <c r="A600"/>
    </row>
    <row r="601" spans="1:1" x14ac:dyDescent="0.35">
      <c r="A601"/>
    </row>
    <row r="602" spans="1:1" x14ac:dyDescent="0.35">
      <c r="A602"/>
    </row>
    <row r="603" spans="1:1" x14ac:dyDescent="0.35">
      <c r="A603"/>
    </row>
    <row r="604" spans="1:1" x14ac:dyDescent="0.35">
      <c r="A604"/>
    </row>
    <row r="605" spans="1:1" x14ac:dyDescent="0.35">
      <c r="A605"/>
    </row>
    <row r="606" spans="1:1" x14ac:dyDescent="0.35">
      <c r="A606"/>
    </row>
    <row r="607" spans="1:1" x14ac:dyDescent="0.35">
      <c r="A607"/>
    </row>
    <row r="608" spans="1:1" x14ac:dyDescent="0.35">
      <c r="A608"/>
    </row>
    <row r="609" spans="1:1" x14ac:dyDescent="0.35">
      <c r="A609"/>
    </row>
    <row r="610" spans="1:1" x14ac:dyDescent="0.35">
      <c r="A610"/>
    </row>
    <row r="611" spans="1:1" x14ac:dyDescent="0.35">
      <c r="A611"/>
    </row>
    <row r="612" spans="1:1" x14ac:dyDescent="0.35">
      <c r="A612"/>
    </row>
    <row r="613" spans="1:1" x14ac:dyDescent="0.35">
      <c r="A613"/>
    </row>
    <row r="614" spans="1:1" x14ac:dyDescent="0.35">
      <c r="A614"/>
    </row>
    <row r="615" spans="1:1" x14ac:dyDescent="0.35">
      <c r="A615"/>
    </row>
    <row r="616" spans="1:1" x14ac:dyDescent="0.35">
      <c r="A616"/>
    </row>
    <row r="617" spans="1:1" x14ac:dyDescent="0.35">
      <c r="A617"/>
    </row>
    <row r="618" spans="1:1" x14ac:dyDescent="0.35">
      <c r="A618"/>
    </row>
    <row r="619" spans="1:1" x14ac:dyDescent="0.35">
      <c r="A619"/>
    </row>
    <row r="620" spans="1:1" x14ac:dyDescent="0.35">
      <c r="A620"/>
    </row>
    <row r="621" spans="1:1" x14ac:dyDescent="0.35">
      <c r="A621"/>
    </row>
    <row r="622" spans="1:1" x14ac:dyDescent="0.35">
      <c r="A622"/>
    </row>
    <row r="623" spans="1:1" x14ac:dyDescent="0.35">
      <c r="A623"/>
    </row>
    <row r="624" spans="1:1" x14ac:dyDescent="0.35">
      <c r="A624"/>
    </row>
    <row r="625" spans="1:1" x14ac:dyDescent="0.35">
      <c r="A625"/>
    </row>
    <row r="626" spans="1:1" x14ac:dyDescent="0.35">
      <c r="A626"/>
    </row>
    <row r="627" spans="1:1" x14ac:dyDescent="0.35">
      <c r="A627"/>
    </row>
    <row r="628" spans="1:1" x14ac:dyDescent="0.35">
      <c r="A628"/>
    </row>
    <row r="629" spans="1:1" x14ac:dyDescent="0.35">
      <c r="A629"/>
    </row>
    <row r="630" spans="1:1" x14ac:dyDescent="0.35">
      <c r="A630"/>
    </row>
    <row r="631" spans="1:1" x14ac:dyDescent="0.35">
      <c r="A631"/>
    </row>
    <row r="632" spans="1:1" x14ac:dyDescent="0.35">
      <c r="A632"/>
    </row>
    <row r="633" spans="1:1" x14ac:dyDescent="0.35">
      <c r="A633"/>
    </row>
    <row r="634" spans="1:1" x14ac:dyDescent="0.35">
      <c r="A634"/>
    </row>
    <row r="635" spans="1:1" x14ac:dyDescent="0.35">
      <c r="A635"/>
    </row>
    <row r="636" spans="1:1" x14ac:dyDescent="0.35">
      <c r="A636"/>
    </row>
    <row r="637" spans="1:1" x14ac:dyDescent="0.35">
      <c r="A637"/>
    </row>
    <row r="638" spans="1:1" x14ac:dyDescent="0.35">
      <c r="A638"/>
    </row>
    <row r="639" spans="1:1" x14ac:dyDescent="0.35">
      <c r="A639"/>
    </row>
    <row r="640" spans="1:1" x14ac:dyDescent="0.35">
      <c r="A640"/>
    </row>
    <row r="641" spans="1:1" x14ac:dyDescent="0.35">
      <c r="A641"/>
    </row>
    <row r="642" spans="1:1" x14ac:dyDescent="0.35">
      <c r="A642"/>
    </row>
    <row r="643" spans="1:1" x14ac:dyDescent="0.35">
      <c r="A643"/>
    </row>
    <row r="644" spans="1:1" x14ac:dyDescent="0.35">
      <c r="A644"/>
    </row>
    <row r="645" spans="1:1" x14ac:dyDescent="0.35">
      <c r="A645"/>
    </row>
    <row r="646" spans="1:1" x14ac:dyDescent="0.35">
      <c r="A646"/>
    </row>
    <row r="647" spans="1:1" x14ac:dyDescent="0.35">
      <c r="A647"/>
    </row>
    <row r="648" spans="1:1" x14ac:dyDescent="0.35">
      <c r="A648"/>
    </row>
    <row r="649" spans="1:1" x14ac:dyDescent="0.35">
      <c r="A649"/>
    </row>
    <row r="650" spans="1:1" x14ac:dyDescent="0.35">
      <c r="A650"/>
    </row>
    <row r="651" spans="1:1" x14ac:dyDescent="0.35">
      <c r="A651"/>
    </row>
    <row r="652" spans="1:1" x14ac:dyDescent="0.35">
      <c r="A652"/>
    </row>
    <row r="653" spans="1:1" x14ac:dyDescent="0.35">
      <c r="A653"/>
    </row>
    <row r="654" spans="1:1" x14ac:dyDescent="0.35">
      <c r="A654"/>
    </row>
    <row r="655" spans="1:1" x14ac:dyDescent="0.35">
      <c r="A655"/>
    </row>
    <row r="656" spans="1:1" x14ac:dyDescent="0.35">
      <c r="A656"/>
    </row>
    <row r="657" spans="1:1" x14ac:dyDescent="0.35">
      <c r="A657"/>
    </row>
    <row r="658" spans="1:1" x14ac:dyDescent="0.35">
      <c r="A658"/>
    </row>
    <row r="659" spans="1:1" x14ac:dyDescent="0.35">
      <c r="A659"/>
    </row>
    <row r="660" spans="1:1" x14ac:dyDescent="0.35">
      <c r="A660"/>
    </row>
    <row r="661" spans="1:1" x14ac:dyDescent="0.35">
      <c r="A661"/>
    </row>
    <row r="662" spans="1:1" x14ac:dyDescent="0.35">
      <c r="A662"/>
    </row>
    <row r="663" spans="1:1" x14ac:dyDescent="0.35">
      <c r="A663"/>
    </row>
    <row r="664" spans="1:1" x14ac:dyDescent="0.35">
      <c r="A664"/>
    </row>
    <row r="665" spans="1:1" x14ac:dyDescent="0.35">
      <c r="A665"/>
    </row>
    <row r="666" spans="1:1" x14ac:dyDescent="0.35">
      <c r="A666"/>
    </row>
    <row r="667" spans="1:1" x14ac:dyDescent="0.35">
      <c r="A667"/>
    </row>
    <row r="668" spans="1:1" x14ac:dyDescent="0.35">
      <c r="A668"/>
    </row>
    <row r="669" spans="1:1" x14ac:dyDescent="0.35">
      <c r="A669"/>
    </row>
    <row r="670" spans="1:1" x14ac:dyDescent="0.35">
      <c r="A670"/>
    </row>
    <row r="671" spans="1:1" x14ac:dyDescent="0.35">
      <c r="A671"/>
    </row>
    <row r="672" spans="1:1" x14ac:dyDescent="0.35">
      <c r="A672"/>
    </row>
    <row r="673" spans="1:1" x14ac:dyDescent="0.35">
      <c r="A673"/>
    </row>
    <row r="674" spans="1:1" x14ac:dyDescent="0.35">
      <c r="A674"/>
    </row>
    <row r="675" spans="1:1" x14ac:dyDescent="0.35">
      <c r="A675"/>
    </row>
    <row r="676" spans="1:1" x14ac:dyDescent="0.35">
      <c r="A676"/>
    </row>
    <row r="677" spans="1:1" x14ac:dyDescent="0.35">
      <c r="A677"/>
    </row>
    <row r="678" spans="1:1" x14ac:dyDescent="0.35">
      <c r="A678"/>
    </row>
    <row r="679" spans="1:1" x14ac:dyDescent="0.35">
      <c r="A679"/>
    </row>
    <row r="680" spans="1:1" x14ac:dyDescent="0.35">
      <c r="A680"/>
    </row>
    <row r="681" spans="1:1" x14ac:dyDescent="0.35">
      <c r="A681"/>
    </row>
    <row r="682" spans="1:1" x14ac:dyDescent="0.35">
      <c r="A682"/>
    </row>
    <row r="683" spans="1:1" x14ac:dyDescent="0.35">
      <c r="A683"/>
    </row>
    <row r="684" spans="1:1" x14ac:dyDescent="0.35">
      <c r="A684"/>
    </row>
    <row r="685" spans="1:1" x14ac:dyDescent="0.35">
      <c r="A685"/>
    </row>
    <row r="686" spans="1:1" x14ac:dyDescent="0.35">
      <c r="A686"/>
    </row>
    <row r="687" spans="1:1" x14ac:dyDescent="0.35">
      <c r="A687"/>
    </row>
    <row r="688" spans="1:1" x14ac:dyDescent="0.35">
      <c r="A688"/>
    </row>
    <row r="689" spans="1:1" x14ac:dyDescent="0.35">
      <c r="A689"/>
    </row>
    <row r="690" spans="1:1" x14ac:dyDescent="0.35">
      <c r="A690"/>
    </row>
    <row r="691" spans="1:1" x14ac:dyDescent="0.35">
      <c r="A691"/>
    </row>
    <row r="692" spans="1:1" x14ac:dyDescent="0.35">
      <c r="A692"/>
    </row>
    <row r="693" spans="1:1" x14ac:dyDescent="0.35">
      <c r="A693"/>
    </row>
    <row r="694" spans="1:1" x14ac:dyDescent="0.35">
      <c r="A694"/>
    </row>
    <row r="695" spans="1:1" x14ac:dyDescent="0.35">
      <c r="A695"/>
    </row>
    <row r="696" spans="1:1" x14ac:dyDescent="0.35">
      <c r="A696"/>
    </row>
    <row r="697" spans="1:1" x14ac:dyDescent="0.35">
      <c r="A697"/>
    </row>
    <row r="698" spans="1:1" x14ac:dyDescent="0.35">
      <c r="A698"/>
    </row>
    <row r="699" spans="1:1" x14ac:dyDescent="0.35">
      <c r="A699"/>
    </row>
    <row r="700" spans="1:1" x14ac:dyDescent="0.35">
      <c r="A700"/>
    </row>
    <row r="701" spans="1:1" x14ac:dyDescent="0.35">
      <c r="A701"/>
    </row>
    <row r="702" spans="1:1" x14ac:dyDescent="0.35">
      <c r="A702"/>
    </row>
    <row r="703" spans="1:1" x14ac:dyDescent="0.35">
      <c r="A703"/>
    </row>
    <row r="704" spans="1:1" x14ac:dyDescent="0.35">
      <c r="A704"/>
    </row>
    <row r="705" spans="1:1" x14ac:dyDescent="0.35">
      <c r="A705"/>
    </row>
    <row r="706" spans="1:1" x14ac:dyDescent="0.35">
      <c r="A706"/>
    </row>
    <row r="707" spans="1:1" x14ac:dyDescent="0.35">
      <c r="A707"/>
    </row>
    <row r="708" spans="1:1" x14ac:dyDescent="0.35">
      <c r="A708"/>
    </row>
    <row r="709" spans="1:1" x14ac:dyDescent="0.35">
      <c r="A709"/>
    </row>
    <row r="710" spans="1:1" x14ac:dyDescent="0.35">
      <c r="A710"/>
    </row>
    <row r="711" spans="1:1" x14ac:dyDescent="0.35">
      <c r="A711"/>
    </row>
    <row r="712" spans="1:1" x14ac:dyDescent="0.35">
      <c r="A712"/>
    </row>
    <row r="713" spans="1:1" x14ac:dyDescent="0.35">
      <c r="A713"/>
    </row>
    <row r="714" spans="1:1" x14ac:dyDescent="0.35">
      <c r="A714"/>
    </row>
    <row r="715" spans="1:1" x14ac:dyDescent="0.35">
      <c r="A715"/>
    </row>
    <row r="716" spans="1:1" x14ac:dyDescent="0.35">
      <c r="A716"/>
    </row>
    <row r="717" spans="1:1" x14ac:dyDescent="0.35">
      <c r="A717"/>
    </row>
    <row r="718" spans="1:1" x14ac:dyDescent="0.35">
      <c r="A718"/>
    </row>
    <row r="719" spans="1:1" x14ac:dyDescent="0.35">
      <c r="A719"/>
    </row>
    <row r="720" spans="1:1" x14ac:dyDescent="0.35">
      <c r="A720"/>
    </row>
    <row r="721" spans="1:1" x14ac:dyDescent="0.35">
      <c r="A721"/>
    </row>
    <row r="722" spans="1:1" x14ac:dyDescent="0.35">
      <c r="A722"/>
    </row>
    <row r="723" spans="1:1" x14ac:dyDescent="0.35">
      <c r="A723"/>
    </row>
    <row r="724" spans="1:1" x14ac:dyDescent="0.35">
      <c r="A724"/>
    </row>
    <row r="725" spans="1:1" x14ac:dyDescent="0.35">
      <c r="A725"/>
    </row>
    <row r="726" spans="1:1" x14ac:dyDescent="0.35">
      <c r="A726"/>
    </row>
    <row r="727" spans="1:1" x14ac:dyDescent="0.35">
      <c r="A727"/>
    </row>
    <row r="728" spans="1:1" x14ac:dyDescent="0.35">
      <c r="A728"/>
    </row>
    <row r="729" spans="1:1" x14ac:dyDescent="0.35">
      <c r="A729"/>
    </row>
    <row r="730" spans="1:1" x14ac:dyDescent="0.35">
      <c r="A730"/>
    </row>
    <row r="731" spans="1:1" x14ac:dyDescent="0.35">
      <c r="A731"/>
    </row>
    <row r="732" spans="1:1" x14ac:dyDescent="0.35">
      <c r="A732"/>
    </row>
    <row r="733" spans="1:1" x14ac:dyDescent="0.35">
      <c r="A733"/>
    </row>
    <row r="734" spans="1:1" x14ac:dyDescent="0.35">
      <c r="A734"/>
    </row>
    <row r="735" spans="1:1" x14ac:dyDescent="0.35">
      <c r="A735"/>
    </row>
    <row r="736" spans="1:1" x14ac:dyDescent="0.35">
      <c r="A736"/>
    </row>
    <row r="737" spans="1:1" x14ac:dyDescent="0.35">
      <c r="A737"/>
    </row>
    <row r="738" spans="1:1" x14ac:dyDescent="0.35">
      <c r="A738"/>
    </row>
    <row r="739" spans="1:1" x14ac:dyDescent="0.35">
      <c r="A739"/>
    </row>
    <row r="740" spans="1:1" x14ac:dyDescent="0.35">
      <c r="A740"/>
    </row>
    <row r="741" spans="1:1" x14ac:dyDescent="0.35">
      <c r="A741"/>
    </row>
    <row r="742" spans="1:1" x14ac:dyDescent="0.35">
      <c r="A742"/>
    </row>
    <row r="743" spans="1:1" x14ac:dyDescent="0.35">
      <c r="A743"/>
    </row>
    <row r="744" spans="1:1" x14ac:dyDescent="0.35">
      <c r="A744"/>
    </row>
    <row r="745" spans="1:1" x14ac:dyDescent="0.35">
      <c r="A745"/>
    </row>
    <row r="746" spans="1:1" x14ac:dyDescent="0.35">
      <c r="A746"/>
    </row>
    <row r="747" spans="1:1" x14ac:dyDescent="0.35">
      <c r="A747"/>
    </row>
    <row r="748" spans="1:1" x14ac:dyDescent="0.35">
      <c r="A748"/>
    </row>
    <row r="749" spans="1:1" x14ac:dyDescent="0.35">
      <c r="A749"/>
    </row>
    <row r="750" spans="1:1" x14ac:dyDescent="0.35">
      <c r="A750"/>
    </row>
    <row r="751" spans="1:1" x14ac:dyDescent="0.35">
      <c r="A751"/>
    </row>
    <row r="752" spans="1:1" x14ac:dyDescent="0.35">
      <c r="A752"/>
    </row>
    <row r="753" spans="1:1" x14ac:dyDescent="0.35">
      <c r="A753"/>
    </row>
    <row r="754" spans="1:1" x14ac:dyDescent="0.35">
      <c r="A754"/>
    </row>
    <row r="755" spans="1:1" x14ac:dyDescent="0.35">
      <c r="A755"/>
    </row>
    <row r="756" spans="1:1" x14ac:dyDescent="0.35">
      <c r="A756"/>
    </row>
    <row r="757" spans="1:1" x14ac:dyDescent="0.35">
      <c r="A757"/>
    </row>
    <row r="758" spans="1:1" x14ac:dyDescent="0.35">
      <c r="A758"/>
    </row>
    <row r="759" spans="1:1" x14ac:dyDescent="0.35">
      <c r="A759"/>
    </row>
    <row r="760" spans="1:1" x14ac:dyDescent="0.35">
      <c r="A760"/>
    </row>
    <row r="761" spans="1:1" x14ac:dyDescent="0.35">
      <c r="A761"/>
    </row>
    <row r="762" spans="1:1" x14ac:dyDescent="0.35">
      <c r="A762"/>
    </row>
    <row r="763" spans="1:1" x14ac:dyDescent="0.35">
      <c r="A763"/>
    </row>
    <row r="764" spans="1:1" x14ac:dyDescent="0.35">
      <c r="A764"/>
    </row>
    <row r="765" spans="1:1" x14ac:dyDescent="0.35">
      <c r="A765"/>
    </row>
    <row r="766" spans="1:1" x14ac:dyDescent="0.35">
      <c r="A766"/>
    </row>
    <row r="767" spans="1:1" x14ac:dyDescent="0.35">
      <c r="A767"/>
    </row>
    <row r="768" spans="1:1" x14ac:dyDescent="0.35">
      <c r="A768"/>
    </row>
    <row r="769" spans="1:1" x14ac:dyDescent="0.35">
      <c r="A769"/>
    </row>
    <row r="770" spans="1:1" x14ac:dyDescent="0.35">
      <c r="A770"/>
    </row>
    <row r="771" spans="1:1" x14ac:dyDescent="0.35">
      <c r="A771"/>
    </row>
    <row r="772" spans="1:1" x14ac:dyDescent="0.35">
      <c r="A772"/>
    </row>
    <row r="773" spans="1:1" x14ac:dyDescent="0.35">
      <c r="A773"/>
    </row>
    <row r="774" spans="1:1" x14ac:dyDescent="0.35">
      <c r="A774"/>
    </row>
    <row r="775" spans="1:1" x14ac:dyDescent="0.35">
      <c r="A775"/>
    </row>
    <row r="776" spans="1:1" x14ac:dyDescent="0.35">
      <c r="A776"/>
    </row>
    <row r="777" spans="1:1" x14ac:dyDescent="0.35">
      <c r="A777"/>
    </row>
    <row r="778" spans="1:1" x14ac:dyDescent="0.35">
      <c r="A778"/>
    </row>
    <row r="779" spans="1:1" x14ac:dyDescent="0.35">
      <c r="A779"/>
    </row>
    <row r="780" spans="1:1" x14ac:dyDescent="0.35">
      <c r="A780"/>
    </row>
    <row r="781" spans="1:1" x14ac:dyDescent="0.35">
      <c r="A781"/>
    </row>
    <row r="782" spans="1:1" x14ac:dyDescent="0.35">
      <c r="A782"/>
    </row>
    <row r="783" spans="1:1" x14ac:dyDescent="0.35">
      <c r="A783"/>
    </row>
    <row r="784" spans="1:1" x14ac:dyDescent="0.35">
      <c r="A784"/>
    </row>
    <row r="785" spans="1:1" x14ac:dyDescent="0.35">
      <c r="A785"/>
    </row>
    <row r="786" spans="1:1" x14ac:dyDescent="0.35">
      <c r="A786"/>
    </row>
    <row r="787" spans="1:1" x14ac:dyDescent="0.35">
      <c r="A787"/>
    </row>
    <row r="788" spans="1:1" x14ac:dyDescent="0.35">
      <c r="A788"/>
    </row>
    <row r="789" spans="1:1" x14ac:dyDescent="0.35">
      <c r="A789"/>
    </row>
    <row r="790" spans="1:1" x14ac:dyDescent="0.35">
      <c r="A790"/>
    </row>
    <row r="791" spans="1:1" x14ac:dyDescent="0.35">
      <c r="A791"/>
    </row>
    <row r="792" spans="1:1" x14ac:dyDescent="0.35">
      <c r="A792"/>
    </row>
    <row r="793" spans="1:1" x14ac:dyDescent="0.35">
      <c r="A793"/>
    </row>
    <row r="794" spans="1:1" x14ac:dyDescent="0.35">
      <c r="A794"/>
    </row>
    <row r="795" spans="1:1" x14ac:dyDescent="0.35">
      <c r="A795"/>
    </row>
    <row r="796" spans="1:1" x14ac:dyDescent="0.35">
      <c r="A796"/>
    </row>
    <row r="797" spans="1:1" x14ac:dyDescent="0.35">
      <c r="A797"/>
    </row>
    <row r="798" spans="1:1" x14ac:dyDescent="0.35">
      <c r="A798"/>
    </row>
    <row r="799" spans="1:1" x14ac:dyDescent="0.35">
      <c r="A799"/>
    </row>
    <row r="800" spans="1:1" x14ac:dyDescent="0.35">
      <c r="A800"/>
    </row>
    <row r="801" spans="1:1" x14ac:dyDescent="0.35">
      <c r="A801"/>
    </row>
    <row r="802" spans="1:1" x14ac:dyDescent="0.35">
      <c r="A802"/>
    </row>
    <row r="803" spans="1:1" x14ac:dyDescent="0.35">
      <c r="A803"/>
    </row>
    <row r="804" spans="1:1" x14ac:dyDescent="0.35">
      <c r="A804"/>
    </row>
    <row r="805" spans="1:1" x14ac:dyDescent="0.35">
      <c r="A805"/>
    </row>
    <row r="806" spans="1:1" x14ac:dyDescent="0.35">
      <c r="A806"/>
    </row>
    <row r="807" spans="1:1" x14ac:dyDescent="0.35">
      <c r="A807"/>
    </row>
    <row r="808" spans="1:1" x14ac:dyDescent="0.35">
      <c r="A808"/>
    </row>
    <row r="809" spans="1:1" x14ac:dyDescent="0.35">
      <c r="A809"/>
    </row>
    <row r="810" spans="1:1" x14ac:dyDescent="0.35">
      <c r="A810"/>
    </row>
    <row r="811" spans="1:1" x14ac:dyDescent="0.35">
      <c r="A811"/>
    </row>
    <row r="812" spans="1:1" x14ac:dyDescent="0.35">
      <c r="A812"/>
    </row>
    <row r="813" spans="1:1" x14ac:dyDescent="0.35">
      <c r="A813"/>
    </row>
    <row r="814" spans="1:1" x14ac:dyDescent="0.35">
      <c r="A814"/>
    </row>
    <row r="815" spans="1:1" x14ac:dyDescent="0.35">
      <c r="A815"/>
    </row>
    <row r="816" spans="1:1" x14ac:dyDescent="0.35">
      <c r="A816"/>
    </row>
    <row r="817" spans="1:1" x14ac:dyDescent="0.35">
      <c r="A817"/>
    </row>
    <row r="818" spans="1:1" x14ac:dyDescent="0.35">
      <c r="A818"/>
    </row>
    <row r="819" spans="1:1" x14ac:dyDescent="0.35">
      <c r="A819"/>
    </row>
    <row r="820" spans="1:1" x14ac:dyDescent="0.35">
      <c r="A820"/>
    </row>
    <row r="821" spans="1:1" x14ac:dyDescent="0.35">
      <c r="A821"/>
    </row>
    <row r="822" spans="1:1" x14ac:dyDescent="0.35">
      <c r="A822"/>
    </row>
    <row r="823" spans="1:1" x14ac:dyDescent="0.35">
      <c r="A823"/>
    </row>
    <row r="824" spans="1:1" x14ac:dyDescent="0.35">
      <c r="A824"/>
    </row>
    <row r="825" spans="1:1" x14ac:dyDescent="0.35">
      <c r="A825"/>
    </row>
    <row r="826" spans="1:1" x14ac:dyDescent="0.35">
      <c r="A826"/>
    </row>
    <row r="827" spans="1:1" x14ac:dyDescent="0.35">
      <c r="A827"/>
    </row>
    <row r="828" spans="1:1" x14ac:dyDescent="0.35">
      <c r="A828"/>
    </row>
    <row r="829" spans="1:1" x14ac:dyDescent="0.35">
      <c r="A829"/>
    </row>
    <row r="830" spans="1:1" x14ac:dyDescent="0.35">
      <c r="A830"/>
    </row>
    <row r="831" spans="1:1" x14ac:dyDescent="0.35">
      <c r="A831"/>
    </row>
    <row r="832" spans="1:1" x14ac:dyDescent="0.35">
      <c r="A832"/>
    </row>
    <row r="833" spans="1:1" x14ac:dyDescent="0.35">
      <c r="A833"/>
    </row>
    <row r="834" spans="1:1" x14ac:dyDescent="0.35">
      <c r="A834"/>
    </row>
    <row r="835" spans="1:1" x14ac:dyDescent="0.35">
      <c r="A835"/>
    </row>
    <row r="836" spans="1:1" x14ac:dyDescent="0.35">
      <c r="A836"/>
    </row>
    <row r="837" spans="1:1" x14ac:dyDescent="0.35">
      <c r="A837"/>
    </row>
    <row r="838" spans="1:1" x14ac:dyDescent="0.35">
      <c r="A838"/>
    </row>
    <row r="839" spans="1:1" x14ac:dyDescent="0.35">
      <c r="A839"/>
    </row>
    <row r="840" spans="1:1" x14ac:dyDescent="0.35">
      <c r="A840"/>
    </row>
    <row r="841" spans="1:1" x14ac:dyDescent="0.35">
      <c r="A841"/>
    </row>
    <row r="842" spans="1:1" x14ac:dyDescent="0.35">
      <c r="A842"/>
    </row>
    <row r="843" spans="1:1" x14ac:dyDescent="0.35">
      <c r="A843"/>
    </row>
    <row r="844" spans="1:1" x14ac:dyDescent="0.35">
      <c r="A844"/>
    </row>
    <row r="845" spans="1:1" x14ac:dyDescent="0.35">
      <c r="A845"/>
    </row>
    <row r="846" spans="1:1" x14ac:dyDescent="0.35">
      <c r="A846"/>
    </row>
    <row r="847" spans="1:1" x14ac:dyDescent="0.35">
      <c r="A847"/>
    </row>
    <row r="848" spans="1:1" x14ac:dyDescent="0.35">
      <c r="A848"/>
    </row>
    <row r="849" spans="1:1" x14ac:dyDescent="0.35">
      <c r="A849"/>
    </row>
    <row r="850" spans="1:1" x14ac:dyDescent="0.35">
      <c r="A850"/>
    </row>
    <row r="851" spans="1:1" x14ac:dyDescent="0.35">
      <c r="A851"/>
    </row>
    <row r="852" spans="1:1" x14ac:dyDescent="0.35">
      <c r="A852"/>
    </row>
    <row r="853" spans="1:1" x14ac:dyDescent="0.35">
      <c r="A853"/>
    </row>
    <row r="854" spans="1:1" x14ac:dyDescent="0.35">
      <c r="A854"/>
    </row>
    <row r="855" spans="1:1" x14ac:dyDescent="0.35">
      <c r="A855"/>
    </row>
    <row r="856" spans="1:1" x14ac:dyDescent="0.35">
      <c r="A856"/>
    </row>
    <row r="857" spans="1:1" x14ac:dyDescent="0.35">
      <c r="A857"/>
    </row>
    <row r="858" spans="1:1" x14ac:dyDescent="0.35">
      <c r="A858"/>
    </row>
    <row r="859" spans="1:1" x14ac:dyDescent="0.35">
      <c r="A859"/>
    </row>
    <row r="860" spans="1:1" x14ac:dyDescent="0.35">
      <c r="A860"/>
    </row>
    <row r="861" spans="1:1" x14ac:dyDescent="0.35">
      <c r="A861"/>
    </row>
    <row r="862" spans="1:1" x14ac:dyDescent="0.35">
      <c r="A862"/>
    </row>
    <row r="863" spans="1:1" x14ac:dyDescent="0.35">
      <c r="A863"/>
    </row>
    <row r="864" spans="1:1" x14ac:dyDescent="0.35">
      <c r="A864"/>
    </row>
    <row r="865" spans="1:1" x14ac:dyDescent="0.35">
      <c r="A865"/>
    </row>
    <row r="866" spans="1:1" x14ac:dyDescent="0.35">
      <c r="A866"/>
    </row>
    <row r="867" spans="1:1" x14ac:dyDescent="0.35">
      <c r="A867"/>
    </row>
    <row r="868" spans="1:1" x14ac:dyDescent="0.35">
      <c r="A868"/>
    </row>
    <row r="869" spans="1:1" x14ac:dyDescent="0.35">
      <c r="A869"/>
    </row>
    <row r="870" spans="1:1" x14ac:dyDescent="0.35">
      <c r="A870"/>
    </row>
    <row r="871" spans="1:1" x14ac:dyDescent="0.35">
      <c r="A871"/>
    </row>
    <row r="872" spans="1:1" x14ac:dyDescent="0.35">
      <c r="A872"/>
    </row>
    <row r="873" spans="1:1" x14ac:dyDescent="0.35">
      <c r="A873"/>
    </row>
    <row r="874" spans="1:1" x14ac:dyDescent="0.35">
      <c r="A874"/>
    </row>
    <row r="875" spans="1:1" x14ac:dyDescent="0.35">
      <c r="A875"/>
    </row>
    <row r="876" spans="1:1" x14ac:dyDescent="0.35">
      <c r="A876"/>
    </row>
    <row r="877" spans="1:1" x14ac:dyDescent="0.35">
      <c r="A877"/>
    </row>
    <row r="878" spans="1:1" x14ac:dyDescent="0.35">
      <c r="A878"/>
    </row>
    <row r="879" spans="1:1" x14ac:dyDescent="0.35">
      <c r="A879"/>
    </row>
    <row r="880" spans="1:1" x14ac:dyDescent="0.35">
      <c r="A880"/>
    </row>
    <row r="881" spans="1:1" x14ac:dyDescent="0.35">
      <c r="A881"/>
    </row>
    <row r="882" spans="1:1" x14ac:dyDescent="0.35">
      <c r="A882"/>
    </row>
    <row r="883" spans="1:1" x14ac:dyDescent="0.35">
      <c r="A883"/>
    </row>
    <row r="884" spans="1:1" x14ac:dyDescent="0.35">
      <c r="A884"/>
    </row>
    <row r="885" spans="1:1" x14ac:dyDescent="0.35">
      <c r="A885"/>
    </row>
    <row r="886" spans="1:1" x14ac:dyDescent="0.35">
      <c r="A886"/>
    </row>
    <row r="887" spans="1:1" x14ac:dyDescent="0.35">
      <c r="A887"/>
    </row>
    <row r="888" spans="1:1" x14ac:dyDescent="0.35">
      <c r="A888"/>
    </row>
    <row r="889" spans="1:1" x14ac:dyDescent="0.35">
      <c r="A889"/>
    </row>
    <row r="890" spans="1:1" x14ac:dyDescent="0.35">
      <c r="A890"/>
    </row>
    <row r="891" spans="1:1" x14ac:dyDescent="0.35">
      <c r="A891"/>
    </row>
    <row r="892" spans="1:1" x14ac:dyDescent="0.35">
      <c r="A892"/>
    </row>
    <row r="893" spans="1:1" x14ac:dyDescent="0.35">
      <c r="A893"/>
    </row>
    <row r="894" spans="1:1" x14ac:dyDescent="0.35">
      <c r="A894"/>
    </row>
    <row r="895" spans="1:1" x14ac:dyDescent="0.35">
      <c r="A895"/>
    </row>
    <row r="896" spans="1:1" x14ac:dyDescent="0.35">
      <c r="A896"/>
    </row>
    <row r="897" spans="1:1" x14ac:dyDescent="0.35">
      <c r="A897"/>
    </row>
    <row r="898" spans="1:1" x14ac:dyDescent="0.35">
      <c r="A898"/>
    </row>
    <row r="899" spans="1:1" x14ac:dyDescent="0.35">
      <c r="A899"/>
    </row>
    <row r="900" spans="1:1" x14ac:dyDescent="0.35">
      <c r="A900"/>
    </row>
    <row r="901" spans="1:1" x14ac:dyDescent="0.35">
      <c r="A901"/>
    </row>
    <row r="902" spans="1:1" x14ac:dyDescent="0.35">
      <c r="A902"/>
    </row>
    <row r="903" spans="1:1" x14ac:dyDescent="0.35">
      <c r="A903"/>
    </row>
    <row r="904" spans="1:1" x14ac:dyDescent="0.35">
      <c r="A904"/>
    </row>
    <row r="905" spans="1:1" x14ac:dyDescent="0.35">
      <c r="A905"/>
    </row>
    <row r="906" spans="1:1" x14ac:dyDescent="0.35">
      <c r="A906"/>
    </row>
    <row r="907" spans="1:1" x14ac:dyDescent="0.35">
      <c r="A907"/>
    </row>
    <row r="908" spans="1:1" x14ac:dyDescent="0.35">
      <c r="A908"/>
    </row>
    <row r="909" spans="1:1" x14ac:dyDescent="0.35">
      <c r="A909"/>
    </row>
    <row r="910" spans="1:1" x14ac:dyDescent="0.35">
      <c r="A910"/>
    </row>
    <row r="911" spans="1:1" x14ac:dyDescent="0.35">
      <c r="A911"/>
    </row>
    <row r="912" spans="1:1" x14ac:dyDescent="0.35">
      <c r="A912"/>
    </row>
    <row r="913" spans="1:1" x14ac:dyDescent="0.35">
      <c r="A913"/>
    </row>
    <row r="914" spans="1:1" x14ac:dyDescent="0.35">
      <c r="A914"/>
    </row>
    <row r="915" spans="1:1" x14ac:dyDescent="0.35">
      <c r="A915"/>
    </row>
    <row r="916" spans="1:1" x14ac:dyDescent="0.35">
      <c r="A916"/>
    </row>
    <row r="917" spans="1:1" x14ac:dyDescent="0.35">
      <c r="A917"/>
    </row>
    <row r="918" spans="1:1" x14ac:dyDescent="0.35">
      <c r="A918"/>
    </row>
    <row r="919" spans="1:1" x14ac:dyDescent="0.35">
      <c r="A919"/>
    </row>
    <row r="920" spans="1:1" x14ac:dyDescent="0.35">
      <c r="A920"/>
    </row>
    <row r="921" spans="1:1" x14ac:dyDescent="0.35">
      <c r="A921"/>
    </row>
    <row r="922" spans="1:1" x14ac:dyDescent="0.35">
      <c r="A922"/>
    </row>
    <row r="923" spans="1:1" x14ac:dyDescent="0.35">
      <c r="A923"/>
    </row>
    <row r="924" spans="1:1" x14ac:dyDescent="0.35">
      <c r="A924"/>
    </row>
    <row r="925" spans="1:1" x14ac:dyDescent="0.35">
      <c r="A925"/>
    </row>
    <row r="926" spans="1:1" x14ac:dyDescent="0.35">
      <c r="A926"/>
    </row>
    <row r="927" spans="1:1" x14ac:dyDescent="0.35">
      <c r="A927"/>
    </row>
    <row r="928" spans="1:1" x14ac:dyDescent="0.35">
      <c r="A928"/>
    </row>
    <row r="929" spans="1:1" x14ac:dyDescent="0.35">
      <c r="A929"/>
    </row>
    <row r="930" spans="1:1" x14ac:dyDescent="0.35">
      <c r="A930"/>
    </row>
    <row r="931" spans="1:1" x14ac:dyDescent="0.35">
      <c r="A931"/>
    </row>
    <row r="932" spans="1:1" x14ac:dyDescent="0.35">
      <c r="A932"/>
    </row>
    <row r="933" spans="1:1" x14ac:dyDescent="0.35">
      <c r="A933"/>
    </row>
    <row r="934" spans="1:1" x14ac:dyDescent="0.35">
      <c r="A934"/>
    </row>
    <row r="935" spans="1:1" x14ac:dyDescent="0.35">
      <c r="A935"/>
    </row>
    <row r="936" spans="1:1" x14ac:dyDescent="0.35">
      <c r="A936"/>
    </row>
    <row r="937" spans="1:1" x14ac:dyDescent="0.35">
      <c r="A937"/>
    </row>
    <row r="938" spans="1:1" x14ac:dyDescent="0.35">
      <c r="A938"/>
    </row>
    <row r="939" spans="1:1" x14ac:dyDescent="0.35">
      <c r="A939"/>
    </row>
    <row r="940" spans="1:1" x14ac:dyDescent="0.35">
      <c r="A940"/>
    </row>
    <row r="941" spans="1:1" x14ac:dyDescent="0.35">
      <c r="A941"/>
    </row>
    <row r="942" spans="1:1" x14ac:dyDescent="0.35">
      <c r="A942"/>
    </row>
    <row r="943" spans="1:1" x14ac:dyDescent="0.35">
      <c r="A943"/>
    </row>
    <row r="944" spans="1:1" x14ac:dyDescent="0.35">
      <c r="A944"/>
    </row>
    <row r="945" spans="1:1" x14ac:dyDescent="0.35">
      <c r="A945"/>
    </row>
    <row r="946" spans="1:1" x14ac:dyDescent="0.35">
      <c r="A946"/>
    </row>
    <row r="947" spans="1:1" x14ac:dyDescent="0.35">
      <c r="A947"/>
    </row>
    <row r="948" spans="1:1" x14ac:dyDescent="0.35">
      <c r="A948"/>
    </row>
    <row r="949" spans="1:1" x14ac:dyDescent="0.35">
      <c r="A949"/>
    </row>
    <row r="950" spans="1:1" x14ac:dyDescent="0.35">
      <c r="A950"/>
    </row>
    <row r="951" spans="1:1" x14ac:dyDescent="0.35">
      <c r="A951"/>
    </row>
    <row r="952" spans="1:1" x14ac:dyDescent="0.35">
      <c r="A952"/>
    </row>
    <row r="953" spans="1:1" x14ac:dyDescent="0.35">
      <c r="A953"/>
    </row>
    <row r="954" spans="1:1" x14ac:dyDescent="0.35">
      <c r="A954"/>
    </row>
    <row r="955" spans="1:1" x14ac:dyDescent="0.35">
      <c r="A955"/>
    </row>
    <row r="956" spans="1:1" x14ac:dyDescent="0.35">
      <c r="A956"/>
    </row>
    <row r="957" spans="1:1" x14ac:dyDescent="0.35">
      <c r="A957"/>
    </row>
    <row r="958" spans="1:1" x14ac:dyDescent="0.35">
      <c r="A958"/>
    </row>
    <row r="959" spans="1:1" x14ac:dyDescent="0.35">
      <c r="A959"/>
    </row>
    <row r="960" spans="1:1" x14ac:dyDescent="0.35">
      <c r="A960"/>
    </row>
    <row r="961" spans="1:1" x14ac:dyDescent="0.35">
      <c r="A961"/>
    </row>
    <row r="962" spans="1:1" x14ac:dyDescent="0.35">
      <c r="A962"/>
    </row>
    <row r="963" spans="1:1" x14ac:dyDescent="0.35">
      <c r="A963"/>
    </row>
    <row r="964" spans="1:1" x14ac:dyDescent="0.35">
      <c r="A964"/>
    </row>
    <row r="965" spans="1:1" x14ac:dyDescent="0.35">
      <c r="A965"/>
    </row>
    <row r="966" spans="1:1" x14ac:dyDescent="0.35">
      <c r="A966"/>
    </row>
    <row r="967" spans="1:1" x14ac:dyDescent="0.35">
      <c r="A967"/>
    </row>
    <row r="968" spans="1:1" x14ac:dyDescent="0.35">
      <c r="A968"/>
    </row>
    <row r="969" spans="1:1" x14ac:dyDescent="0.35">
      <c r="A969"/>
    </row>
    <row r="970" spans="1:1" x14ac:dyDescent="0.35">
      <c r="A970"/>
    </row>
    <row r="971" spans="1:1" x14ac:dyDescent="0.35">
      <c r="A971"/>
    </row>
    <row r="972" spans="1:1" x14ac:dyDescent="0.35">
      <c r="A972"/>
    </row>
  </sheetData>
  <conditionalFormatting sqref="F7:AC106">
    <cfRule type="notContainsBlanks" dxfId="0" priority="1">
      <formula>LEN(TRIM(F7))&gt;0</formula>
    </cfRule>
  </conditionalFormatting>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7977-10C8-4A94-9897-4CC90B49FEA4}">
  <dimension ref="A1:AP163"/>
  <sheetViews>
    <sheetView showGridLines="0" zoomScale="93" zoomScaleNormal="93" workbookViewId="0">
      <pane xSplit="2" ySplit="3" topLeftCell="C4" activePane="bottomRight" state="frozen"/>
      <selection pane="topRight" activeCell="E1" sqref="E1"/>
      <selection pane="bottomLeft" activeCell="A4" sqref="A4"/>
      <selection pane="bottomRight" activeCell="C7" sqref="C7"/>
    </sheetView>
  </sheetViews>
  <sheetFormatPr defaultColWidth="8.85546875" defaultRowHeight="15" outlineLevelCol="1" x14ac:dyDescent="0.25"/>
  <cols>
    <col min="1" max="1" width="18" customWidth="1"/>
    <col min="2" max="2" width="33.140625" customWidth="1"/>
    <col min="3" max="6" width="45.28515625" customWidth="1"/>
    <col min="7" max="11" width="33.140625" customWidth="1"/>
    <col min="12" max="12" width="29.42578125" customWidth="1" outlineLevel="1"/>
    <col min="13" max="13" width="11.42578125" style="7" customWidth="1" outlineLevel="1"/>
    <col min="14" max="14" width="33.140625" customWidth="1" outlineLevel="1"/>
    <col min="15" max="15" width="43.42578125" style="7" customWidth="1" outlineLevel="1"/>
    <col min="16" max="16" width="22" style="7" customWidth="1"/>
    <col min="17" max="17" width="20.5703125" style="7" customWidth="1"/>
    <col min="18" max="18" width="17.42578125" customWidth="1"/>
    <col min="19" max="19" width="41" customWidth="1"/>
    <col min="20" max="20" width="24" customWidth="1" outlineLevel="1"/>
    <col min="21" max="21" width="11.7109375" customWidth="1" outlineLevel="1"/>
    <col min="22" max="22" width="24" customWidth="1" outlineLevel="1"/>
    <col min="23" max="23" width="11.7109375" customWidth="1" outlineLevel="1"/>
    <col min="24" max="24" width="14" customWidth="1"/>
    <col min="25" max="25" width="11.7109375" customWidth="1"/>
    <col min="26" max="26" width="25.42578125" customWidth="1"/>
    <col min="27" max="27" width="32.140625" customWidth="1"/>
    <col min="28" max="29" width="20.140625" customWidth="1"/>
    <col min="30" max="30" width="20.140625" style="6" customWidth="1"/>
    <col min="31" max="31" width="22.28515625" customWidth="1"/>
    <col min="32" max="32" width="12.42578125" style="6" customWidth="1"/>
    <col min="33" max="35" width="23.85546875" style="6" customWidth="1"/>
    <col min="36" max="36" width="20.140625" style="6" customWidth="1"/>
    <col min="37" max="42" width="12.42578125" style="6" customWidth="1"/>
  </cols>
  <sheetData>
    <row r="1" spans="1:42" s="1" customFormat="1" ht="105" customHeight="1" x14ac:dyDescent="0.25">
      <c r="A1" s="34"/>
      <c r="B1" s="34"/>
      <c r="C1" s="34"/>
      <c r="D1" s="34"/>
      <c r="E1" s="34"/>
      <c r="F1" s="34"/>
      <c r="G1" s="34"/>
      <c r="H1" s="34"/>
      <c r="J1" s="34"/>
      <c r="K1" s="34"/>
      <c r="L1" s="97" t="s">
        <v>235</v>
      </c>
      <c r="M1" s="98"/>
      <c r="N1" s="98"/>
      <c r="O1" s="98"/>
      <c r="P1" s="98"/>
      <c r="Q1" s="36"/>
      <c r="R1" s="35"/>
      <c r="S1" s="35"/>
      <c r="T1" s="35"/>
      <c r="U1" s="35"/>
      <c r="V1" s="35"/>
      <c r="W1" s="35"/>
      <c r="X1" s="35"/>
      <c r="Y1" s="35"/>
      <c r="Z1" s="35"/>
      <c r="AA1" s="35"/>
      <c r="AB1" s="35"/>
      <c r="AC1" s="35"/>
      <c r="AD1" s="37"/>
      <c r="AE1" s="35"/>
      <c r="AF1" s="37"/>
      <c r="AG1" s="37"/>
      <c r="AH1" s="37"/>
      <c r="AI1" s="37"/>
      <c r="AJ1" s="37"/>
      <c r="AK1" s="37"/>
      <c r="AL1" s="37"/>
      <c r="AM1" s="37"/>
      <c r="AN1" s="37"/>
      <c r="AO1" s="37"/>
      <c r="AP1" s="37"/>
    </row>
    <row r="2" spans="1:42" s="1" customFormat="1" ht="24" customHeight="1" x14ac:dyDescent="0.25">
      <c r="A2" s="76"/>
      <c r="B2" s="76" t="s">
        <v>34</v>
      </c>
      <c r="C2" s="76"/>
      <c r="D2" s="76"/>
      <c r="E2" s="76"/>
      <c r="F2" s="76" t="s">
        <v>11</v>
      </c>
      <c r="G2" s="76"/>
      <c r="H2" s="76"/>
      <c r="I2" s="76"/>
      <c r="J2" s="76" t="s">
        <v>220</v>
      </c>
      <c r="K2" s="76"/>
      <c r="L2" s="103" t="s">
        <v>234</v>
      </c>
      <c r="M2" s="103"/>
      <c r="N2" s="103"/>
      <c r="O2" s="103"/>
      <c r="P2" s="103"/>
      <c r="Q2" s="103"/>
      <c r="R2" s="101" t="s">
        <v>26</v>
      </c>
      <c r="S2" s="101"/>
      <c r="T2" s="104" t="s">
        <v>32</v>
      </c>
      <c r="U2" s="104"/>
      <c r="V2" s="104"/>
      <c r="W2" s="104"/>
      <c r="X2" s="104"/>
      <c r="Y2" s="104"/>
      <c r="Z2" s="102" t="s">
        <v>35</v>
      </c>
      <c r="AA2" s="102"/>
      <c r="AB2" s="102"/>
      <c r="AC2" s="102"/>
      <c r="AD2" s="102"/>
      <c r="AE2" s="102"/>
      <c r="AF2" s="99" t="s">
        <v>109</v>
      </c>
      <c r="AG2" s="100"/>
      <c r="AH2" s="100"/>
      <c r="AI2" s="100"/>
      <c r="AJ2" s="100"/>
      <c r="AK2" s="100"/>
      <c r="AL2" s="100"/>
      <c r="AM2" s="100"/>
      <c r="AN2" s="100"/>
      <c r="AO2" s="100"/>
      <c r="AP2" s="100"/>
    </row>
    <row r="3" spans="1:42" s="6" customFormat="1" ht="150.75" customHeight="1" x14ac:dyDescent="0.25">
      <c r="A3" s="9" t="s">
        <v>0</v>
      </c>
      <c r="B3" s="9" t="s">
        <v>183</v>
      </c>
      <c r="C3" s="9" t="s">
        <v>2</v>
      </c>
      <c r="D3" s="9" t="s">
        <v>184</v>
      </c>
      <c r="E3" s="9" t="s">
        <v>185</v>
      </c>
      <c r="F3" s="9" t="s">
        <v>187</v>
      </c>
      <c r="G3" s="9" t="s">
        <v>188</v>
      </c>
      <c r="H3" s="9" t="s">
        <v>189</v>
      </c>
      <c r="I3" s="9" t="s">
        <v>99</v>
      </c>
      <c r="J3" s="9" t="s">
        <v>20</v>
      </c>
      <c r="K3" s="87" t="s">
        <v>21</v>
      </c>
      <c r="L3" s="18" t="s">
        <v>97</v>
      </c>
      <c r="M3" s="18" t="s">
        <v>101</v>
      </c>
      <c r="N3" s="9" t="s">
        <v>33</v>
      </c>
      <c r="O3" s="9" t="s">
        <v>31</v>
      </c>
      <c r="P3" s="9" t="s">
        <v>22</v>
      </c>
      <c r="Q3" s="9" t="s">
        <v>23</v>
      </c>
      <c r="R3" s="9" t="s">
        <v>24</v>
      </c>
      <c r="S3" s="9" t="s">
        <v>25</v>
      </c>
      <c r="T3" s="19" t="s">
        <v>102</v>
      </c>
      <c r="U3" s="19" t="s">
        <v>103</v>
      </c>
      <c r="V3" s="15" t="s">
        <v>13</v>
      </c>
      <c r="W3" s="15" t="s">
        <v>96</v>
      </c>
      <c r="X3" s="32" t="s">
        <v>27</v>
      </c>
      <c r="Y3" s="15" t="s">
        <v>106</v>
      </c>
      <c r="Z3" s="15" t="s">
        <v>28</v>
      </c>
      <c r="AA3" s="15" t="s">
        <v>29</v>
      </c>
    </row>
    <row r="4" spans="1:42" ht="56.25" customHeight="1" x14ac:dyDescent="0.25">
      <c r="A4" s="82">
        <v>1</v>
      </c>
      <c r="B4" s="82" t="s">
        <v>186</v>
      </c>
      <c r="C4" s="85" t="s">
        <v>241</v>
      </c>
      <c r="D4" s="85" t="s">
        <v>240</v>
      </c>
      <c r="E4" s="85" t="s">
        <v>239</v>
      </c>
      <c r="F4" s="83">
        <v>3</v>
      </c>
      <c r="G4" s="83">
        <v>4</v>
      </c>
      <c r="H4" s="83">
        <v>12</v>
      </c>
      <c r="I4" s="83" t="s">
        <v>8</v>
      </c>
      <c r="J4" s="83" t="s">
        <v>213</v>
      </c>
      <c r="K4" s="88" t="s">
        <v>242</v>
      </c>
      <c r="L4" s="17" t="s">
        <v>8</v>
      </c>
      <c r="M4" s="83">
        <v>12</v>
      </c>
      <c r="N4" s="79" t="s">
        <v>19</v>
      </c>
      <c r="O4" s="85" t="s">
        <v>243</v>
      </c>
      <c r="P4" s="83" t="s">
        <v>86</v>
      </c>
      <c r="Q4" s="83">
        <v>2</v>
      </c>
      <c r="R4" s="83" t="s">
        <v>7</v>
      </c>
      <c r="S4" s="83">
        <f>VLOOKUP(RiskRegister[[#This Row],[Residual Likelihood Level]],'Rating factors'!$F$16:$G$21,2,FALSE)</f>
        <v>1</v>
      </c>
      <c r="T4" s="83" t="str">
        <f>IFERROR(VLOOKUP(RiskRegister[[#This Row],[Residual Risk Rating]],'Rating factors'!$F$30:$G$44,2,FALSE),"-- Error --")</f>
        <v>Low</v>
      </c>
      <c r="U4" s="83">
        <f>IFERROR(RiskRegister[[#This Row],[Residual Impact Rating]]*RiskRegister[[#This Row],[Residual Likelihood Rating]],"-- Error --")</f>
        <v>2</v>
      </c>
      <c r="V4" s="83" t="s">
        <v>14</v>
      </c>
      <c r="W4" s="82"/>
      <c r="X4" s="84">
        <v>46233</v>
      </c>
      <c r="Y4" s="82"/>
      <c r="Z4" s="85"/>
      <c r="AA4" s="82"/>
      <c r="AB4" s="6"/>
      <c r="AC4" s="6"/>
      <c r="AE4" s="6"/>
      <c r="AM4"/>
      <c r="AN4"/>
      <c r="AO4"/>
      <c r="AP4"/>
    </row>
    <row r="5" spans="1:42" ht="30" x14ac:dyDescent="0.25">
      <c r="A5" s="82">
        <v>2</v>
      </c>
      <c r="B5" s="85" t="s">
        <v>190</v>
      </c>
      <c r="C5" s="85" t="s">
        <v>221</v>
      </c>
      <c r="D5" s="82" t="s">
        <v>203</v>
      </c>
      <c r="E5" s="85" t="s">
        <v>204</v>
      </c>
      <c r="F5" s="83">
        <v>2</v>
      </c>
      <c r="G5" s="83">
        <v>4</v>
      </c>
      <c r="H5" s="83">
        <v>8</v>
      </c>
      <c r="I5" s="83" t="s">
        <v>9</v>
      </c>
      <c r="J5" s="83" t="s">
        <v>213</v>
      </c>
      <c r="K5" s="88" t="s">
        <v>222</v>
      </c>
      <c r="L5" s="17" t="s">
        <v>9</v>
      </c>
      <c r="M5" s="83">
        <v>8</v>
      </c>
      <c r="N5" s="79" t="s">
        <v>12</v>
      </c>
      <c r="O5" s="83" t="s">
        <v>288</v>
      </c>
      <c r="P5" s="83"/>
      <c r="Q5" s="83"/>
      <c r="R5" s="83"/>
      <c r="S5" s="83"/>
      <c r="T5" s="83"/>
      <c r="U5" s="83"/>
      <c r="V5" s="83" t="s">
        <v>289</v>
      </c>
      <c r="W5" s="82"/>
      <c r="X5" s="84">
        <v>46233</v>
      </c>
      <c r="Y5" s="82"/>
      <c r="Z5" s="85"/>
      <c r="AA5" s="82"/>
      <c r="AB5" s="6"/>
      <c r="AC5" s="6"/>
      <c r="AE5" s="6"/>
      <c r="AM5"/>
      <c r="AN5"/>
      <c r="AO5"/>
      <c r="AP5"/>
    </row>
    <row r="6" spans="1:42" ht="60" x14ac:dyDescent="0.25">
      <c r="A6" s="82">
        <v>3</v>
      </c>
      <c r="B6" s="82" t="s">
        <v>191</v>
      </c>
      <c r="C6" s="85" t="s">
        <v>245</v>
      </c>
      <c r="D6" s="85" t="s">
        <v>246</v>
      </c>
      <c r="E6" s="85" t="s">
        <v>244</v>
      </c>
      <c r="F6" s="83">
        <v>3</v>
      </c>
      <c r="G6" s="83">
        <v>5</v>
      </c>
      <c r="H6" s="83">
        <v>15</v>
      </c>
      <c r="I6" s="83" t="s">
        <v>87</v>
      </c>
      <c r="J6" s="86" t="s">
        <v>200</v>
      </c>
      <c r="K6" s="88" t="s">
        <v>230</v>
      </c>
      <c r="L6" s="17" t="s">
        <v>87</v>
      </c>
      <c r="M6" s="83">
        <v>15</v>
      </c>
      <c r="N6" s="79" t="s">
        <v>19</v>
      </c>
      <c r="O6" s="85" t="s">
        <v>247</v>
      </c>
      <c r="P6" s="83" t="s">
        <v>4</v>
      </c>
      <c r="Q6" s="83">
        <v>3</v>
      </c>
      <c r="R6" s="83" t="s">
        <v>6</v>
      </c>
      <c r="S6" s="83">
        <v>2</v>
      </c>
      <c r="T6" s="83" t="s">
        <v>9</v>
      </c>
      <c r="U6" s="83">
        <v>6</v>
      </c>
      <c r="V6" s="83" t="s">
        <v>14</v>
      </c>
      <c r="W6" s="82"/>
      <c r="X6" s="84">
        <v>46233</v>
      </c>
      <c r="Y6" s="82"/>
      <c r="Z6" s="85"/>
      <c r="AA6" s="82"/>
      <c r="AB6" s="6"/>
      <c r="AC6" s="6"/>
      <c r="AE6" s="6"/>
      <c r="AM6"/>
      <c r="AN6"/>
      <c r="AO6"/>
      <c r="AP6"/>
    </row>
    <row r="7" spans="1:42" ht="60" x14ac:dyDescent="0.25">
      <c r="A7" s="82">
        <v>4</v>
      </c>
      <c r="B7" s="16" t="s">
        <v>144</v>
      </c>
      <c r="C7" s="85" t="s">
        <v>296</v>
      </c>
      <c r="D7" s="85" t="s">
        <v>248</v>
      </c>
      <c r="E7" s="85" t="s">
        <v>249</v>
      </c>
      <c r="F7" s="83">
        <v>3</v>
      </c>
      <c r="G7" s="83">
        <v>3</v>
      </c>
      <c r="H7" s="83">
        <v>9</v>
      </c>
      <c r="I7" s="83" t="s">
        <v>9</v>
      </c>
      <c r="J7" s="83" t="s">
        <v>214</v>
      </c>
      <c r="K7" s="88" t="s">
        <v>223</v>
      </c>
      <c r="L7" s="17" t="s">
        <v>9</v>
      </c>
      <c r="M7" s="83">
        <v>9</v>
      </c>
      <c r="N7" s="79" t="s">
        <v>12</v>
      </c>
      <c r="O7" s="85" t="s">
        <v>290</v>
      </c>
      <c r="P7" s="83" t="s">
        <v>86</v>
      </c>
      <c r="Q7" s="83">
        <v>1</v>
      </c>
      <c r="R7" s="83" t="s">
        <v>6</v>
      </c>
      <c r="S7" s="83">
        <v>2</v>
      </c>
      <c r="T7" s="83" t="s">
        <v>10</v>
      </c>
      <c r="U7" s="83">
        <v>2</v>
      </c>
      <c r="V7" s="83" t="s">
        <v>15</v>
      </c>
      <c r="W7" s="82"/>
      <c r="X7" s="84">
        <v>46233</v>
      </c>
      <c r="Y7" s="82"/>
      <c r="Z7" s="85"/>
      <c r="AA7" s="82"/>
      <c r="AB7" s="6"/>
      <c r="AC7" s="6"/>
      <c r="AE7" s="6"/>
      <c r="AM7"/>
      <c r="AN7"/>
      <c r="AO7"/>
      <c r="AP7"/>
    </row>
    <row r="8" spans="1:42" ht="330" x14ac:dyDescent="0.25">
      <c r="A8" s="82">
        <v>5</v>
      </c>
      <c r="B8" s="16" t="s">
        <v>143</v>
      </c>
      <c r="C8" s="85" t="s">
        <v>255</v>
      </c>
      <c r="D8" s="85" t="s">
        <v>250</v>
      </c>
      <c r="E8" s="85" t="s">
        <v>251</v>
      </c>
      <c r="F8" s="83">
        <v>3</v>
      </c>
      <c r="G8" s="83">
        <v>4</v>
      </c>
      <c r="H8" s="83">
        <v>12</v>
      </c>
      <c r="I8" s="83" t="s">
        <v>8</v>
      </c>
      <c r="J8" s="83" t="s">
        <v>216</v>
      </c>
      <c r="K8" s="88" t="s">
        <v>238</v>
      </c>
      <c r="L8" s="17" t="s">
        <v>260</v>
      </c>
      <c r="M8" s="83">
        <v>12</v>
      </c>
      <c r="N8" s="79" t="s">
        <v>19</v>
      </c>
      <c r="O8" s="85" t="s">
        <v>254</v>
      </c>
      <c r="P8" s="83" t="s">
        <v>4</v>
      </c>
      <c r="Q8" s="83">
        <v>3</v>
      </c>
      <c r="R8" s="83" t="s">
        <v>6</v>
      </c>
      <c r="S8" s="83">
        <v>2</v>
      </c>
      <c r="T8" s="83" t="s">
        <v>9</v>
      </c>
      <c r="U8" s="83">
        <v>6</v>
      </c>
      <c r="V8" s="83" t="s">
        <v>14</v>
      </c>
      <c r="W8" s="82"/>
      <c r="X8" s="84">
        <v>46233</v>
      </c>
      <c r="Y8" s="82"/>
      <c r="Z8" s="85"/>
      <c r="AA8" s="82"/>
      <c r="AB8" s="6"/>
      <c r="AC8" s="6"/>
      <c r="AE8" s="6"/>
      <c r="AM8"/>
      <c r="AN8"/>
      <c r="AO8"/>
      <c r="AP8"/>
    </row>
    <row r="9" spans="1:42" ht="60" x14ac:dyDescent="0.25">
      <c r="A9" s="82">
        <v>6</v>
      </c>
      <c r="B9" s="82" t="s">
        <v>192</v>
      </c>
      <c r="C9" s="85" t="s">
        <v>258</v>
      </c>
      <c r="D9" s="85" t="s">
        <v>256</v>
      </c>
      <c r="E9" s="85" t="s">
        <v>257</v>
      </c>
      <c r="F9" s="83">
        <v>4</v>
      </c>
      <c r="G9" s="83">
        <v>5</v>
      </c>
      <c r="H9" s="83">
        <v>20</v>
      </c>
      <c r="I9" s="83" t="s">
        <v>87</v>
      </c>
      <c r="J9" s="83" t="s">
        <v>215</v>
      </c>
      <c r="K9" s="88" t="s">
        <v>231</v>
      </c>
      <c r="L9" s="17" t="s">
        <v>261</v>
      </c>
      <c r="M9" s="83">
        <v>20</v>
      </c>
      <c r="N9" s="79" t="s">
        <v>19</v>
      </c>
      <c r="O9" s="85" t="s">
        <v>259</v>
      </c>
      <c r="P9" s="83" t="s">
        <v>201</v>
      </c>
      <c r="Q9" s="83">
        <v>5</v>
      </c>
      <c r="R9" s="83" t="s">
        <v>7</v>
      </c>
      <c r="S9" s="83">
        <v>1</v>
      </c>
      <c r="T9" s="83" t="s">
        <v>9</v>
      </c>
      <c r="U9" s="83">
        <v>5</v>
      </c>
      <c r="V9" s="83" t="s">
        <v>14</v>
      </c>
      <c r="W9" s="82"/>
      <c r="X9" s="84">
        <v>46233</v>
      </c>
      <c r="Y9" s="82"/>
      <c r="Z9" s="85"/>
      <c r="AA9" s="82"/>
      <c r="AB9" s="6"/>
      <c r="AC9" s="6"/>
      <c r="AE9" s="6"/>
      <c r="AM9"/>
      <c r="AN9"/>
      <c r="AO9"/>
      <c r="AP9"/>
    </row>
    <row r="10" spans="1:42" ht="45" x14ac:dyDescent="0.25">
      <c r="A10" s="82">
        <v>7</v>
      </c>
      <c r="B10" s="82" t="s">
        <v>155</v>
      </c>
      <c r="C10" s="85" t="s">
        <v>211</v>
      </c>
      <c r="D10" s="85" t="s">
        <v>212</v>
      </c>
      <c r="E10" s="85" t="s">
        <v>262</v>
      </c>
      <c r="F10" s="83">
        <v>3</v>
      </c>
      <c r="G10" s="83">
        <v>5</v>
      </c>
      <c r="H10" s="83">
        <v>15</v>
      </c>
      <c r="I10" s="83" t="s">
        <v>87</v>
      </c>
      <c r="J10" s="83" t="s">
        <v>217</v>
      </c>
      <c r="K10" s="88" t="s">
        <v>228</v>
      </c>
      <c r="L10" s="17" t="s">
        <v>87</v>
      </c>
      <c r="M10" s="83">
        <v>15</v>
      </c>
      <c r="N10" s="79" t="s">
        <v>19</v>
      </c>
      <c r="O10" s="85" t="s">
        <v>263</v>
      </c>
      <c r="P10" s="83" t="s">
        <v>4</v>
      </c>
      <c r="Q10" s="83">
        <v>3</v>
      </c>
      <c r="R10" s="83" t="s">
        <v>7</v>
      </c>
      <c r="S10" s="83">
        <v>1</v>
      </c>
      <c r="T10" s="83" t="s">
        <v>10</v>
      </c>
      <c r="U10" s="83">
        <v>3</v>
      </c>
      <c r="V10" s="83" t="s">
        <v>14</v>
      </c>
      <c r="W10" s="82"/>
      <c r="X10" s="84">
        <v>46233</v>
      </c>
      <c r="Y10" s="82"/>
      <c r="Z10" s="85"/>
      <c r="AA10" s="82"/>
      <c r="AB10" s="6"/>
      <c r="AC10" s="6"/>
      <c r="AE10" s="6"/>
      <c r="AM10"/>
      <c r="AN10"/>
      <c r="AO10"/>
      <c r="AP10"/>
    </row>
    <row r="11" spans="1:42" ht="60" x14ac:dyDescent="0.25">
      <c r="A11" s="82">
        <v>8</v>
      </c>
      <c r="B11" s="85" t="s">
        <v>205</v>
      </c>
      <c r="C11" s="85" t="s">
        <v>267</v>
      </c>
      <c r="D11" s="85" t="s">
        <v>264</v>
      </c>
      <c r="E11" s="85" t="s">
        <v>265</v>
      </c>
      <c r="F11" s="83">
        <v>4</v>
      </c>
      <c r="G11" s="83">
        <v>5</v>
      </c>
      <c r="H11" s="83">
        <v>20</v>
      </c>
      <c r="I11" s="83" t="s">
        <v>87</v>
      </c>
      <c r="J11" s="83" t="s">
        <v>213</v>
      </c>
      <c r="K11" s="88" t="s">
        <v>232</v>
      </c>
      <c r="L11" s="17" t="s">
        <v>87</v>
      </c>
      <c r="M11" s="83">
        <v>20</v>
      </c>
      <c r="N11" s="79" t="s">
        <v>19</v>
      </c>
      <c r="O11" s="85" t="s">
        <v>266</v>
      </c>
      <c r="P11" s="83" t="s">
        <v>4</v>
      </c>
      <c r="Q11" s="83">
        <v>3</v>
      </c>
      <c r="R11" s="83" t="s">
        <v>7</v>
      </c>
      <c r="S11" s="83">
        <v>1</v>
      </c>
      <c r="T11" s="83" t="s">
        <v>10</v>
      </c>
      <c r="U11" s="83">
        <v>3</v>
      </c>
      <c r="V11" s="83" t="s">
        <v>14</v>
      </c>
      <c r="W11" s="82"/>
      <c r="X11" s="84">
        <v>46233</v>
      </c>
      <c r="Y11" s="82"/>
      <c r="Z11" s="85"/>
      <c r="AA11" s="82"/>
      <c r="AB11" s="6"/>
      <c r="AC11" s="6"/>
      <c r="AE11" s="6"/>
      <c r="AM11"/>
      <c r="AN11"/>
      <c r="AO11"/>
      <c r="AP11"/>
    </row>
    <row r="12" spans="1:42" ht="60" x14ac:dyDescent="0.25">
      <c r="A12" s="82">
        <v>9</v>
      </c>
      <c r="B12" s="82" t="s">
        <v>193</v>
      </c>
      <c r="C12" s="85" t="s">
        <v>268</v>
      </c>
      <c r="D12" s="82" t="s">
        <v>269</v>
      </c>
      <c r="E12" s="85" t="s">
        <v>270</v>
      </c>
      <c r="F12" s="83">
        <v>3</v>
      </c>
      <c r="G12" s="83">
        <v>5</v>
      </c>
      <c r="H12" s="83">
        <v>15</v>
      </c>
      <c r="I12" s="83" t="s">
        <v>87</v>
      </c>
      <c r="J12" s="83" t="s">
        <v>213</v>
      </c>
      <c r="K12" s="88" t="s">
        <v>226</v>
      </c>
      <c r="L12" s="17" t="s">
        <v>271</v>
      </c>
      <c r="M12" s="83">
        <v>15</v>
      </c>
      <c r="N12" s="79" t="s">
        <v>19</v>
      </c>
      <c r="O12" s="85" t="s">
        <v>272</v>
      </c>
      <c r="P12" s="83" t="s">
        <v>252</v>
      </c>
      <c r="Q12" s="83">
        <v>3</v>
      </c>
      <c r="R12" s="83" t="s">
        <v>6</v>
      </c>
      <c r="S12" s="83">
        <v>2</v>
      </c>
      <c r="T12" s="83" t="s">
        <v>9</v>
      </c>
      <c r="U12" s="83">
        <v>6</v>
      </c>
      <c r="V12" s="83" t="s">
        <v>14</v>
      </c>
      <c r="W12" s="82"/>
      <c r="X12" s="84">
        <v>46254</v>
      </c>
      <c r="Y12" s="82"/>
      <c r="Z12" s="85"/>
      <c r="AA12" s="82"/>
      <c r="AB12" s="6"/>
      <c r="AC12" s="6"/>
      <c r="AE12" s="6"/>
      <c r="AM12"/>
      <c r="AN12"/>
      <c r="AO12"/>
      <c r="AP12"/>
    </row>
    <row r="13" spans="1:42" ht="60" x14ac:dyDescent="0.25">
      <c r="A13" s="82">
        <v>10</v>
      </c>
      <c r="B13" s="82" t="s">
        <v>194</v>
      </c>
      <c r="C13" s="82" t="s">
        <v>207</v>
      </c>
      <c r="D13" s="82" t="s">
        <v>206</v>
      </c>
      <c r="E13" s="85" t="s">
        <v>273</v>
      </c>
      <c r="F13" s="83">
        <v>3</v>
      </c>
      <c r="G13" s="83">
        <v>4</v>
      </c>
      <c r="H13" s="83">
        <v>12</v>
      </c>
      <c r="I13" s="83" t="s">
        <v>260</v>
      </c>
      <c r="J13" s="83" t="s">
        <v>218</v>
      </c>
      <c r="K13" s="88" t="s">
        <v>224</v>
      </c>
      <c r="L13" s="17" t="s">
        <v>260</v>
      </c>
      <c r="M13" s="83">
        <v>12</v>
      </c>
      <c r="N13" s="79" t="s">
        <v>19</v>
      </c>
      <c r="O13" s="85" t="s">
        <v>274</v>
      </c>
      <c r="P13" s="83" t="s">
        <v>4</v>
      </c>
      <c r="Q13" s="83">
        <v>3</v>
      </c>
      <c r="R13" s="83" t="s">
        <v>7</v>
      </c>
      <c r="S13" s="83">
        <v>1</v>
      </c>
      <c r="T13" s="83" t="s">
        <v>10</v>
      </c>
      <c r="U13" s="83">
        <v>3</v>
      </c>
      <c r="V13" s="83" t="s">
        <v>14</v>
      </c>
      <c r="W13" s="82"/>
      <c r="X13" s="84">
        <v>46285</v>
      </c>
      <c r="Y13" s="82"/>
      <c r="Z13" s="85"/>
      <c r="AA13" s="82"/>
      <c r="AB13" s="6"/>
      <c r="AC13" s="6"/>
      <c r="AE13" s="6"/>
      <c r="AM13"/>
      <c r="AN13"/>
      <c r="AO13"/>
      <c r="AP13"/>
    </row>
    <row r="14" spans="1:42" ht="60" x14ac:dyDescent="0.25">
      <c r="A14" s="78">
        <v>11</v>
      </c>
      <c r="B14" s="82" t="s">
        <v>195</v>
      </c>
      <c r="C14" s="81" t="s">
        <v>208</v>
      </c>
      <c r="D14" s="81" t="s">
        <v>275</v>
      </c>
      <c r="E14" s="81" t="s">
        <v>276</v>
      </c>
      <c r="F14" s="79">
        <v>3</v>
      </c>
      <c r="G14" s="79">
        <v>4</v>
      </c>
      <c r="H14" s="79">
        <v>12</v>
      </c>
      <c r="I14" s="79" t="s">
        <v>8</v>
      </c>
      <c r="J14" s="79" t="s">
        <v>213</v>
      </c>
      <c r="K14" s="89" t="s">
        <v>227</v>
      </c>
      <c r="L14" s="17" t="s">
        <v>8</v>
      </c>
      <c r="M14" s="79">
        <v>12</v>
      </c>
      <c r="N14" s="79" t="s">
        <v>19</v>
      </c>
      <c r="O14" s="81" t="s">
        <v>277</v>
      </c>
      <c r="P14" s="79" t="s">
        <v>10</v>
      </c>
      <c r="Q14" s="79">
        <v>2</v>
      </c>
      <c r="R14" s="79" t="s">
        <v>7</v>
      </c>
      <c r="S14" s="79">
        <v>1</v>
      </c>
      <c r="T14" s="79" t="s">
        <v>10</v>
      </c>
      <c r="U14" s="79">
        <v>2</v>
      </c>
      <c r="V14" s="83" t="s">
        <v>14</v>
      </c>
      <c r="W14" s="78"/>
      <c r="X14" s="80">
        <v>46254</v>
      </c>
      <c r="Y14" s="78"/>
      <c r="Z14" s="81"/>
      <c r="AA14" s="78"/>
      <c r="AB14" s="6"/>
      <c r="AC14" s="6"/>
      <c r="AE14" s="6"/>
      <c r="AM14"/>
      <c r="AN14"/>
      <c r="AO14"/>
      <c r="AP14"/>
    </row>
    <row r="15" spans="1:42" ht="75" x14ac:dyDescent="0.25">
      <c r="A15" s="78">
        <v>12</v>
      </c>
      <c r="B15" s="82" t="s">
        <v>196</v>
      </c>
      <c r="C15" s="81" t="s">
        <v>278</v>
      </c>
      <c r="D15" s="81" t="s">
        <v>209</v>
      </c>
      <c r="E15" s="81" t="s">
        <v>279</v>
      </c>
      <c r="F15" s="79">
        <v>2</v>
      </c>
      <c r="G15" s="79">
        <v>4</v>
      </c>
      <c r="H15" s="79">
        <v>8</v>
      </c>
      <c r="I15" s="79" t="s">
        <v>9</v>
      </c>
      <c r="J15" s="79" t="s">
        <v>219</v>
      </c>
      <c r="K15" s="89" t="s">
        <v>233</v>
      </c>
      <c r="L15" s="17" t="s">
        <v>9</v>
      </c>
      <c r="M15" s="79">
        <v>8</v>
      </c>
      <c r="N15" s="79" t="s">
        <v>12</v>
      </c>
      <c r="O15" s="81" t="s">
        <v>280</v>
      </c>
      <c r="P15" s="79" t="s">
        <v>236</v>
      </c>
      <c r="Q15" s="79">
        <v>2</v>
      </c>
      <c r="R15" s="79" t="s">
        <v>7</v>
      </c>
      <c r="S15" s="79">
        <v>1</v>
      </c>
      <c r="T15" s="79" t="s">
        <v>236</v>
      </c>
      <c r="U15" s="79">
        <v>2</v>
      </c>
      <c r="V15" s="83" t="s">
        <v>15</v>
      </c>
      <c r="W15" s="78"/>
      <c r="X15" s="80">
        <v>46315</v>
      </c>
      <c r="Y15" s="78"/>
      <c r="Z15" s="81"/>
      <c r="AA15" s="78"/>
      <c r="AB15" s="6"/>
      <c r="AC15" s="6"/>
      <c r="AE15" s="6"/>
      <c r="AM15"/>
      <c r="AN15"/>
      <c r="AO15"/>
      <c r="AP15"/>
    </row>
    <row r="16" spans="1:42" ht="75" x14ac:dyDescent="0.25">
      <c r="A16" s="82">
        <v>13</v>
      </c>
      <c r="B16" s="82" t="s">
        <v>197</v>
      </c>
      <c r="C16" s="85" t="s">
        <v>210</v>
      </c>
      <c r="D16" s="85" t="s">
        <v>281</v>
      </c>
      <c r="E16" s="85" t="s">
        <v>282</v>
      </c>
      <c r="F16" s="83">
        <v>4</v>
      </c>
      <c r="G16" s="83">
        <v>5</v>
      </c>
      <c r="H16" s="83">
        <v>20</v>
      </c>
      <c r="I16" s="83" t="s">
        <v>87</v>
      </c>
      <c r="J16" s="83" t="s">
        <v>213</v>
      </c>
      <c r="K16" s="88" t="s">
        <v>229</v>
      </c>
      <c r="L16" s="17" t="s">
        <v>237</v>
      </c>
      <c r="M16" s="83">
        <v>20</v>
      </c>
      <c r="N16" s="79" t="s">
        <v>19</v>
      </c>
      <c r="O16" s="85" t="s">
        <v>283</v>
      </c>
      <c r="P16" s="83" t="s">
        <v>201</v>
      </c>
      <c r="Q16" s="83">
        <v>5</v>
      </c>
      <c r="R16" s="83" t="s">
        <v>7</v>
      </c>
      <c r="S16" s="83">
        <v>1</v>
      </c>
      <c r="T16" s="83" t="s">
        <v>9</v>
      </c>
      <c r="U16" s="83">
        <v>5</v>
      </c>
      <c r="V16" s="83" t="s">
        <v>14</v>
      </c>
      <c r="W16" s="82"/>
      <c r="X16" s="84">
        <v>46285</v>
      </c>
      <c r="Y16" s="82"/>
      <c r="Z16" s="85"/>
      <c r="AA16" s="82"/>
      <c r="AB16" s="6"/>
      <c r="AC16" s="6"/>
      <c r="AE16" s="6"/>
      <c r="AM16"/>
      <c r="AN16"/>
      <c r="AO16"/>
      <c r="AP16"/>
    </row>
    <row r="17" spans="1:42" ht="75" x14ac:dyDescent="0.25">
      <c r="A17" s="82">
        <v>14</v>
      </c>
      <c r="B17" s="82" t="s">
        <v>153</v>
      </c>
      <c r="C17" s="85" t="s">
        <v>285</v>
      </c>
      <c r="D17" s="85" t="s">
        <v>284</v>
      </c>
      <c r="E17" s="85" t="s">
        <v>286</v>
      </c>
      <c r="F17" s="83">
        <v>3</v>
      </c>
      <c r="G17" s="83">
        <v>4</v>
      </c>
      <c r="H17" s="83">
        <v>12</v>
      </c>
      <c r="I17" s="83" t="s">
        <v>253</v>
      </c>
      <c r="J17" s="83" t="s">
        <v>219</v>
      </c>
      <c r="K17" s="88" t="s">
        <v>225</v>
      </c>
      <c r="L17" s="17" t="s">
        <v>8</v>
      </c>
      <c r="M17" s="83">
        <v>12</v>
      </c>
      <c r="N17" s="79" t="s">
        <v>19</v>
      </c>
      <c r="O17" s="85" t="s">
        <v>287</v>
      </c>
      <c r="P17" s="83" t="s">
        <v>4</v>
      </c>
      <c r="Q17" s="83">
        <v>3</v>
      </c>
      <c r="R17" s="83" t="s">
        <v>6</v>
      </c>
      <c r="S17" s="83">
        <v>2</v>
      </c>
      <c r="T17" s="83" t="s">
        <v>9</v>
      </c>
      <c r="U17" s="83">
        <v>6</v>
      </c>
      <c r="V17" s="83" t="s">
        <v>14</v>
      </c>
      <c r="W17" s="82"/>
      <c r="X17" s="84">
        <v>46315</v>
      </c>
      <c r="Y17" s="82"/>
      <c r="Z17" s="85"/>
      <c r="AA17" s="82"/>
      <c r="AB17" s="6"/>
      <c r="AC17" s="6"/>
      <c r="AE17" s="6"/>
      <c r="AM17"/>
      <c r="AN17"/>
      <c r="AO17"/>
      <c r="AP17"/>
    </row>
    <row r="18" spans="1:42" x14ac:dyDescent="0.25">
      <c r="A18" s="82">
        <v>15</v>
      </c>
      <c r="B18" s="16"/>
      <c r="C18" s="82"/>
      <c r="D18" s="82"/>
      <c r="E18" s="82"/>
      <c r="F18" s="83"/>
      <c r="G18" s="83"/>
      <c r="H18" s="83"/>
      <c r="I18" s="82"/>
      <c r="J18" s="83"/>
      <c r="K18" s="90"/>
      <c r="L18" s="83"/>
      <c r="M18" s="83"/>
      <c r="N18" s="82"/>
      <c r="O18" s="82"/>
      <c r="P18" s="83"/>
      <c r="Q18" s="83"/>
      <c r="R18" s="83"/>
      <c r="S18" s="83"/>
      <c r="T18" s="83"/>
      <c r="U18" s="83"/>
      <c r="V18" s="82"/>
      <c r="W18" s="82"/>
      <c r="X18" s="84"/>
      <c r="Y18" s="82"/>
      <c r="Z18" s="85"/>
      <c r="AA18" s="82"/>
      <c r="AB18" s="6"/>
      <c r="AC18" s="6"/>
      <c r="AE18" s="6"/>
      <c r="AM18"/>
      <c r="AN18"/>
      <c r="AO18"/>
      <c r="AP18"/>
    </row>
    <row r="19" spans="1:42" x14ac:dyDescent="0.25">
      <c r="A19" s="82">
        <v>16</v>
      </c>
      <c r="B19" s="82"/>
      <c r="C19" s="82"/>
      <c r="D19" s="82"/>
      <c r="E19" s="82"/>
      <c r="F19" s="83"/>
      <c r="G19" s="83"/>
      <c r="H19" s="83"/>
      <c r="I19" s="82"/>
      <c r="J19" s="83"/>
      <c r="K19" s="90"/>
      <c r="L19" s="83"/>
      <c r="M19" s="83"/>
      <c r="N19" s="82"/>
      <c r="O19" s="82"/>
      <c r="P19" s="82"/>
      <c r="Q19" s="83"/>
      <c r="R19" s="83"/>
      <c r="S19" s="83"/>
      <c r="T19" s="83"/>
      <c r="U19" s="83"/>
      <c r="V19" s="82"/>
      <c r="W19" s="82"/>
      <c r="X19" s="84"/>
      <c r="Y19" s="82"/>
      <c r="Z19" s="85"/>
      <c r="AA19" s="82"/>
      <c r="AB19" s="6"/>
      <c r="AC19" s="6"/>
      <c r="AE19" s="6"/>
      <c r="AM19"/>
      <c r="AN19"/>
      <c r="AO19"/>
      <c r="AP19"/>
    </row>
    <row r="20" spans="1:42" x14ac:dyDescent="0.25">
      <c r="A20" s="82">
        <v>17</v>
      </c>
      <c r="B20" s="82"/>
      <c r="C20" s="82"/>
      <c r="D20" s="82"/>
      <c r="E20" s="82"/>
      <c r="F20" s="83"/>
      <c r="G20" s="83"/>
      <c r="H20" s="83"/>
      <c r="I20" s="82"/>
      <c r="J20" s="83"/>
      <c r="K20" s="90"/>
      <c r="L20" s="83"/>
      <c r="M20" s="83"/>
      <c r="N20" s="82"/>
      <c r="O20" s="82"/>
      <c r="P20" s="82"/>
      <c r="Q20" s="83"/>
      <c r="R20" s="82"/>
      <c r="S20" s="83"/>
      <c r="T20" s="83"/>
      <c r="U20" s="83"/>
      <c r="V20" s="82"/>
      <c r="W20" s="82"/>
      <c r="X20" s="84"/>
      <c r="Y20" s="82"/>
      <c r="Z20" s="85"/>
      <c r="AA20" s="82"/>
      <c r="AB20" s="6"/>
      <c r="AC20" s="6"/>
      <c r="AE20" s="6"/>
      <c r="AM20"/>
      <c r="AN20"/>
      <c r="AO20"/>
      <c r="AP20"/>
    </row>
    <row r="21" spans="1:42" x14ac:dyDescent="0.25">
      <c r="A21" s="26"/>
      <c r="B21" s="26"/>
      <c r="C21" s="26"/>
      <c r="D21" s="26"/>
      <c r="E21" s="26"/>
      <c r="F21" s="26"/>
      <c r="G21" s="26"/>
      <c r="H21" s="26"/>
      <c r="I21" s="26"/>
      <c r="J21" s="26"/>
      <c r="K21" s="73"/>
      <c r="L21" s="26"/>
      <c r="M21" s="91"/>
      <c r="N21" s="26"/>
      <c r="O21" s="75"/>
      <c r="P21" s="75"/>
      <c r="Q21" s="75"/>
      <c r="R21" s="26"/>
      <c r="S21" s="26"/>
      <c r="T21" s="26"/>
      <c r="U21" s="26"/>
      <c r="V21" s="26"/>
      <c r="W21" s="26"/>
      <c r="X21" s="26"/>
      <c r="Y21" s="26"/>
      <c r="Z21" s="26"/>
      <c r="AA21" s="26"/>
      <c r="AB21" s="26"/>
      <c r="AC21" s="26"/>
      <c r="AD21" s="77"/>
      <c r="AE21" s="26"/>
    </row>
    <row r="22" spans="1:42" x14ac:dyDescent="0.25">
      <c r="A22" s="26"/>
      <c r="B22" s="26"/>
      <c r="C22" s="26"/>
      <c r="D22" s="26"/>
      <c r="E22" s="26"/>
      <c r="F22" s="26"/>
      <c r="G22" s="26"/>
      <c r="H22" s="26"/>
      <c r="I22" s="26"/>
      <c r="J22" s="26"/>
      <c r="K22" s="73"/>
      <c r="L22" s="26"/>
      <c r="M22" s="91"/>
      <c r="N22" s="26"/>
      <c r="O22" s="75"/>
      <c r="P22" s="75"/>
      <c r="Q22" s="75"/>
      <c r="R22" s="26"/>
      <c r="S22" s="26"/>
      <c r="T22" s="26"/>
      <c r="U22" s="26"/>
      <c r="V22" s="26"/>
      <c r="W22" s="26"/>
      <c r="X22" s="26"/>
      <c r="Y22" s="26"/>
      <c r="Z22" s="26"/>
      <c r="AA22" s="26"/>
      <c r="AB22" s="26"/>
      <c r="AC22" s="26"/>
      <c r="AD22" s="77"/>
      <c r="AE22" s="26"/>
    </row>
    <row r="23" spans="1:42" x14ac:dyDescent="0.25">
      <c r="A23" s="26"/>
      <c r="B23" s="26"/>
      <c r="C23" s="26"/>
      <c r="D23" s="26"/>
      <c r="E23" s="26"/>
      <c r="F23" s="26"/>
      <c r="G23" s="26"/>
      <c r="H23" s="26"/>
      <c r="I23" s="26"/>
      <c r="J23" s="26"/>
      <c r="K23" s="73"/>
      <c r="L23" s="26"/>
      <c r="M23" s="91"/>
      <c r="N23" s="26"/>
      <c r="O23" s="75"/>
      <c r="P23" s="75"/>
      <c r="Q23" s="75"/>
      <c r="R23" s="26"/>
      <c r="S23" s="26"/>
      <c r="T23" s="26"/>
      <c r="U23" s="26"/>
      <c r="V23" s="26"/>
      <c r="W23" s="26"/>
      <c r="X23" s="26"/>
      <c r="Y23" s="26"/>
      <c r="Z23" s="26"/>
      <c r="AA23" s="26"/>
      <c r="AB23" s="26"/>
      <c r="AC23" s="26"/>
      <c r="AD23" s="77"/>
      <c r="AE23" s="26"/>
    </row>
    <row r="24" spans="1:42" x14ac:dyDescent="0.25">
      <c r="A24" s="26"/>
      <c r="B24" s="26"/>
      <c r="C24" s="26"/>
      <c r="D24" s="26"/>
      <c r="E24" s="26"/>
      <c r="F24" s="26"/>
      <c r="G24" s="26"/>
      <c r="H24" s="26"/>
      <c r="I24" s="26"/>
      <c r="J24" s="26"/>
      <c r="K24" s="73"/>
      <c r="L24" s="26"/>
      <c r="M24" s="91"/>
      <c r="N24" s="26"/>
      <c r="O24" s="75"/>
      <c r="P24" s="75"/>
      <c r="Q24" s="75"/>
      <c r="R24" s="26"/>
      <c r="S24" s="26"/>
      <c r="T24" s="26"/>
      <c r="U24" s="26"/>
      <c r="V24" s="26"/>
      <c r="W24" s="26"/>
      <c r="X24" s="26"/>
      <c r="Y24" s="26"/>
      <c r="Z24" s="26"/>
      <c r="AA24" s="26"/>
      <c r="AB24" s="26"/>
      <c r="AC24" s="26"/>
      <c r="AD24" s="77"/>
      <c r="AE24" s="26"/>
    </row>
    <row r="25" spans="1:42" x14ac:dyDescent="0.25">
      <c r="A25" s="26"/>
      <c r="B25" s="26"/>
      <c r="C25" s="26"/>
      <c r="D25" s="26"/>
      <c r="E25" s="26"/>
      <c r="F25" s="26"/>
      <c r="G25" s="26"/>
      <c r="H25" s="26"/>
      <c r="I25" s="26"/>
      <c r="J25" s="26"/>
      <c r="K25" s="73"/>
      <c r="L25" s="26"/>
      <c r="M25" s="91"/>
      <c r="N25" s="26"/>
      <c r="O25" s="75"/>
      <c r="P25" s="75"/>
      <c r="Q25" s="75"/>
      <c r="R25" s="26"/>
      <c r="S25" s="26"/>
      <c r="T25" s="26"/>
      <c r="U25" s="26"/>
      <c r="V25" s="26"/>
      <c r="W25" s="26"/>
      <c r="X25" s="26"/>
      <c r="Y25" s="26"/>
      <c r="Z25" s="26"/>
      <c r="AA25" s="26"/>
      <c r="AB25" s="26"/>
      <c r="AC25" s="26"/>
      <c r="AD25" s="77"/>
      <c r="AE25" s="26"/>
    </row>
    <row r="26" spans="1:42" x14ac:dyDescent="0.25">
      <c r="A26" s="26"/>
      <c r="B26" s="26"/>
      <c r="C26" s="26"/>
      <c r="D26" s="26"/>
      <c r="E26" s="26"/>
      <c r="F26" s="26"/>
      <c r="G26" s="26"/>
      <c r="H26" s="26"/>
      <c r="I26" s="26"/>
      <c r="J26" s="26"/>
      <c r="K26" s="73"/>
      <c r="L26" s="26"/>
      <c r="M26" s="91"/>
      <c r="N26" s="26"/>
      <c r="O26" s="75"/>
      <c r="P26" s="75"/>
      <c r="Q26" s="75"/>
      <c r="R26" s="26"/>
      <c r="S26" s="26"/>
      <c r="T26" s="26"/>
      <c r="U26" s="26"/>
      <c r="V26" s="26"/>
      <c r="W26" s="26"/>
      <c r="X26" s="26"/>
      <c r="Y26" s="26"/>
      <c r="Z26" s="26"/>
      <c r="AA26" s="26"/>
      <c r="AB26" s="26"/>
      <c r="AC26" s="26"/>
      <c r="AD26" s="77"/>
      <c r="AE26" s="26"/>
    </row>
    <row r="27" spans="1:42" x14ac:dyDescent="0.25">
      <c r="A27" s="26"/>
      <c r="B27" s="26"/>
      <c r="C27" s="26"/>
      <c r="D27" s="26"/>
      <c r="E27" s="26"/>
      <c r="F27" s="26"/>
      <c r="G27" s="26"/>
      <c r="H27" s="26"/>
      <c r="I27" s="26"/>
      <c r="J27" s="26"/>
      <c r="K27" s="73"/>
      <c r="L27" s="26"/>
      <c r="M27" s="91"/>
      <c r="N27" s="26"/>
      <c r="O27" s="75"/>
      <c r="P27" s="75"/>
      <c r="Q27" s="75"/>
      <c r="R27" s="26"/>
      <c r="S27" s="26"/>
      <c r="T27" s="26"/>
      <c r="U27" s="26"/>
      <c r="V27" s="26"/>
      <c r="W27" s="26"/>
      <c r="X27" s="26"/>
      <c r="Y27" s="26"/>
      <c r="Z27" s="26"/>
      <c r="AA27" s="26"/>
      <c r="AB27" s="26"/>
      <c r="AC27" s="26"/>
      <c r="AD27" s="77"/>
      <c r="AE27" s="26"/>
    </row>
    <row r="28" spans="1:42" x14ac:dyDescent="0.25">
      <c r="A28" s="26"/>
      <c r="B28" s="26"/>
      <c r="C28" s="26"/>
      <c r="D28" s="26"/>
      <c r="E28" s="26"/>
      <c r="F28" s="26"/>
      <c r="G28" s="26"/>
      <c r="H28" s="26"/>
      <c r="I28" s="26"/>
      <c r="J28" s="26"/>
      <c r="K28" s="73"/>
      <c r="L28" s="26"/>
      <c r="M28" s="91"/>
      <c r="N28" s="26"/>
      <c r="O28" s="75"/>
      <c r="P28" s="75"/>
      <c r="Q28" s="75"/>
      <c r="R28" s="26"/>
      <c r="S28" s="26"/>
      <c r="T28" s="26"/>
      <c r="U28" s="26"/>
      <c r="V28" s="26"/>
      <c r="W28" s="26"/>
      <c r="X28" s="26"/>
      <c r="Y28" s="26"/>
      <c r="Z28" s="26"/>
      <c r="AA28" s="26"/>
      <c r="AB28" s="26"/>
      <c r="AC28" s="26"/>
      <c r="AD28" s="77"/>
      <c r="AE28" s="26"/>
    </row>
    <row r="29" spans="1:42" x14ac:dyDescent="0.25">
      <c r="A29" s="26"/>
      <c r="B29" s="26"/>
      <c r="C29" s="26"/>
      <c r="D29" s="26"/>
      <c r="E29" s="26"/>
      <c r="F29" s="26"/>
      <c r="G29" s="26"/>
      <c r="H29" s="26"/>
      <c r="I29" s="26"/>
      <c r="J29" s="26"/>
      <c r="K29" s="73"/>
      <c r="L29" s="26"/>
      <c r="M29" s="91"/>
      <c r="N29" s="26"/>
      <c r="O29" s="75"/>
      <c r="P29" s="75"/>
      <c r="Q29" s="75"/>
      <c r="R29" s="26"/>
      <c r="S29" s="26"/>
      <c r="T29" s="26"/>
      <c r="U29" s="26"/>
      <c r="V29" s="26"/>
      <c r="W29" s="26"/>
      <c r="X29" s="26"/>
      <c r="Y29" s="26"/>
      <c r="Z29" s="26"/>
      <c r="AA29" s="26"/>
      <c r="AB29" s="26"/>
      <c r="AC29" s="26"/>
      <c r="AD29" s="77"/>
      <c r="AE29" s="26"/>
    </row>
    <row r="30" spans="1:42" x14ac:dyDescent="0.25">
      <c r="A30" s="26"/>
      <c r="B30" s="26"/>
      <c r="C30" s="26"/>
      <c r="D30" s="26"/>
      <c r="E30" s="26"/>
      <c r="F30" s="26"/>
      <c r="G30" s="26"/>
      <c r="H30" s="26"/>
      <c r="I30" s="26"/>
      <c r="J30" s="26"/>
      <c r="K30" s="73"/>
      <c r="L30" s="26"/>
      <c r="M30" s="91"/>
      <c r="N30" s="26"/>
      <c r="O30" s="75"/>
      <c r="P30" s="75"/>
      <c r="Q30" s="75"/>
      <c r="R30" s="26"/>
      <c r="S30" s="26"/>
      <c r="T30" s="26"/>
      <c r="U30" s="26"/>
      <c r="V30" s="26"/>
      <c r="W30" s="26"/>
      <c r="X30" s="26"/>
      <c r="Y30" s="26"/>
      <c r="Z30" s="26"/>
      <c r="AA30" s="26"/>
      <c r="AB30" s="26"/>
      <c r="AC30" s="26"/>
      <c r="AD30" s="77"/>
      <c r="AE30" s="26"/>
    </row>
    <row r="31" spans="1:42" x14ac:dyDescent="0.25">
      <c r="A31" s="26"/>
      <c r="B31" s="26"/>
      <c r="C31" s="26"/>
      <c r="D31" s="26"/>
      <c r="E31" s="26"/>
      <c r="F31" s="26"/>
      <c r="G31" s="26"/>
      <c r="H31" s="26"/>
      <c r="I31" s="26"/>
      <c r="J31" s="26"/>
      <c r="K31" s="73"/>
      <c r="L31" s="26"/>
      <c r="M31" s="91"/>
      <c r="N31" s="26"/>
      <c r="O31" s="75"/>
      <c r="P31" s="75"/>
      <c r="Q31" s="75"/>
      <c r="R31" s="26"/>
      <c r="S31" s="26"/>
      <c r="T31" s="26"/>
      <c r="U31" s="26"/>
      <c r="V31" s="26"/>
      <c r="W31" s="26"/>
      <c r="X31" s="26"/>
      <c r="Y31" s="26"/>
      <c r="Z31" s="26"/>
      <c r="AA31" s="26"/>
      <c r="AB31" s="26"/>
      <c r="AC31" s="26"/>
      <c r="AD31" s="77"/>
      <c r="AE31" s="26"/>
    </row>
    <row r="32" spans="1:42" x14ac:dyDescent="0.25">
      <c r="A32" s="26"/>
      <c r="B32" s="26"/>
      <c r="C32" s="26"/>
      <c r="D32" s="26"/>
      <c r="E32" s="26"/>
      <c r="F32" s="26"/>
      <c r="G32" s="26"/>
      <c r="H32" s="26"/>
      <c r="I32" s="26"/>
      <c r="J32" s="26"/>
      <c r="K32" s="73"/>
      <c r="L32" s="26"/>
      <c r="M32" s="91"/>
      <c r="N32" s="26"/>
      <c r="O32" s="75"/>
      <c r="P32" s="75"/>
      <c r="Q32" s="75"/>
      <c r="R32" s="26"/>
      <c r="S32" s="26"/>
      <c r="T32" s="26"/>
      <c r="U32" s="26"/>
      <c r="V32" s="26"/>
      <c r="W32" s="26"/>
      <c r="X32" s="26"/>
      <c r="Y32" s="26"/>
      <c r="Z32" s="26"/>
      <c r="AA32" s="26"/>
      <c r="AB32" s="26"/>
      <c r="AC32" s="26"/>
      <c r="AD32" s="77"/>
      <c r="AE32" s="26"/>
    </row>
    <row r="33" spans="1:31" x14ac:dyDescent="0.25">
      <c r="A33" s="26"/>
      <c r="B33" s="26"/>
      <c r="C33" s="26"/>
      <c r="D33" s="26"/>
      <c r="E33" s="26"/>
      <c r="F33" s="26"/>
      <c r="G33" s="26"/>
      <c r="H33" s="26"/>
      <c r="I33" s="26"/>
      <c r="J33" s="26"/>
      <c r="K33" s="73"/>
      <c r="L33" s="26"/>
      <c r="M33" s="91"/>
      <c r="N33" s="26"/>
      <c r="O33" s="75"/>
      <c r="P33" s="75"/>
      <c r="Q33" s="75"/>
      <c r="R33" s="26"/>
      <c r="S33" s="26"/>
      <c r="T33" s="26"/>
      <c r="U33" s="26"/>
      <c r="V33" s="26"/>
      <c r="W33" s="26"/>
      <c r="X33" s="26"/>
      <c r="Y33" s="26"/>
      <c r="Z33" s="26"/>
      <c r="AA33" s="26"/>
      <c r="AB33" s="26"/>
      <c r="AC33" s="26"/>
      <c r="AD33" s="77"/>
      <c r="AE33" s="26"/>
    </row>
    <row r="34" spans="1:31" x14ac:dyDescent="0.25">
      <c r="A34" s="26"/>
      <c r="B34" s="26"/>
      <c r="C34" s="26"/>
      <c r="D34" s="26"/>
      <c r="E34" s="26"/>
      <c r="F34" s="26"/>
      <c r="G34" s="26"/>
      <c r="H34" s="26"/>
      <c r="I34" s="26"/>
      <c r="J34" s="26"/>
      <c r="K34" s="73"/>
      <c r="L34" s="26"/>
      <c r="M34" s="91"/>
      <c r="N34" s="26"/>
      <c r="O34" s="75"/>
      <c r="P34" s="75"/>
      <c r="Q34" s="75"/>
      <c r="R34" s="26"/>
      <c r="S34" s="26"/>
      <c r="T34" s="26"/>
      <c r="U34" s="26"/>
      <c r="V34" s="26"/>
      <c r="W34" s="26"/>
      <c r="X34" s="26"/>
      <c r="Y34" s="26"/>
      <c r="Z34" s="26"/>
      <c r="AA34" s="26"/>
      <c r="AB34" s="26"/>
      <c r="AC34" s="26"/>
      <c r="AD34" s="77"/>
      <c r="AE34" s="26"/>
    </row>
    <row r="35" spans="1:31" x14ac:dyDescent="0.25">
      <c r="A35" s="26"/>
      <c r="B35" s="26"/>
      <c r="C35" s="26"/>
      <c r="D35" s="26"/>
      <c r="E35" s="26"/>
      <c r="F35" s="26"/>
      <c r="G35" s="26"/>
      <c r="H35" s="26"/>
      <c r="I35" s="26"/>
      <c r="J35" s="26"/>
      <c r="K35" s="73"/>
      <c r="L35" s="26"/>
      <c r="M35" s="91"/>
      <c r="N35" s="26"/>
      <c r="O35" s="75"/>
      <c r="P35" s="75"/>
      <c r="Q35" s="75"/>
      <c r="R35" s="26"/>
      <c r="S35" s="26"/>
      <c r="T35" s="26"/>
      <c r="U35" s="26"/>
      <c r="V35" s="26"/>
      <c r="W35" s="26"/>
      <c r="X35" s="26"/>
      <c r="Y35" s="26"/>
      <c r="Z35" s="26"/>
      <c r="AA35" s="26"/>
      <c r="AB35" s="26"/>
      <c r="AC35" s="26"/>
      <c r="AD35" s="77"/>
      <c r="AE35" s="26"/>
    </row>
    <row r="36" spans="1:31" x14ac:dyDescent="0.25">
      <c r="A36" s="26"/>
      <c r="B36" s="26"/>
      <c r="C36" s="26"/>
      <c r="D36" s="26"/>
      <c r="E36" s="26"/>
      <c r="F36" s="26"/>
      <c r="G36" s="26"/>
      <c r="H36" s="26"/>
      <c r="I36" s="26"/>
      <c r="J36" s="26"/>
      <c r="K36" s="73"/>
      <c r="L36" s="26"/>
      <c r="M36" s="91"/>
      <c r="N36" s="26"/>
      <c r="O36" s="75"/>
      <c r="P36" s="75"/>
      <c r="Q36" s="75"/>
      <c r="R36" s="26"/>
      <c r="S36" s="26"/>
      <c r="T36" s="26"/>
      <c r="U36" s="26"/>
      <c r="V36" s="26"/>
      <c r="W36" s="26"/>
      <c r="X36" s="26"/>
      <c r="Y36" s="26"/>
      <c r="Z36" s="26"/>
      <c r="AA36" s="26"/>
      <c r="AB36" s="26"/>
      <c r="AC36" s="26"/>
      <c r="AD36" s="77"/>
      <c r="AE36" s="26"/>
    </row>
    <row r="37" spans="1:31" x14ac:dyDescent="0.25">
      <c r="A37" s="26"/>
      <c r="B37" s="26"/>
      <c r="C37" s="26"/>
      <c r="D37" s="26"/>
      <c r="E37" s="26"/>
      <c r="F37" s="26"/>
      <c r="G37" s="26"/>
      <c r="H37" s="26"/>
      <c r="I37" s="26"/>
      <c r="J37" s="26"/>
      <c r="K37" s="73"/>
      <c r="L37" s="26"/>
      <c r="M37" s="91"/>
      <c r="N37" s="26"/>
      <c r="O37" s="75"/>
      <c r="P37" s="75"/>
      <c r="Q37" s="75"/>
      <c r="R37" s="26"/>
      <c r="S37" s="26"/>
      <c r="T37" s="26"/>
      <c r="U37" s="26"/>
      <c r="V37" s="26"/>
      <c r="W37" s="26"/>
      <c r="X37" s="26"/>
      <c r="Y37" s="26"/>
      <c r="Z37" s="26"/>
      <c r="AA37" s="26"/>
      <c r="AB37" s="26"/>
      <c r="AC37" s="26"/>
      <c r="AD37" s="77"/>
      <c r="AE37" s="26"/>
    </row>
    <row r="38" spans="1:31" x14ac:dyDescent="0.25">
      <c r="A38" s="26"/>
      <c r="B38" s="26"/>
      <c r="C38" s="26"/>
      <c r="D38" s="26"/>
      <c r="E38" s="26"/>
      <c r="F38" s="26"/>
      <c r="G38" s="26"/>
      <c r="H38" s="26"/>
      <c r="I38" s="26"/>
      <c r="J38" s="26"/>
      <c r="K38" s="73"/>
      <c r="L38" s="26"/>
      <c r="M38" s="91"/>
      <c r="N38" s="26"/>
      <c r="O38" s="75"/>
      <c r="P38" s="75"/>
      <c r="Q38" s="75"/>
      <c r="R38" s="26"/>
      <c r="S38" s="26"/>
      <c r="T38" s="26"/>
      <c r="U38" s="26"/>
      <c r="V38" s="26"/>
      <c r="W38" s="26"/>
      <c r="X38" s="26"/>
      <c r="Y38" s="26"/>
      <c r="Z38" s="26"/>
      <c r="AA38" s="26"/>
      <c r="AB38" s="26"/>
      <c r="AC38" s="26"/>
      <c r="AD38" s="77"/>
      <c r="AE38" s="26"/>
    </row>
    <row r="39" spans="1:31" x14ac:dyDescent="0.25">
      <c r="A39" s="26"/>
      <c r="B39" s="26"/>
      <c r="C39" s="26"/>
      <c r="D39" s="26"/>
      <c r="E39" s="26"/>
      <c r="F39" s="26"/>
      <c r="G39" s="26"/>
      <c r="H39" s="26"/>
      <c r="I39" s="26"/>
      <c r="J39" s="26"/>
      <c r="K39" s="73"/>
      <c r="L39" s="26"/>
      <c r="M39" s="91"/>
      <c r="N39" s="26"/>
      <c r="O39" s="75"/>
      <c r="P39" s="75"/>
      <c r="Q39" s="75"/>
      <c r="R39" s="26"/>
      <c r="S39" s="26"/>
      <c r="T39" s="26"/>
      <c r="U39" s="26"/>
      <c r="V39" s="26"/>
      <c r="W39" s="26"/>
      <c r="X39" s="26"/>
      <c r="Y39" s="26"/>
      <c r="Z39" s="26"/>
      <c r="AA39" s="26"/>
      <c r="AB39" s="26"/>
      <c r="AC39" s="26"/>
      <c r="AD39" s="77"/>
      <c r="AE39" s="26"/>
    </row>
    <row r="40" spans="1:31" x14ac:dyDescent="0.25">
      <c r="A40" s="26"/>
      <c r="B40" s="26"/>
      <c r="C40" s="26"/>
      <c r="D40" s="26"/>
      <c r="E40" s="26"/>
      <c r="F40" s="26"/>
      <c r="G40" s="26"/>
      <c r="H40" s="26"/>
      <c r="I40" s="26"/>
      <c r="J40" s="26"/>
      <c r="K40" s="73"/>
      <c r="L40" s="26"/>
      <c r="M40" s="91"/>
      <c r="N40" s="26"/>
      <c r="O40" s="75"/>
      <c r="P40" s="75"/>
      <c r="Q40" s="75"/>
      <c r="R40" s="26"/>
      <c r="S40" s="26"/>
      <c r="T40" s="26"/>
      <c r="U40" s="26"/>
      <c r="V40" s="26"/>
      <c r="W40" s="26"/>
      <c r="X40" s="26"/>
      <c r="Y40" s="26"/>
      <c r="Z40" s="26"/>
      <c r="AA40" s="26"/>
      <c r="AB40" s="26"/>
      <c r="AC40" s="26"/>
      <c r="AD40" s="77"/>
      <c r="AE40" s="26"/>
    </row>
    <row r="41" spans="1:31" x14ac:dyDescent="0.25">
      <c r="A41" s="26"/>
      <c r="B41" s="26"/>
      <c r="C41" s="26"/>
      <c r="D41" s="26"/>
      <c r="E41" s="26"/>
      <c r="F41" s="26"/>
      <c r="G41" s="26"/>
      <c r="H41" s="26"/>
      <c r="I41" s="26"/>
      <c r="J41" s="26"/>
      <c r="K41" s="26"/>
      <c r="L41" s="74"/>
      <c r="M41" s="75"/>
      <c r="N41" s="26"/>
      <c r="O41" s="75"/>
      <c r="P41" s="75"/>
      <c r="Q41" s="75"/>
      <c r="R41" s="26"/>
      <c r="S41" s="26"/>
      <c r="T41" s="26"/>
      <c r="U41" s="26"/>
      <c r="V41" s="26"/>
      <c r="W41" s="26"/>
      <c r="X41" s="26"/>
      <c r="Y41" s="26"/>
      <c r="Z41" s="26"/>
      <c r="AA41" s="26"/>
      <c r="AB41" s="26"/>
      <c r="AC41" s="26"/>
      <c r="AD41" s="77"/>
      <c r="AE41" s="26"/>
    </row>
    <row r="42" spans="1:31" x14ac:dyDescent="0.25">
      <c r="A42" s="26"/>
      <c r="B42" s="26"/>
      <c r="C42" s="26"/>
      <c r="D42" s="26"/>
      <c r="E42" s="26"/>
      <c r="F42" s="26"/>
      <c r="G42" s="26"/>
      <c r="H42" s="26"/>
      <c r="I42" s="26"/>
      <c r="J42" s="26"/>
      <c r="K42" s="26"/>
      <c r="L42" s="26"/>
      <c r="M42" s="75"/>
      <c r="N42" s="26"/>
      <c r="O42" s="75"/>
      <c r="P42" s="75"/>
      <c r="Q42" s="75"/>
      <c r="R42" s="26"/>
      <c r="S42" s="26"/>
      <c r="T42" s="26"/>
      <c r="U42" s="26"/>
      <c r="V42" s="26"/>
      <c r="W42" s="26"/>
      <c r="X42" s="26"/>
      <c r="Y42" s="26"/>
      <c r="Z42" s="26"/>
      <c r="AA42" s="26"/>
      <c r="AB42" s="26"/>
      <c r="AC42" s="26"/>
      <c r="AD42" s="77"/>
      <c r="AE42" s="26"/>
    </row>
    <row r="43" spans="1:31" x14ac:dyDescent="0.25">
      <c r="A43" s="26"/>
      <c r="B43" s="26"/>
      <c r="C43" s="26"/>
      <c r="D43" s="26"/>
      <c r="E43" s="26"/>
      <c r="F43" s="26"/>
      <c r="G43" s="26"/>
      <c r="H43" s="26"/>
      <c r="I43" s="26"/>
      <c r="J43" s="26"/>
      <c r="K43" s="26"/>
      <c r="L43" s="26"/>
      <c r="M43" s="75"/>
      <c r="N43" s="26"/>
      <c r="O43" s="75"/>
      <c r="P43" s="75"/>
      <c r="Q43" s="75"/>
      <c r="R43" s="26"/>
      <c r="S43" s="26"/>
      <c r="T43" s="26"/>
      <c r="U43" s="26"/>
      <c r="V43" s="26"/>
      <c r="W43" s="26"/>
      <c r="X43" s="26"/>
      <c r="Y43" s="26"/>
      <c r="Z43" s="26"/>
      <c r="AA43" s="26"/>
      <c r="AB43" s="26"/>
      <c r="AC43" s="26"/>
      <c r="AD43" s="77"/>
      <c r="AE43" s="26"/>
    </row>
    <row r="44" spans="1:31" x14ac:dyDescent="0.25">
      <c r="A44" s="26"/>
      <c r="B44" s="26"/>
      <c r="C44" s="26"/>
      <c r="D44" s="26"/>
      <c r="E44" s="26"/>
      <c r="F44" s="26"/>
      <c r="G44" s="26"/>
      <c r="H44" s="26"/>
      <c r="I44" s="26"/>
      <c r="J44" s="26"/>
      <c r="K44" s="26"/>
      <c r="L44" s="26"/>
      <c r="M44" s="75"/>
      <c r="N44" s="26"/>
      <c r="O44" s="75"/>
      <c r="P44" s="75"/>
      <c r="Q44" s="75"/>
      <c r="R44" s="26"/>
      <c r="S44" s="26"/>
      <c r="T44" s="26"/>
      <c r="U44" s="26"/>
      <c r="V44" s="26"/>
      <c r="W44" s="26"/>
      <c r="X44" s="26"/>
      <c r="Y44" s="26"/>
      <c r="Z44" s="26"/>
      <c r="AA44" s="26"/>
      <c r="AB44" s="26"/>
      <c r="AC44" s="26"/>
      <c r="AD44" s="77"/>
      <c r="AE44" s="26"/>
    </row>
    <row r="45" spans="1:31" x14ac:dyDescent="0.25">
      <c r="A45" s="26"/>
      <c r="B45" s="26"/>
      <c r="C45" s="26"/>
      <c r="D45" s="26"/>
      <c r="E45" s="26"/>
      <c r="F45" s="26"/>
      <c r="G45" s="26"/>
      <c r="H45" s="26"/>
      <c r="I45" s="26"/>
      <c r="J45" s="26"/>
      <c r="K45" s="26"/>
      <c r="L45" s="26"/>
      <c r="M45" s="75"/>
      <c r="N45" s="26"/>
      <c r="O45" s="75"/>
      <c r="P45" s="75"/>
      <c r="Q45" s="75"/>
      <c r="R45" s="26"/>
      <c r="S45" s="26"/>
      <c r="T45" s="26"/>
      <c r="U45" s="26"/>
      <c r="V45" s="26"/>
      <c r="W45" s="26"/>
      <c r="X45" s="26"/>
      <c r="Y45" s="26"/>
      <c r="Z45" s="26"/>
      <c r="AA45" s="26"/>
      <c r="AB45" s="26"/>
      <c r="AC45" s="26"/>
      <c r="AD45" s="77"/>
      <c r="AE45" s="26"/>
    </row>
    <row r="46" spans="1:31" x14ac:dyDescent="0.25">
      <c r="A46" s="26"/>
      <c r="B46" s="26"/>
      <c r="C46" s="26"/>
      <c r="D46" s="26"/>
      <c r="E46" s="26"/>
      <c r="F46" s="26"/>
      <c r="G46" s="26"/>
      <c r="H46" s="26"/>
      <c r="I46" s="26"/>
      <c r="J46" s="26"/>
      <c r="K46" s="26"/>
      <c r="L46" s="26"/>
      <c r="M46" s="75"/>
      <c r="N46" s="26"/>
      <c r="O46" s="75"/>
      <c r="P46" s="75"/>
      <c r="Q46" s="75"/>
      <c r="R46" s="26"/>
      <c r="S46" s="26"/>
      <c r="T46" s="26"/>
      <c r="U46" s="26"/>
      <c r="V46" s="26"/>
      <c r="W46" s="26"/>
      <c r="X46" s="26"/>
      <c r="Y46" s="26"/>
      <c r="Z46" s="26"/>
      <c r="AA46" s="26"/>
      <c r="AB46" s="26"/>
      <c r="AC46" s="26"/>
      <c r="AD46" s="77"/>
      <c r="AE46" s="26"/>
    </row>
    <row r="47" spans="1:31" x14ac:dyDescent="0.25">
      <c r="A47" s="26"/>
      <c r="B47" s="26"/>
      <c r="C47" s="26"/>
      <c r="D47" s="26"/>
      <c r="E47" s="26"/>
      <c r="F47" s="26"/>
      <c r="G47" s="26"/>
      <c r="H47" s="26"/>
      <c r="I47" s="26"/>
      <c r="J47" s="26"/>
      <c r="K47" s="26"/>
      <c r="L47" s="26"/>
      <c r="M47" s="75"/>
      <c r="N47" s="26"/>
      <c r="O47" s="75"/>
      <c r="P47" s="75"/>
      <c r="Q47" s="75"/>
      <c r="R47" s="26"/>
      <c r="S47" s="26"/>
      <c r="T47" s="26"/>
      <c r="U47" s="26"/>
      <c r="V47" s="26"/>
      <c r="W47" s="26"/>
      <c r="X47" s="26"/>
      <c r="Y47" s="26"/>
      <c r="Z47" s="26"/>
      <c r="AA47" s="26"/>
      <c r="AB47" s="26"/>
      <c r="AC47" s="26"/>
      <c r="AD47" s="77"/>
      <c r="AE47" s="26"/>
    </row>
    <row r="48" spans="1:31" x14ac:dyDescent="0.25">
      <c r="A48" s="26"/>
      <c r="B48" s="26"/>
      <c r="C48" s="26"/>
      <c r="D48" s="26"/>
      <c r="E48" s="26"/>
      <c r="F48" s="26"/>
      <c r="G48" s="26"/>
      <c r="H48" s="26"/>
      <c r="I48" s="26"/>
      <c r="J48" s="26"/>
      <c r="K48" s="26"/>
      <c r="L48" s="26"/>
      <c r="M48" s="75"/>
      <c r="N48" s="26"/>
      <c r="O48" s="75"/>
      <c r="P48" s="75"/>
      <c r="Q48" s="75"/>
      <c r="R48" s="26"/>
      <c r="S48" s="26"/>
      <c r="T48" s="26"/>
      <c r="U48" s="26"/>
      <c r="V48" s="26"/>
      <c r="W48" s="26"/>
      <c r="X48" s="26"/>
      <c r="Y48" s="26"/>
      <c r="Z48" s="26"/>
      <c r="AA48" s="26"/>
      <c r="AB48" s="26"/>
      <c r="AC48" s="26"/>
      <c r="AD48" s="77"/>
      <c r="AE48" s="26"/>
    </row>
    <row r="49" spans="1:31" x14ac:dyDescent="0.25">
      <c r="A49" s="26"/>
      <c r="B49" s="26"/>
      <c r="C49" s="26"/>
      <c r="D49" s="26"/>
      <c r="E49" s="26"/>
      <c r="F49" s="26"/>
      <c r="G49" s="26"/>
      <c r="H49" s="26"/>
      <c r="I49" s="26"/>
      <c r="J49" s="26"/>
      <c r="K49" s="26"/>
      <c r="L49" s="26"/>
      <c r="M49" s="75"/>
      <c r="N49" s="26"/>
      <c r="O49" s="75"/>
      <c r="P49" s="75"/>
      <c r="Q49" s="75"/>
      <c r="R49" s="26"/>
      <c r="S49" s="26"/>
      <c r="T49" s="26"/>
      <c r="U49" s="26"/>
      <c r="V49" s="26"/>
      <c r="W49" s="26"/>
      <c r="X49" s="26"/>
      <c r="Y49" s="26"/>
      <c r="Z49" s="26"/>
      <c r="AA49" s="26"/>
      <c r="AB49" s="26"/>
      <c r="AC49" s="26"/>
      <c r="AD49" s="77"/>
      <c r="AE49" s="26"/>
    </row>
    <row r="50" spans="1:31" x14ac:dyDescent="0.25">
      <c r="A50" s="26"/>
      <c r="B50" s="26"/>
      <c r="C50" s="26"/>
      <c r="D50" s="26"/>
      <c r="E50" s="26"/>
      <c r="F50" s="26"/>
      <c r="G50" s="26"/>
      <c r="H50" s="26"/>
      <c r="I50" s="26"/>
      <c r="J50" s="26"/>
      <c r="K50" s="26"/>
      <c r="L50" s="26"/>
      <c r="M50" s="75"/>
      <c r="N50" s="26"/>
      <c r="O50" s="75"/>
      <c r="P50" s="75"/>
      <c r="Q50" s="75"/>
      <c r="R50" s="26"/>
      <c r="S50" s="26"/>
      <c r="T50" s="26"/>
      <c r="U50" s="26"/>
      <c r="V50" s="26"/>
      <c r="W50" s="26"/>
      <c r="X50" s="26"/>
      <c r="Y50" s="26"/>
      <c r="Z50" s="26"/>
      <c r="AA50" s="26"/>
      <c r="AB50" s="26"/>
      <c r="AC50" s="26"/>
      <c r="AD50" s="77"/>
      <c r="AE50" s="26"/>
    </row>
    <row r="51" spans="1:31" x14ac:dyDescent="0.25">
      <c r="A51" s="26"/>
      <c r="B51" s="26"/>
      <c r="C51" s="26"/>
      <c r="D51" s="26"/>
      <c r="E51" s="26"/>
      <c r="F51" s="26"/>
      <c r="G51" s="26"/>
      <c r="H51" s="26"/>
      <c r="I51" s="26"/>
      <c r="J51" s="26"/>
      <c r="K51" s="26"/>
      <c r="L51" s="26"/>
      <c r="M51" s="75"/>
      <c r="N51" s="26"/>
      <c r="O51" s="75"/>
      <c r="P51" s="75"/>
      <c r="Q51" s="75"/>
      <c r="R51" s="26"/>
      <c r="S51" s="26"/>
      <c r="T51" s="26"/>
      <c r="U51" s="26"/>
      <c r="V51" s="26"/>
      <c r="W51" s="26"/>
      <c r="X51" s="26"/>
      <c r="Y51" s="26"/>
      <c r="Z51" s="26"/>
      <c r="AA51" s="26"/>
      <c r="AB51" s="26"/>
      <c r="AC51" s="26"/>
      <c r="AD51" s="77"/>
      <c r="AE51" s="26"/>
    </row>
    <row r="52" spans="1:31" x14ac:dyDescent="0.25">
      <c r="A52" s="26"/>
      <c r="B52" s="26"/>
      <c r="C52" s="26"/>
      <c r="D52" s="26"/>
      <c r="E52" s="26"/>
      <c r="F52" s="26"/>
      <c r="G52" s="26"/>
      <c r="H52" s="26"/>
      <c r="I52" s="26"/>
      <c r="J52" s="26"/>
      <c r="K52" s="26"/>
      <c r="L52" s="26"/>
      <c r="M52" s="75"/>
      <c r="N52" s="26"/>
      <c r="O52" s="75"/>
      <c r="P52" s="75"/>
      <c r="Q52" s="75"/>
      <c r="R52" s="26"/>
      <c r="S52" s="26"/>
      <c r="T52" s="26"/>
      <c r="U52" s="26"/>
      <c r="V52" s="26"/>
      <c r="W52" s="26"/>
      <c r="X52" s="26"/>
      <c r="Y52" s="26"/>
      <c r="Z52" s="26"/>
      <c r="AA52" s="26"/>
      <c r="AB52" s="26"/>
      <c r="AC52" s="26"/>
      <c r="AD52" s="77"/>
      <c r="AE52" s="26"/>
    </row>
    <row r="53" spans="1:31" x14ac:dyDescent="0.25">
      <c r="A53" s="26"/>
      <c r="B53" s="26"/>
      <c r="C53" s="26"/>
      <c r="D53" s="26"/>
      <c r="E53" s="26"/>
      <c r="F53" s="26"/>
      <c r="G53" s="26"/>
      <c r="H53" s="26"/>
      <c r="I53" s="26"/>
      <c r="J53" s="26"/>
      <c r="K53" s="26"/>
      <c r="L53" s="26"/>
      <c r="M53" s="75"/>
      <c r="N53" s="26"/>
      <c r="O53" s="75"/>
      <c r="P53" s="75"/>
      <c r="Q53" s="75"/>
      <c r="R53" s="26"/>
      <c r="S53" s="26"/>
      <c r="T53" s="26"/>
      <c r="U53" s="26"/>
      <c r="V53" s="26"/>
      <c r="W53" s="26"/>
      <c r="X53" s="26"/>
      <c r="Y53" s="26"/>
      <c r="Z53" s="26"/>
      <c r="AA53" s="26"/>
      <c r="AB53" s="26"/>
      <c r="AC53" s="26"/>
      <c r="AD53" s="77"/>
      <c r="AE53" s="26"/>
    </row>
    <row r="54" spans="1:31" x14ac:dyDescent="0.25">
      <c r="A54" s="26"/>
      <c r="B54" s="26"/>
      <c r="C54" s="26"/>
      <c r="D54" s="26"/>
      <c r="E54" s="26"/>
      <c r="F54" s="26"/>
      <c r="G54" s="26"/>
      <c r="H54" s="26"/>
      <c r="I54" s="26"/>
      <c r="J54" s="26"/>
      <c r="K54" s="26"/>
      <c r="L54" s="26"/>
      <c r="M54" s="75"/>
      <c r="N54" s="26"/>
      <c r="O54" s="75"/>
      <c r="P54" s="75"/>
      <c r="Q54" s="75"/>
      <c r="R54" s="26"/>
      <c r="S54" s="26"/>
      <c r="T54" s="26"/>
      <c r="U54" s="26"/>
      <c r="V54" s="26"/>
      <c r="W54" s="26"/>
      <c r="X54" s="26"/>
      <c r="Y54" s="26"/>
      <c r="Z54" s="26"/>
      <c r="AA54" s="26"/>
      <c r="AB54" s="26"/>
      <c r="AC54" s="26"/>
      <c r="AD54" s="77"/>
      <c r="AE54" s="26"/>
    </row>
    <row r="55" spans="1:31" x14ac:dyDescent="0.25">
      <c r="A55" s="26"/>
      <c r="B55" s="26"/>
      <c r="C55" s="26"/>
      <c r="D55" s="26"/>
      <c r="E55" s="26"/>
      <c r="F55" s="26"/>
      <c r="G55" s="26"/>
      <c r="H55" s="26"/>
      <c r="I55" s="26"/>
      <c r="J55" s="26"/>
      <c r="K55" s="26"/>
      <c r="L55" s="26"/>
      <c r="M55" s="75"/>
      <c r="N55" s="26"/>
      <c r="O55" s="75"/>
      <c r="P55" s="75"/>
      <c r="Q55" s="75"/>
      <c r="R55" s="26"/>
      <c r="S55" s="26"/>
      <c r="T55" s="26"/>
      <c r="U55" s="26"/>
      <c r="V55" s="26"/>
      <c r="W55" s="26"/>
      <c r="X55" s="26"/>
      <c r="Y55" s="26"/>
      <c r="Z55" s="26"/>
      <c r="AA55" s="26"/>
      <c r="AB55" s="26"/>
      <c r="AC55" s="26"/>
      <c r="AD55" s="77"/>
      <c r="AE55" s="26"/>
    </row>
    <row r="56" spans="1:31" x14ac:dyDescent="0.25">
      <c r="A56" s="26"/>
      <c r="B56" s="26"/>
      <c r="C56" s="26"/>
      <c r="D56" s="26"/>
      <c r="E56" s="26"/>
      <c r="F56" s="26"/>
      <c r="G56" s="26"/>
      <c r="H56" s="26"/>
      <c r="I56" s="26"/>
      <c r="J56" s="26"/>
      <c r="K56" s="26"/>
      <c r="L56" s="26"/>
      <c r="M56" s="75"/>
      <c r="N56" s="26"/>
      <c r="O56" s="75"/>
      <c r="P56" s="75"/>
      <c r="Q56" s="75"/>
      <c r="R56" s="26"/>
      <c r="S56" s="26"/>
      <c r="T56" s="26"/>
      <c r="U56" s="26"/>
      <c r="V56" s="26"/>
      <c r="W56" s="26"/>
      <c r="X56" s="26"/>
      <c r="Y56" s="26"/>
      <c r="Z56" s="26"/>
      <c r="AA56" s="26"/>
      <c r="AB56" s="26"/>
      <c r="AC56" s="26"/>
      <c r="AD56" s="77"/>
      <c r="AE56" s="26"/>
    </row>
    <row r="57" spans="1:31" x14ac:dyDescent="0.25">
      <c r="A57" s="26"/>
      <c r="B57" s="26"/>
      <c r="C57" s="26"/>
      <c r="D57" s="26"/>
      <c r="E57" s="26"/>
      <c r="F57" s="26"/>
      <c r="G57" s="26"/>
      <c r="H57" s="26"/>
      <c r="I57" s="26"/>
      <c r="J57" s="26"/>
      <c r="K57" s="26"/>
      <c r="L57" s="26"/>
      <c r="M57" s="75"/>
      <c r="N57" s="26"/>
      <c r="O57" s="75"/>
      <c r="P57" s="75"/>
      <c r="Q57" s="75"/>
      <c r="R57" s="26"/>
      <c r="S57" s="26"/>
      <c r="T57" s="26"/>
      <c r="U57" s="26"/>
      <c r="V57" s="26"/>
      <c r="W57" s="26"/>
      <c r="X57" s="26"/>
      <c r="Y57" s="26"/>
      <c r="Z57" s="26"/>
      <c r="AA57" s="26"/>
      <c r="AB57" s="26"/>
      <c r="AC57" s="26"/>
      <c r="AD57" s="77"/>
      <c r="AE57" s="26"/>
    </row>
    <row r="58" spans="1:31" x14ac:dyDescent="0.25">
      <c r="A58" s="26"/>
      <c r="B58" s="26"/>
      <c r="C58" s="26"/>
      <c r="D58" s="26"/>
      <c r="E58" s="26"/>
      <c r="F58" s="26"/>
      <c r="G58" s="26"/>
      <c r="H58" s="26"/>
      <c r="I58" s="26"/>
      <c r="J58" s="26"/>
      <c r="K58" s="26"/>
      <c r="L58" s="26"/>
      <c r="M58" s="75"/>
      <c r="N58" s="26"/>
      <c r="O58" s="75"/>
      <c r="P58" s="75"/>
      <c r="Q58" s="75"/>
      <c r="R58" s="26"/>
      <c r="S58" s="26"/>
      <c r="T58" s="26"/>
      <c r="U58" s="26"/>
      <c r="V58" s="26"/>
      <c r="W58" s="26"/>
      <c r="X58" s="26"/>
      <c r="Y58" s="26"/>
      <c r="Z58" s="26"/>
      <c r="AA58" s="26"/>
      <c r="AB58" s="26"/>
      <c r="AC58" s="26"/>
      <c r="AD58" s="77"/>
      <c r="AE58" s="26"/>
    </row>
    <row r="59" spans="1:31" x14ac:dyDescent="0.25">
      <c r="A59" s="26"/>
      <c r="B59" s="26"/>
      <c r="C59" s="26"/>
      <c r="D59" s="26"/>
      <c r="E59" s="26"/>
      <c r="F59" s="26"/>
      <c r="G59" s="26"/>
      <c r="H59" s="26"/>
      <c r="I59" s="26"/>
      <c r="J59" s="26"/>
      <c r="K59" s="26"/>
      <c r="L59" s="26"/>
      <c r="M59" s="75"/>
      <c r="N59" s="26"/>
      <c r="O59" s="75"/>
      <c r="P59" s="75"/>
      <c r="Q59" s="75"/>
      <c r="R59" s="26"/>
      <c r="S59" s="26"/>
      <c r="T59" s="26"/>
      <c r="U59" s="26"/>
      <c r="V59" s="26"/>
      <c r="W59" s="26"/>
      <c r="X59" s="26"/>
      <c r="Y59" s="26"/>
      <c r="Z59" s="26"/>
      <c r="AA59" s="26"/>
      <c r="AB59" s="26"/>
      <c r="AC59" s="26"/>
      <c r="AD59" s="77"/>
      <c r="AE59" s="26"/>
    </row>
    <row r="60" spans="1:31" x14ac:dyDescent="0.25">
      <c r="A60" s="26"/>
      <c r="B60" s="26"/>
      <c r="C60" s="26"/>
      <c r="D60" s="26"/>
      <c r="E60" s="26"/>
      <c r="F60" s="26"/>
      <c r="G60" s="26"/>
      <c r="H60" s="26"/>
      <c r="I60" s="26"/>
      <c r="J60" s="26"/>
      <c r="K60" s="26"/>
      <c r="L60" s="26"/>
      <c r="M60" s="75"/>
      <c r="N60" s="26"/>
      <c r="O60" s="75"/>
      <c r="P60" s="75"/>
      <c r="Q60" s="75"/>
      <c r="R60" s="26"/>
      <c r="S60" s="26"/>
      <c r="T60" s="26"/>
      <c r="U60" s="26"/>
      <c r="V60" s="26"/>
      <c r="W60" s="26"/>
      <c r="X60" s="26"/>
      <c r="Y60" s="26"/>
      <c r="Z60" s="26"/>
      <c r="AA60" s="26"/>
      <c r="AB60" s="26"/>
      <c r="AC60" s="26"/>
      <c r="AD60" s="77"/>
      <c r="AE60" s="26"/>
    </row>
    <row r="61" spans="1:31" x14ac:dyDescent="0.25">
      <c r="A61" s="26"/>
      <c r="B61" s="26"/>
      <c r="C61" s="26"/>
      <c r="D61" s="26"/>
      <c r="E61" s="26"/>
      <c r="F61" s="26"/>
      <c r="G61" s="26"/>
      <c r="H61" s="26"/>
      <c r="I61" s="26"/>
      <c r="J61" s="26"/>
      <c r="K61" s="26"/>
      <c r="L61" s="26"/>
      <c r="M61" s="75"/>
      <c r="N61" s="26"/>
      <c r="O61" s="75"/>
      <c r="P61" s="75"/>
      <c r="Q61" s="75"/>
      <c r="R61" s="26"/>
      <c r="S61" s="26"/>
      <c r="T61" s="26"/>
      <c r="U61" s="26"/>
      <c r="V61" s="26"/>
      <c r="W61" s="26"/>
      <c r="X61" s="26"/>
      <c r="Y61" s="26"/>
      <c r="Z61" s="26"/>
      <c r="AA61" s="26"/>
      <c r="AB61" s="26"/>
      <c r="AC61" s="26"/>
      <c r="AD61" s="77"/>
      <c r="AE61" s="26"/>
    </row>
    <row r="62" spans="1:31" x14ac:dyDescent="0.25">
      <c r="A62" s="26"/>
      <c r="B62" s="26"/>
      <c r="C62" s="26"/>
      <c r="D62" s="26"/>
      <c r="E62" s="26"/>
      <c r="F62" s="26"/>
      <c r="G62" s="26"/>
      <c r="H62" s="26"/>
      <c r="I62" s="26"/>
      <c r="J62" s="26"/>
      <c r="K62" s="26"/>
      <c r="L62" s="26"/>
      <c r="M62" s="75"/>
      <c r="N62" s="26"/>
      <c r="O62" s="75"/>
      <c r="P62" s="75"/>
      <c r="Q62" s="75"/>
      <c r="R62" s="26"/>
      <c r="S62" s="26"/>
      <c r="T62" s="26"/>
      <c r="U62" s="26"/>
      <c r="V62" s="26"/>
      <c r="W62" s="26"/>
      <c r="X62" s="26"/>
      <c r="Y62" s="26"/>
      <c r="Z62" s="26"/>
      <c r="AA62" s="26"/>
      <c r="AB62" s="26"/>
      <c r="AC62" s="26"/>
      <c r="AD62" s="77"/>
      <c r="AE62" s="26"/>
    </row>
    <row r="63" spans="1:31" x14ac:dyDescent="0.25">
      <c r="A63" s="26"/>
      <c r="B63" s="26"/>
      <c r="C63" s="26"/>
      <c r="D63" s="26"/>
      <c r="E63" s="26"/>
      <c r="F63" s="26"/>
      <c r="G63" s="26"/>
      <c r="H63" s="26"/>
      <c r="I63" s="26"/>
      <c r="J63" s="26"/>
      <c r="K63" s="26"/>
      <c r="L63" s="26"/>
      <c r="M63" s="75"/>
      <c r="N63" s="26"/>
      <c r="O63" s="75"/>
      <c r="P63" s="75"/>
      <c r="Q63" s="75"/>
      <c r="R63" s="26"/>
      <c r="S63" s="26"/>
      <c r="T63" s="26"/>
      <c r="U63" s="26"/>
      <c r="V63" s="26"/>
      <c r="W63" s="26"/>
      <c r="X63" s="26"/>
      <c r="Y63" s="26"/>
      <c r="Z63" s="26"/>
      <c r="AA63" s="26"/>
      <c r="AB63" s="26"/>
      <c r="AC63" s="26"/>
      <c r="AD63" s="77"/>
      <c r="AE63" s="26"/>
    </row>
    <row r="64" spans="1:31" x14ac:dyDescent="0.25">
      <c r="A64" s="26"/>
      <c r="B64" s="26"/>
      <c r="C64" s="26"/>
      <c r="D64" s="26"/>
      <c r="E64" s="26"/>
      <c r="F64" s="26"/>
      <c r="G64" s="26"/>
      <c r="H64" s="26"/>
      <c r="I64" s="26"/>
      <c r="J64" s="26"/>
      <c r="K64" s="26"/>
      <c r="L64" s="26"/>
      <c r="M64" s="75"/>
      <c r="N64" s="26"/>
      <c r="O64" s="75"/>
      <c r="P64" s="75"/>
      <c r="Q64" s="75"/>
      <c r="R64" s="26"/>
      <c r="S64" s="26"/>
      <c r="T64" s="26"/>
      <c r="U64" s="26"/>
      <c r="V64" s="26"/>
      <c r="W64" s="26"/>
      <c r="X64" s="26"/>
      <c r="Y64" s="26"/>
      <c r="Z64" s="26"/>
      <c r="AA64" s="26"/>
      <c r="AB64" s="26"/>
      <c r="AC64" s="26"/>
      <c r="AD64" s="77"/>
      <c r="AE64" s="26"/>
    </row>
    <row r="65" spans="1:31" x14ac:dyDescent="0.25">
      <c r="A65" s="26"/>
      <c r="B65" s="26"/>
      <c r="C65" s="26"/>
      <c r="D65" s="26"/>
      <c r="E65" s="26"/>
      <c r="F65" s="26"/>
      <c r="G65" s="26"/>
      <c r="H65" s="26"/>
      <c r="I65" s="26"/>
      <c r="J65" s="26"/>
      <c r="K65" s="26"/>
      <c r="L65" s="26"/>
      <c r="M65" s="75"/>
      <c r="N65" s="26"/>
      <c r="O65" s="75"/>
      <c r="P65" s="75"/>
      <c r="Q65" s="75"/>
      <c r="R65" s="26"/>
      <c r="S65" s="26"/>
      <c r="T65" s="26"/>
      <c r="U65" s="26"/>
      <c r="V65" s="26"/>
      <c r="W65" s="26"/>
      <c r="X65" s="26"/>
      <c r="Y65" s="26"/>
      <c r="Z65" s="26"/>
      <c r="AA65" s="26"/>
      <c r="AB65" s="26"/>
      <c r="AC65" s="26"/>
      <c r="AD65" s="77"/>
      <c r="AE65" s="26"/>
    </row>
    <row r="66" spans="1:31" x14ac:dyDescent="0.25">
      <c r="A66" s="26"/>
      <c r="B66" s="26"/>
      <c r="C66" s="26"/>
      <c r="D66" s="26"/>
      <c r="E66" s="26"/>
      <c r="F66" s="26"/>
      <c r="G66" s="26"/>
      <c r="H66" s="26"/>
      <c r="I66" s="26"/>
      <c r="J66" s="26"/>
      <c r="K66" s="26"/>
      <c r="L66" s="26"/>
      <c r="M66" s="75"/>
      <c r="N66" s="26"/>
      <c r="O66" s="75"/>
      <c r="P66" s="75"/>
      <c r="Q66" s="75"/>
      <c r="R66" s="26"/>
      <c r="S66" s="26"/>
      <c r="T66" s="26"/>
      <c r="U66" s="26"/>
      <c r="V66" s="26"/>
      <c r="W66" s="26"/>
      <c r="X66" s="26"/>
      <c r="Y66" s="26"/>
      <c r="Z66" s="26"/>
      <c r="AA66" s="26"/>
      <c r="AB66" s="26"/>
      <c r="AC66" s="26"/>
      <c r="AD66" s="77"/>
      <c r="AE66" s="26"/>
    </row>
    <row r="67" spans="1:31" x14ac:dyDescent="0.25">
      <c r="A67" s="26"/>
      <c r="B67" s="26"/>
      <c r="C67" s="26"/>
      <c r="D67" s="26"/>
      <c r="E67" s="26"/>
      <c r="F67" s="26"/>
      <c r="G67" s="26"/>
      <c r="H67" s="26"/>
      <c r="I67" s="26"/>
      <c r="J67" s="26"/>
      <c r="K67" s="26"/>
      <c r="L67" s="26"/>
      <c r="M67" s="75"/>
      <c r="N67" s="26"/>
      <c r="O67" s="75"/>
      <c r="P67" s="75"/>
      <c r="Q67" s="75"/>
      <c r="R67" s="26"/>
      <c r="S67" s="26"/>
      <c r="T67" s="26"/>
      <c r="U67" s="26"/>
      <c r="V67" s="26"/>
      <c r="W67" s="26"/>
      <c r="X67" s="26"/>
      <c r="Y67" s="26"/>
      <c r="Z67" s="26"/>
      <c r="AA67" s="26"/>
      <c r="AB67" s="26"/>
      <c r="AC67" s="26"/>
      <c r="AD67" s="77"/>
      <c r="AE67" s="26"/>
    </row>
    <row r="68" spans="1:31" x14ac:dyDescent="0.25">
      <c r="A68" s="26"/>
      <c r="B68" s="26"/>
      <c r="C68" s="26"/>
      <c r="D68" s="26"/>
      <c r="E68" s="26"/>
      <c r="F68" s="26"/>
      <c r="G68" s="26"/>
      <c r="H68" s="26"/>
      <c r="I68" s="26"/>
      <c r="J68" s="26"/>
      <c r="K68" s="26"/>
      <c r="L68" s="26"/>
      <c r="M68" s="75"/>
      <c r="N68" s="26"/>
      <c r="O68" s="75"/>
      <c r="P68" s="75"/>
      <c r="Q68" s="75"/>
      <c r="R68" s="26"/>
      <c r="S68" s="26"/>
      <c r="T68" s="26"/>
      <c r="U68" s="26"/>
      <c r="V68" s="26"/>
      <c r="W68" s="26"/>
      <c r="X68" s="26"/>
      <c r="Y68" s="26"/>
      <c r="Z68" s="26"/>
      <c r="AA68" s="26"/>
      <c r="AB68" s="26"/>
      <c r="AC68" s="26"/>
      <c r="AD68" s="77"/>
      <c r="AE68" s="26"/>
    </row>
    <row r="69" spans="1:31" x14ac:dyDescent="0.25">
      <c r="A69" s="26"/>
      <c r="B69" s="26"/>
      <c r="C69" s="26"/>
      <c r="D69" s="26"/>
      <c r="E69" s="26"/>
      <c r="F69" s="26"/>
      <c r="G69" s="26"/>
      <c r="H69" s="26"/>
      <c r="I69" s="26"/>
      <c r="J69" s="26"/>
      <c r="K69" s="26"/>
      <c r="L69" s="26"/>
      <c r="M69" s="75"/>
      <c r="N69" s="26"/>
      <c r="O69" s="75"/>
      <c r="P69" s="75"/>
      <c r="Q69" s="75"/>
      <c r="R69" s="26"/>
      <c r="S69" s="26"/>
      <c r="T69" s="26"/>
      <c r="U69" s="26"/>
      <c r="V69" s="26"/>
      <c r="W69" s="26"/>
      <c r="X69" s="26"/>
      <c r="Y69" s="26"/>
      <c r="Z69" s="26"/>
      <c r="AA69" s="26"/>
      <c r="AB69" s="26"/>
      <c r="AC69" s="26"/>
      <c r="AD69" s="77"/>
      <c r="AE69" s="26"/>
    </row>
    <row r="70" spans="1:31" x14ac:dyDescent="0.25">
      <c r="A70" s="26"/>
      <c r="B70" s="26"/>
      <c r="C70" s="26"/>
      <c r="D70" s="26"/>
      <c r="E70" s="26"/>
      <c r="F70" s="26"/>
      <c r="G70" s="26"/>
      <c r="H70" s="26"/>
      <c r="I70" s="26"/>
      <c r="J70" s="26"/>
      <c r="K70" s="26"/>
      <c r="L70" s="26"/>
      <c r="M70" s="75"/>
      <c r="N70" s="26"/>
      <c r="O70" s="75"/>
      <c r="P70" s="75"/>
      <c r="Q70" s="75"/>
      <c r="R70" s="26"/>
      <c r="S70" s="26"/>
      <c r="T70" s="26"/>
      <c r="U70" s="26"/>
      <c r="V70" s="26"/>
      <c r="W70" s="26"/>
      <c r="X70" s="26"/>
      <c r="Y70" s="26"/>
      <c r="Z70" s="26"/>
      <c r="AA70" s="26"/>
      <c r="AB70" s="26"/>
      <c r="AC70" s="26"/>
      <c r="AD70" s="77"/>
      <c r="AE70" s="26"/>
    </row>
    <row r="71" spans="1:31" x14ac:dyDescent="0.25">
      <c r="A71" s="26"/>
      <c r="B71" s="26"/>
      <c r="C71" s="26"/>
      <c r="D71" s="26"/>
      <c r="E71" s="26"/>
      <c r="F71" s="26"/>
      <c r="G71" s="26"/>
      <c r="H71" s="26"/>
      <c r="I71" s="26"/>
      <c r="J71" s="26"/>
      <c r="K71" s="26"/>
      <c r="L71" s="26"/>
      <c r="M71" s="75"/>
      <c r="N71" s="26"/>
      <c r="O71" s="75"/>
      <c r="P71" s="75"/>
      <c r="Q71" s="75"/>
      <c r="R71" s="26"/>
      <c r="S71" s="26"/>
      <c r="T71" s="26"/>
      <c r="U71" s="26"/>
      <c r="V71" s="26"/>
      <c r="W71" s="26"/>
      <c r="X71" s="26"/>
      <c r="Y71" s="26"/>
      <c r="Z71" s="26"/>
      <c r="AA71" s="26"/>
      <c r="AB71" s="26"/>
      <c r="AC71" s="26"/>
      <c r="AD71" s="77"/>
      <c r="AE71" s="26"/>
    </row>
    <row r="72" spans="1:31" x14ac:dyDescent="0.25">
      <c r="A72" s="26"/>
      <c r="B72" s="26"/>
      <c r="C72" s="26"/>
      <c r="D72" s="26"/>
      <c r="E72" s="26"/>
      <c r="F72" s="26"/>
      <c r="G72" s="26"/>
      <c r="H72" s="26"/>
      <c r="I72" s="26"/>
      <c r="J72" s="26"/>
      <c r="K72" s="26"/>
      <c r="L72" s="26"/>
      <c r="M72" s="75"/>
      <c r="N72" s="26"/>
      <c r="O72" s="75"/>
      <c r="P72" s="75"/>
      <c r="Q72" s="75"/>
      <c r="R72" s="26"/>
      <c r="S72" s="26"/>
      <c r="T72" s="26"/>
      <c r="U72" s="26"/>
      <c r="V72" s="26"/>
      <c r="W72" s="26"/>
      <c r="X72" s="26"/>
      <c r="Y72" s="26"/>
      <c r="Z72" s="26"/>
      <c r="AA72" s="26"/>
      <c r="AB72" s="26"/>
      <c r="AC72" s="26"/>
      <c r="AD72" s="77"/>
      <c r="AE72" s="26"/>
    </row>
    <row r="73" spans="1:31" x14ac:dyDescent="0.25">
      <c r="A73" s="26"/>
      <c r="B73" s="26"/>
      <c r="C73" s="26"/>
      <c r="D73" s="26"/>
      <c r="E73" s="26"/>
      <c r="F73" s="26"/>
      <c r="G73" s="26"/>
      <c r="H73" s="26"/>
      <c r="I73" s="26"/>
      <c r="J73" s="26"/>
      <c r="K73" s="26"/>
      <c r="L73" s="26"/>
      <c r="M73" s="75"/>
      <c r="N73" s="26"/>
      <c r="O73" s="75"/>
      <c r="P73" s="75"/>
      <c r="Q73" s="75"/>
      <c r="R73" s="26"/>
      <c r="S73" s="26"/>
      <c r="T73" s="26"/>
      <c r="U73" s="26"/>
      <c r="V73" s="26"/>
      <c r="W73" s="26"/>
      <c r="X73" s="26"/>
      <c r="Y73" s="26"/>
      <c r="Z73" s="26"/>
      <c r="AA73" s="26"/>
      <c r="AB73" s="26"/>
      <c r="AC73" s="26"/>
      <c r="AD73" s="77"/>
      <c r="AE73" s="26"/>
    </row>
    <row r="74" spans="1:31" x14ac:dyDescent="0.25">
      <c r="A74" s="26"/>
      <c r="B74" s="26"/>
      <c r="C74" s="26"/>
      <c r="D74" s="26"/>
      <c r="E74" s="26"/>
      <c r="F74" s="26"/>
      <c r="G74" s="26"/>
      <c r="H74" s="26"/>
      <c r="I74" s="26"/>
      <c r="J74" s="26"/>
      <c r="K74" s="26"/>
      <c r="L74" s="26"/>
      <c r="M74" s="75"/>
      <c r="N74" s="26"/>
      <c r="O74" s="75"/>
      <c r="P74" s="75"/>
      <c r="Q74" s="75"/>
      <c r="R74" s="26"/>
      <c r="S74" s="26"/>
      <c r="T74" s="26"/>
      <c r="U74" s="26"/>
      <c r="V74" s="26"/>
      <c r="W74" s="26"/>
      <c r="X74" s="26"/>
      <c r="Y74" s="26"/>
      <c r="Z74" s="26"/>
      <c r="AA74" s="26"/>
      <c r="AB74" s="26"/>
      <c r="AC74" s="26"/>
      <c r="AD74" s="77"/>
      <c r="AE74" s="26"/>
    </row>
    <row r="75" spans="1:31" x14ac:dyDescent="0.25">
      <c r="A75" s="26"/>
      <c r="B75" s="26"/>
      <c r="C75" s="26"/>
      <c r="D75" s="26"/>
      <c r="E75" s="26"/>
      <c r="F75" s="26"/>
      <c r="G75" s="26"/>
      <c r="H75" s="26"/>
      <c r="I75" s="26"/>
      <c r="J75" s="26"/>
      <c r="K75" s="26"/>
      <c r="L75" s="26"/>
      <c r="M75" s="75"/>
      <c r="N75" s="26"/>
      <c r="O75" s="75"/>
      <c r="P75" s="75"/>
      <c r="Q75" s="75"/>
      <c r="R75" s="26"/>
      <c r="S75" s="26"/>
      <c r="T75" s="26"/>
      <c r="U75" s="26"/>
      <c r="V75" s="26"/>
      <c r="W75" s="26"/>
      <c r="X75" s="26"/>
      <c r="Y75" s="26"/>
      <c r="Z75" s="26"/>
      <c r="AA75" s="26"/>
      <c r="AB75" s="26"/>
      <c r="AC75" s="26"/>
      <c r="AD75" s="77"/>
      <c r="AE75" s="26"/>
    </row>
    <row r="76" spans="1:31" x14ac:dyDescent="0.25">
      <c r="A76" s="26"/>
      <c r="B76" s="26"/>
      <c r="C76" s="26"/>
      <c r="D76" s="26"/>
      <c r="E76" s="26"/>
      <c r="F76" s="26"/>
      <c r="G76" s="26"/>
      <c r="H76" s="26"/>
      <c r="I76" s="26"/>
      <c r="J76" s="26"/>
      <c r="K76" s="26"/>
      <c r="L76" s="26"/>
      <c r="M76" s="75"/>
      <c r="N76" s="26"/>
      <c r="O76" s="75"/>
      <c r="P76" s="75"/>
      <c r="Q76" s="75"/>
      <c r="R76" s="26"/>
      <c r="S76" s="26"/>
      <c r="T76" s="26"/>
      <c r="U76" s="26"/>
      <c r="V76" s="26"/>
      <c r="W76" s="26"/>
      <c r="X76" s="26"/>
      <c r="Y76" s="26"/>
      <c r="Z76" s="26"/>
      <c r="AA76" s="26"/>
      <c r="AB76" s="26"/>
      <c r="AC76" s="26"/>
      <c r="AD76" s="77"/>
      <c r="AE76" s="26"/>
    </row>
    <row r="77" spans="1:31" x14ac:dyDescent="0.25">
      <c r="A77" s="26"/>
      <c r="B77" s="26"/>
      <c r="C77" s="26"/>
      <c r="D77" s="26"/>
      <c r="E77" s="26"/>
      <c r="F77" s="26"/>
      <c r="G77" s="26"/>
      <c r="H77" s="26"/>
      <c r="I77" s="26"/>
      <c r="J77" s="26"/>
      <c r="K77" s="26"/>
      <c r="L77" s="26"/>
      <c r="M77" s="75"/>
      <c r="N77" s="26"/>
      <c r="O77" s="75"/>
      <c r="P77" s="75"/>
      <c r="Q77" s="75"/>
      <c r="R77" s="26"/>
      <c r="S77" s="26"/>
      <c r="T77" s="26"/>
      <c r="U77" s="26"/>
      <c r="V77" s="26"/>
      <c r="W77" s="26"/>
      <c r="X77" s="26"/>
      <c r="Y77" s="26"/>
      <c r="Z77" s="26"/>
      <c r="AA77" s="26"/>
      <c r="AB77" s="26"/>
      <c r="AC77" s="26"/>
      <c r="AD77" s="77"/>
      <c r="AE77" s="26"/>
    </row>
    <row r="78" spans="1:31" x14ac:dyDescent="0.25">
      <c r="A78" s="26"/>
      <c r="B78" s="26"/>
      <c r="C78" s="26"/>
      <c r="D78" s="26"/>
      <c r="E78" s="26"/>
      <c r="F78" s="26"/>
      <c r="G78" s="26"/>
      <c r="H78" s="26"/>
      <c r="I78" s="26"/>
      <c r="J78" s="26"/>
      <c r="K78" s="26"/>
      <c r="L78" s="26"/>
      <c r="M78" s="75"/>
      <c r="N78" s="26"/>
      <c r="O78" s="75"/>
      <c r="P78" s="75"/>
      <c r="Q78" s="75"/>
      <c r="R78" s="26"/>
      <c r="S78" s="26"/>
      <c r="T78" s="26"/>
      <c r="U78" s="26"/>
      <c r="V78" s="26"/>
      <c r="W78" s="26"/>
      <c r="X78" s="26"/>
      <c r="Y78" s="26"/>
      <c r="Z78" s="26"/>
      <c r="AA78" s="26"/>
      <c r="AB78" s="26"/>
      <c r="AC78" s="26"/>
      <c r="AD78" s="77"/>
      <c r="AE78" s="26"/>
    </row>
    <row r="79" spans="1:31" x14ac:dyDescent="0.25">
      <c r="A79" s="26"/>
      <c r="B79" s="26"/>
      <c r="C79" s="26"/>
      <c r="D79" s="26"/>
      <c r="E79" s="26"/>
      <c r="F79" s="26"/>
      <c r="G79" s="26"/>
      <c r="H79" s="26"/>
      <c r="I79" s="26"/>
      <c r="J79" s="26"/>
      <c r="K79" s="26"/>
      <c r="L79" s="26"/>
      <c r="M79" s="75"/>
      <c r="N79" s="26"/>
      <c r="O79" s="75"/>
      <c r="P79" s="75"/>
      <c r="Q79" s="75"/>
      <c r="R79" s="26"/>
      <c r="S79" s="26"/>
      <c r="T79" s="26"/>
      <c r="U79" s="26"/>
      <c r="V79" s="26"/>
      <c r="W79" s="26"/>
      <c r="X79" s="26"/>
      <c r="Y79" s="26"/>
      <c r="Z79" s="26"/>
      <c r="AA79" s="26"/>
      <c r="AB79" s="26"/>
      <c r="AC79" s="26"/>
      <c r="AD79" s="77"/>
      <c r="AE79" s="26"/>
    </row>
    <row r="80" spans="1:31" x14ac:dyDescent="0.25">
      <c r="A80" s="26"/>
      <c r="B80" s="26"/>
      <c r="C80" s="26"/>
      <c r="D80" s="26"/>
      <c r="E80" s="26"/>
      <c r="F80" s="26"/>
      <c r="G80" s="26"/>
      <c r="H80" s="26"/>
      <c r="I80" s="26"/>
      <c r="J80" s="26"/>
      <c r="K80" s="26"/>
      <c r="L80" s="26"/>
      <c r="M80" s="75"/>
      <c r="N80" s="26"/>
      <c r="O80" s="75"/>
      <c r="P80" s="75"/>
      <c r="Q80" s="75"/>
      <c r="R80" s="26"/>
      <c r="S80" s="26"/>
      <c r="T80" s="26"/>
      <c r="U80" s="26"/>
      <c r="V80" s="26"/>
      <c r="W80" s="26"/>
      <c r="X80" s="26"/>
      <c r="Y80" s="26"/>
      <c r="Z80" s="26"/>
      <c r="AA80" s="26"/>
      <c r="AB80" s="26"/>
      <c r="AC80" s="26"/>
      <c r="AD80" s="77"/>
      <c r="AE80" s="26"/>
    </row>
    <row r="81" spans="1:31" x14ac:dyDescent="0.25">
      <c r="A81" s="26"/>
      <c r="B81" s="26"/>
      <c r="C81" s="26"/>
      <c r="D81" s="26"/>
      <c r="E81" s="26"/>
      <c r="F81" s="26"/>
      <c r="G81" s="26"/>
      <c r="H81" s="26"/>
      <c r="I81" s="26"/>
      <c r="J81" s="26"/>
      <c r="K81" s="26"/>
      <c r="L81" s="26"/>
      <c r="M81" s="75"/>
      <c r="N81" s="26"/>
      <c r="O81" s="75"/>
      <c r="P81" s="75"/>
      <c r="Q81" s="75"/>
      <c r="R81" s="26"/>
      <c r="S81" s="26"/>
      <c r="T81" s="26"/>
      <c r="U81" s="26"/>
      <c r="V81" s="26"/>
      <c r="W81" s="26"/>
      <c r="X81" s="26"/>
      <c r="Y81" s="26"/>
      <c r="Z81" s="26"/>
      <c r="AA81" s="26"/>
      <c r="AB81" s="26"/>
      <c r="AC81" s="26"/>
      <c r="AD81" s="77"/>
      <c r="AE81" s="26"/>
    </row>
    <row r="82" spans="1:31" x14ac:dyDescent="0.25">
      <c r="A82" s="26"/>
      <c r="B82" s="26"/>
      <c r="C82" s="26"/>
      <c r="D82" s="26"/>
      <c r="E82" s="26"/>
      <c r="F82" s="26"/>
      <c r="G82" s="26"/>
      <c r="H82" s="26"/>
      <c r="I82" s="26"/>
      <c r="J82" s="26"/>
      <c r="K82" s="26"/>
      <c r="L82" s="26"/>
      <c r="M82" s="75"/>
      <c r="N82" s="26"/>
      <c r="O82" s="75"/>
      <c r="P82" s="75"/>
      <c r="Q82" s="75"/>
      <c r="R82" s="26"/>
      <c r="S82" s="26"/>
      <c r="T82" s="26"/>
      <c r="U82" s="26"/>
      <c r="V82" s="26"/>
      <c r="W82" s="26"/>
      <c r="X82" s="26"/>
      <c r="Y82" s="26"/>
      <c r="Z82" s="26"/>
      <c r="AA82" s="26"/>
      <c r="AB82" s="26"/>
      <c r="AC82" s="26"/>
      <c r="AD82" s="77"/>
      <c r="AE82" s="26"/>
    </row>
    <row r="83" spans="1:31" x14ac:dyDescent="0.25">
      <c r="A83" s="26"/>
      <c r="B83" s="26"/>
      <c r="C83" s="26"/>
      <c r="D83" s="26"/>
      <c r="E83" s="26"/>
      <c r="F83" s="26"/>
      <c r="G83" s="26"/>
      <c r="H83" s="26"/>
      <c r="I83" s="26"/>
      <c r="J83" s="26"/>
      <c r="K83" s="26"/>
      <c r="L83" s="26"/>
      <c r="M83" s="75"/>
      <c r="N83" s="26"/>
      <c r="O83" s="75"/>
      <c r="P83" s="75"/>
      <c r="Q83" s="75"/>
      <c r="R83" s="26"/>
      <c r="S83" s="26"/>
      <c r="T83" s="26"/>
      <c r="U83" s="26"/>
      <c r="V83" s="26"/>
      <c r="W83" s="26"/>
      <c r="X83" s="26"/>
      <c r="Y83" s="26"/>
      <c r="Z83" s="26"/>
      <c r="AA83" s="26"/>
      <c r="AB83" s="26"/>
      <c r="AC83" s="26"/>
      <c r="AD83" s="77"/>
      <c r="AE83" s="26"/>
    </row>
    <row r="84" spans="1:31" x14ac:dyDescent="0.25">
      <c r="A84" s="26"/>
      <c r="B84" s="26"/>
      <c r="C84" s="26"/>
      <c r="D84" s="26"/>
      <c r="E84" s="26"/>
      <c r="F84" s="26"/>
      <c r="G84" s="26"/>
      <c r="H84" s="26"/>
      <c r="I84" s="26"/>
      <c r="J84" s="26"/>
      <c r="K84" s="26"/>
      <c r="L84" s="26"/>
      <c r="M84" s="75"/>
      <c r="N84" s="26"/>
      <c r="O84" s="75"/>
      <c r="P84" s="75"/>
      <c r="Q84" s="75"/>
      <c r="R84" s="26"/>
      <c r="S84" s="26"/>
      <c r="T84" s="26"/>
      <c r="U84" s="26"/>
      <c r="V84" s="26"/>
      <c r="W84" s="26"/>
      <c r="X84" s="26"/>
      <c r="Y84" s="26"/>
      <c r="Z84" s="26"/>
      <c r="AA84" s="26"/>
      <c r="AB84" s="26"/>
      <c r="AC84" s="26"/>
      <c r="AD84" s="77"/>
      <c r="AE84" s="26"/>
    </row>
    <row r="85" spans="1:31" x14ac:dyDescent="0.25">
      <c r="A85" s="26"/>
      <c r="B85" s="26"/>
      <c r="C85" s="26"/>
      <c r="D85" s="26"/>
      <c r="E85" s="26"/>
      <c r="F85" s="26"/>
      <c r="G85" s="26"/>
      <c r="H85" s="26"/>
      <c r="I85" s="26"/>
      <c r="J85" s="26"/>
      <c r="K85" s="26"/>
      <c r="L85" s="26"/>
      <c r="M85" s="75"/>
      <c r="N85" s="26"/>
      <c r="O85" s="75"/>
      <c r="P85" s="75"/>
      <c r="Q85" s="75"/>
      <c r="R85" s="26"/>
      <c r="S85" s="26"/>
      <c r="T85" s="26"/>
      <c r="U85" s="26"/>
      <c r="V85" s="26"/>
      <c r="W85" s="26"/>
      <c r="X85" s="26"/>
      <c r="Y85" s="26"/>
      <c r="Z85" s="26"/>
      <c r="AA85" s="26"/>
      <c r="AB85" s="26"/>
      <c r="AC85" s="26"/>
      <c r="AD85" s="77"/>
      <c r="AE85" s="26"/>
    </row>
    <row r="86" spans="1:31" x14ac:dyDescent="0.25">
      <c r="A86" s="26"/>
      <c r="B86" s="26"/>
      <c r="C86" s="26"/>
      <c r="D86" s="26"/>
      <c r="E86" s="26"/>
      <c r="F86" s="26"/>
      <c r="G86" s="26"/>
      <c r="H86" s="26"/>
      <c r="I86" s="26"/>
      <c r="J86" s="26"/>
      <c r="K86" s="26"/>
      <c r="L86" s="26"/>
      <c r="M86" s="75"/>
      <c r="N86" s="26"/>
      <c r="O86" s="75"/>
      <c r="P86" s="75"/>
      <c r="Q86" s="75"/>
      <c r="R86" s="26"/>
      <c r="S86" s="26"/>
      <c r="T86" s="26"/>
      <c r="U86" s="26"/>
      <c r="V86" s="26"/>
      <c r="W86" s="26"/>
      <c r="X86" s="26"/>
      <c r="Y86" s="26"/>
      <c r="Z86" s="26"/>
      <c r="AA86" s="26"/>
      <c r="AB86" s="26"/>
      <c r="AC86" s="26"/>
      <c r="AD86" s="77"/>
      <c r="AE86" s="26"/>
    </row>
    <row r="87" spans="1:31" x14ac:dyDescent="0.25">
      <c r="A87" s="26"/>
      <c r="B87" s="26"/>
      <c r="C87" s="26"/>
      <c r="D87" s="26"/>
      <c r="E87" s="26"/>
      <c r="F87" s="26"/>
      <c r="G87" s="26"/>
      <c r="H87" s="26"/>
      <c r="I87" s="26"/>
      <c r="J87" s="26"/>
      <c r="K87" s="26"/>
      <c r="L87" s="26"/>
      <c r="M87" s="75"/>
      <c r="N87" s="26"/>
      <c r="O87" s="75"/>
      <c r="P87" s="75"/>
      <c r="Q87" s="75"/>
      <c r="R87" s="26"/>
      <c r="S87" s="26"/>
      <c r="T87" s="26"/>
      <c r="U87" s="26"/>
      <c r="V87" s="26"/>
      <c r="W87" s="26"/>
      <c r="X87" s="26"/>
      <c r="Y87" s="26"/>
      <c r="Z87" s="26"/>
      <c r="AA87" s="26"/>
      <c r="AB87" s="26"/>
      <c r="AC87" s="26"/>
      <c r="AD87" s="77"/>
      <c r="AE87" s="26"/>
    </row>
    <row r="88" spans="1:31" x14ac:dyDescent="0.25">
      <c r="A88" s="26"/>
      <c r="B88" s="26"/>
      <c r="C88" s="26"/>
      <c r="D88" s="26"/>
      <c r="E88" s="26"/>
      <c r="F88" s="26"/>
      <c r="G88" s="26"/>
      <c r="H88" s="26"/>
      <c r="I88" s="26"/>
      <c r="J88" s="26"/>
      <c r="K88" s="26"/>
      <c r="L88" s="26"/>
      <c r="M88" s="75"/>
      <c r="N88" s="26"/>
      <c r="O88" s="75"/>
      <c r="P88" s="75"/>
      <c r="Q88" s="75"/>
      <c r="R88" s="26"/>
      <c r="S88" s="26"/>
      <c r="T88" s="26"/>
      <c r="U88" s="26"/>
      <c r="V88" s="26"/>
      <c r="W88" s="26"/>
      <c r="X88" s="26"/>
      <c r="Y88" s="26"/>
      <c r="Z88" s="26"/>
      <c r="AA88" s="26"/>
      <c r="AB88" s="26"/>
      <c r="AC88" s="26"/>
      <c r="AD88" s="77"/>
      <c r="AE88" s="26"/>
    </row>
    <row r="89" spans="1:31" x14ac:dyDescent="0.25">
      <c r="A89" s="26"/>
      <c r="B89" s="26"/>
      <c r="C89" s="26"/>
      <c r="D89" s="26"/>
      <c r="E89" s="26"/>
      <c r="F89" s="26"/>
      <c r="G89" s="26"/>
      <c r="H89" s="26"/>
      <c r="I89" s="26"/>
      <c r="J89" s="26"/>
      <c r="K89" s="26"/>
      <c r="L89" s="26"/>
      <c r="M89" s="75"/>
      <c r="N89" s="26"/>
      <c r="O89" s="75"/>
      <c r="P89" s="75"/>
      <c r="Q89" s="75"/>
      <c r="R89" s="26"/>
      <c r="S89" s="26"/>
      <c r="T89" s="26"/>
      <c r="U89" s="26"/>
      <c r="V89" s="26"/>
      <c r="W89" s="26"/>
      <c r="X89" s="26"/>
      <c r="Y89" s="26"/>
      <c r="Z89" s="26"/>
      <c r="AA89" s="26"/>
      <c r="AB89" s="26"/>
      <c r="AC89" s="26"/>
      <c r="AD89" s="77"/>
      <c r="AE89" s="26"/>
    </row>
    <row r="90" spans="1:31" x14ac:dyDescent="0.25">
      <c r="A90" s="26"/>
      <c r="B90" s="26"/>
      <c r="C90" s="26"/>
      <c r="D90" s="26"/>
      <c r="E90" s="26"/>
      <c r="F90" s="26"/>
      <c r="G90" s="26"/>
      <c r="H90" s="26"/>
      <c r="I90" s="26"/>
      <c r="J90" s="26"/>
      <c r="K90" s="26"/>
      <c r="L90" s="26"/>
      <c r="M90" s="75"/>
      <c r="N90" s="26"/>
      <c r="O90" s="75"/>
      <c r="P90" s="75"/>
      <c r="Q90" s="75"/>
      <c r="R90" s="26"/>
      <c r="S90" s="26"/>
      <c r="T90" s="26"/>
      <c r="U90" s="26"/>
      <c r="V90" s="26"/>
      <c r="W90" s="26"/>
      <c r="X90" s="26"/>
      <c r="Y90" s="26"/>
      <c r="Z90" s="26"/>
      <c r="AA90" s="26"/>
      <c r="AB90" s="26"/>
      <c r="AC90" s="26"/>
      <c r="AD90" s="77"/>
      <c r="AE90" s="26"/>
    </row>
    <row r="91" spans="1:31" x14ac:dyDescent="0.25">
      <c r="A91" s="26"/>
      <c r="B91" s="26"/>
      <c r="C91" s="26"/>
      <c r="D91" s="26"/>
      <c r="E91" s="26"/>
      <c r="F91" s="26"/>
      <c r="G91" s="26"/>
      <c r="H91" s="26"/>
      <c r="I91" s="26"/>
      <c r="J91" s="26"/>
      <c r="K91" s="26"/>
      <c r="L91" s="26"/>
      <c r="M91" s="75"/>
      <c r="N91" s="26"/>
      <c r="O91" s="75"/>
      <c r="P91" s="75"/>
      <c r="Q91" s="75"/>
      <c r="R91" s="26"/>
      <c r="S91" s="26"/>
      <c r="T91" s="26"/>
      <c r="U91" s="26"/>
      <c r="V91" s="26"/>
      <c r="W91" s="26"/>
      <c r="X91" s="26"/>
      <c r="Y91" s="26"/>
      <c r="Z91" s="26"/>
      <c r="AA91" s="26"/>
      <c r="AB91" s="26"/>
      <c r="AC91" s="26"/>
      <c r="AD91" s="77"/>
      <c r="AE91" s="26"/>
    </row>
    <row r="92" spans="1:31" x14ac:dyDescent="0.25">
      <c r="A92" s="26"/>
      <c r="B92" s="26"/>
      <c r="C92" s="26"/>
      <c r="D92" s="26"/>
      <c r="E92" s="26"/>
      <c r="F92" s="26"/>
      <c r="G92" s="26"/>
      <c r="H92" s="26"/>
      <c r="I92" s="26"/>
      <c r="J92" s="26"/>
      <c r="K92" s="26"/>
      <c r="L92" s="26"/>
      <c r="M92" s="75"/>
      <c r="N92" s="26"/>
      <c r="O92" s="75"/>
      <c r="P92" s="75"/>
      <c r="Q92" s="75"/>
      <c r="R92" s="26"/>
      <c r="S92" s="26"/>
      <c r="T92" s="26"/>
      <c r="U92" s="26"/>
      <c r="V92" s="26"/>
      <c r="W92" s="26"/>
      <c r="X92" s="26"/>
      <c r="Y92" s="26"/>
      <c r="Z92" s="26"/>
      <c r="AA92" s="26"/>
      <c r="AB92" s="26"/>
      <c r="AC92" s="26"/>
      <c r="AD92" s="77"/>
      <c r="AE92" s="26"/>
    </row>
    <row r="93" spans="1:31" x14ac:dyDescent="0.25">
      <c r="A93" s="26"/>
      <c r="B93" s="26"/>
      <c r="C93" s="26"/>
      <c r="D93" s="26"/>
      <c r="E93" s="26"/>
      <c r="F93" s="26"/>
      <c r="G93" s="26"/>
      <c r="H93" s="26"/>
      <c r="I93" s="26"/>
      <c r="J93" s="26"/>
      <c r="K93" s="26"/>
      <c r="L93" s="26"/>
      <c r="M93" s="75"/>
      <c r="N93" s="26"/>
      <c r="O93" s="75"/>
      <c r="P93" s="75"/>
      <c r="Q93" s="75"/>
      <c r="R93" s="26"/>
      <c r="S93" s="26"/>
      <c r="T93" s="26"/>
      <c r="U93" s="26"/>
      <c r="V93" s="26"/>
      <c r="W93" s="26"/>
      <c r="X93" s="26"/>
      <c r="Y93" s="26"/>
      <c r="Z93" s="26"/>
      <c r="AA93" s="26"/>
      <c r="AB93" s="26"/>
      <c r="AC93" s="26"/>
      <c r="AD93" s="77"/>
      <c r="AE93" s="26"/>
    </row>
    <row r="94" spans="1:31" x14ac:dyDescent="0.25">
      <c r="A94" s="26"/>
      <c r="B94" s="26"/>
      <c r="C94" s="26"/>
      <c r="D94" s="26"/>
      <c r="E94" s="26"/>
      <c r="F94" s="26"/>
      <c r="G94" s="26"/>
      <c r="H94" s="26"/>
      <c r="I94" s="26"/>
      <c r="J94" s="26"/>
      <c r="K94" s="26"/>
      <c r="L94" s="26"/>
      <c r="M94" s="75"/>
      <c r="N94" s="26"/>
      <c r="O94" s="75"/>
      <c r="P94" s="75"/>
      <c r="Q94" s="75"/>
      <c r="R94" s="26"/>
      <c r="S94" s="26"/>
      <c r="T94" s="26"/>
      <c r="U94" s="26"/>
      <c r="V94" s="26"/>
      <c r="W94" s="26"/>
      <c r="X94" s="26"/>
      <c r="Y94" s="26"/>
      <c r="Z94" s="26"/>
      <c r="AA94" s="26"/>
      <c r="AB94" s="26"/>
      <c r="AC94" s="26"/>
      <c r="AD94" s="77"/>
      <c r="AE94" s="26"/>
    </row>
    <row r="95" spans="1:31" x14ac:dyDescent="0.25">
      <c r="A95" s="26"/>
      <c r="B95" s="26"/>
      <c r="C95" s="26"/>
      <c r="D95" s="26"/>
      <c r="E95" s="26"/>
      <c r="F95" s="26"/>
      <c r="G95" s="26"/>
      <c r="H95" s="26"/>
      <c r="I95" s="26"/>
      <c r="J95" s="26"/>
      <c r="K95" s="26"/>
      <c r="L95" s="26"/>
      <c r="M95" s="75"/>
      <c r="N95" s="26"/>
      <c r="O95" s="75"/>
      <c r="P95" s="75"/>
      <c r="Q95" s="75"/>
      <c r="R95" s="26"/>
      <c r="S95" s="26"/>
      <c r="T95" s="26"/>
      <c r="U95" s="26"/>
      <c r="V95" s="26"/>
      <c r="W95" s="26"/>
      <c r="X95" s="26"/>
      <c r="Y95" s="26"/>
      <c r="Z95" s="26"/>
      <c r="AA95" s="26"/>
      <c r="AB95" s="26"/>
      <c r="AC95" s="26"/>
      <c r="AD95" s="77"/>
      <c r="AE95" s="26"/>
    </row>
    <row r="96" spans="1:31" x14ac:dyDescent="0.25">
      <c r="A96" s="26"/>
      <c r="B96" s="26"/>
      <c r="C96" s="26"/>
      <c r="D96" s="26"/>
      <c r="E96" s="26"/>
      <c r="F96" s="26"/>
      <c r="G96" s="26"/>
      <c r="H96" s="26"/>
      <c r="I96" s="26"/>
      <c r="J96" s="26"/>
      <c r="K96" s="26"/>
      <c r="L96" s="26"/>
      <c r="M96" s="75"/>
      <c r="N96" s="26"/>
      <c r="O96" s="75"/>
      <c r="P96" s="75"/>
      <c r="Q96" s="75"/>
      <c r="R96" s="26"/>
      <c r="S96" s="26"/>
      <c r="T96" s="26"/>
      <c r="U96" s="26"/>
      <c r="V96" s="26"/>
      <c r="W96" s="26"/>
      <c r="X96" s="26"/>
      <c r="Y96" s="26"/>
      <c r="Z96" s="26"/>
      <c r="AA96" s="26"/>
      <c r="AB96" s="26"/>
      <c r="AC96" s="26"/>
      <c r="AD96" s="77"/>
      <c r="AE96" s="26"/>
    </row>
    <row r="97" spans="1:31" x14ac:dyDescent="0.25">
      <c r="A97" s="26"/>
      <c r="B97" s="26"/>
      <c r="C97" s="26"/>
      <c r="D97" s="26"/>
      <c r="E97" s="26"/>
      <c r="F97" s="26"/>
      <c r="G97" s="26"/>
      <c r="H97" s="26"/>
      <c r="I97" s="26"/>
      <c r="J97" s="26"/>
      <c r="K97" s="26"/>
      <c r="L97" s="26"/>
      <c r="M97" s="75"/>
      <c r="N97" s="26"/>
      <c r="O97" s="75"/>
      <c r="P97" s="75"/>
      <c r="Q97" s="75"/>
      <c r="R97" s="26"/>
      <c r="S97" s="26"/>
      <c r="T97" s="26"/>
      <c r="U97" s="26"/>
      <c r="V97" s="26"/>
      <c r="W97" s="26"/>
      <c r="X97" s="26"/>
      <c r="Y97" s="26"/>
      <c r="Z97" s="26"/>
      <c r="AA97" s="26"/>
      <c r="AB97" s="26"/>
      <c r="AC97" s="26"/>
      <c r="AD97" s="77"/>
      <c r="AE97" s="26"/>
    </row>
    <row r="98" spans="1:31" x14ac:dyDescent="0.25">
      <c r="A98" s="26"/>
      <c r="B98" s="26"/>
      <c r="C98" s="26"/>
      <c r="D98" s="26"/>
      <c r="E98" s="26"/>
      <c r="F98" s="26"/>
      <c r="G98" s="26"/>
      <c r="H98" s="26"/>
      <c r="I98" s="26"/>
      <c r="J98" s="26"/>
      <c r="K98" s="26"/>
      <c r="L98" s="26"/>
      <c r="M98" s="75"/>
      <c r="N98" s="26"/>
      <c r="O98" s="75"/>
      <c r="P98" s="75"/>
      <c r="Q98" s="75"/>
      <c r="R98" s="26"/>
      <c r="S98" s="26"/>
      <c r="T98" s="26"/>
      <c r="U98" s="26"/>
      <c r="V98" s="26"/>
      <c r="W98" s="26"/>
      <c r="X98" s="26"/>
      <c r="Y98" s="26"/>
      <c r="Z98" s="26"/>
      <c r="AA98" s="26"/>
      <c r="AB98" s="26"/>
      <c r="AC98" s="26"/>
      <c r="AD98" s="77"/>
      <c r="AE98" s="26"/>
    </row>
    <row r="99" spans="1:31" x14ac:dyDescent="0.25">
      <c r="A99" s="26"/>
      <c r="B99" s="26"/>
      <c r="C99" s="26"/>
      <c r="D99" s="26"/>
      <c r="E99" s="26"/>
      <c r="F99" s="26"/>
      <c r="G99" s="26"/>
      <c r="H99" s="26"/>
      <c r="I99" s="26"/>
      <c r="J99" s="26"/>
      <c r="K99" s="26"/>
      <c r="L99" s="26"/>
      <c r="M99" s="75"/>
      <c r="N99" s="26"/>
      <c r="O99" s="75"/>
      <c r="P99" s="75"/>
      <c r="Q99" s="75"/>
      <c r="R99" s="26"/>
      <c r="S99" s="26"/>
      <c r="T99" s="26"/>
      <c r="U99" s="26"/>
      <c r="V99" s="26"/>
      <c r="W99" s="26"/>
      <c r="X99" s="26"/>
      <c r="Y99" s="26"/>
      <c r="Z99" s="26"/>
      <c r="AA99" s="26"/>
      <c r="AB99" s="26"/>
      <c r="AC99" s="26"/>
      <c r="AD99" s="77"/>
      <c r="AE99" s="26"/>
    </row>
    <row r="100" spans="1:31" x14ac:dyDescent="0.25">
      <c r="A100" s="26"/>
      <c r="B100" s="26"/>
      <c r="C100" s="26"/>
      <c r="D100" s="26"/>
      <c r="E100" s="26"/>
      <c r="F100" s="26"/>
      <c r="G100" s="26"/>
      <c r="H100" s="26"/>
      <c r="I100" s="26"/>
      <c r="J100" s="26"/>
      <c r="K100" s="26"/>
      <c r="L100" s="26"/>
      <c r="M100" s="75"/>
      <c r="N100" s="26"/>
      <c r="O100" s="75"/>
      <c r="P100" s="75"/>
      <c r="Q100" s="75"/>
      <c r="R100" s="26"/>
      <c r="S100" s="26"/>
      <c r="T100" s="26"/>
      <c r="U100" s="26"/>
      <c r="V100" s="26"/>
      <c r="W100" s="26"/>
      <c r="X100" s="26"/>
      <c r="Y100" s="26"/>
      <c r="Z100" s="26"/>
      <c r="AA100" s="26"/>
      <c r="AB100" s="26"/>
      <c r="AC100" s="26"/>
      <c r="AD100" s="77"/>
      <c r="AE100" s="26"/>
    </row>
    <row r="101" spans="1:31" x14ac:dyDescent="0.25">
      <c r="A101" s="26"/>
      <c r="B101" s="26"/>
      <c r="C101" s="26"/>
      <c r="D101" s="26"/>
      <c r="E101" s="26"/>
      <c r="F101" s="26"/>
      <c r="G101" s="26"/>
      <c r="H101" s="26"/>
      <c r="I101" s="26"/>
      <c r="J101" s="26"/>
      <c r="K101" s="26"/>
      <c r="L101" s="26"/>
      <c r="M101" s="75"/>
      <c r="N101" s="26"/>
      <c r="O101" s="75"/>
      <c r="P101" s="75"/>
      <c r="Q101" s="75"/>
      <c r="R101" s="26"/>
      <c r="S101" s="26"/>
      <c r="T101" s="26"/>
      <c r="U101" s="26"/>
      <c r="V101" s="26"/>
      <c r="W101" s="26"/>
      <c r="X101" s="26"/>
      <c r="Y101" s="26"/>
      <c r="Z101" s="26"/>
      <c r="AA101" s="26"/>
      <c r="AB101" s="26"/>
      <c r="AC101" s="26"/>
      <c r="AD101" s="77"/>
      <c r="AE101" s="26"/>
    </row>
    <row r="102" spans="1:31" x14ac:dyDescent="0.25">
      <c r="A102" s="26"/>
      <c r="B102" s="26"/>
      <c r="C102" s="26"/>
      <c r="D102" s="26"/>
      <c r="E102" s="26"/>
      <c r="F102" s="26"/>
      <c r="G102" s="26"/>
      <c r="H102" s="26"/>
      <c r="I102" s="26"/>
      <c r="J102" s="26"/>
      <c r="K102" s="26"/>
      <c r="L102" s="26"/>
      <c r="M102" s="75"/>
      <c r="N102" s="26"/>
      <c r="O102" s="75"/>
      <c r="P102" s="75"/>
      <c r="Q102" s="75"/>
      <c r="R102" s="26"/>
      <c r="S102" s="26"/>
      <c r="T102" s="26"/>
      <c r="U102" s="26"/>
      <c r="V102" s="26"/>
      <c r="W102" s="26"/>
      <c r="X102" s="26"/>
      <c r="Y102" s="26"/>
      <c r="Z102" s="26"/>
      <c r="AA102" s="26"/>
      <c r="AB102" s="26"/>
      <c r="AC102" s="26"/>
      <c r="AD102" s="77"/>
      <c r="AE102" s="26"/>
    </row>
    <row r="103" spans="1:31" x14ac:dyDescent="0.25">
      <c r="A103" s="26"/>
      <c r="B103" s="26"/>
      <c r="C103" s="26"/>
      <c r="D103" s="26"/>
      <c r="E103" s="26"/>
      <c r="F103" s="26"/>
      <c r="G103" s="26"/>
      <c r="H103" s="26"/>
      <c r="I103" s="26"/>
      <c r="J103" s="26"/>
      <c r="K103" s="26"/>
      <c r="L103" s="26"/>
      <c r="M103" s="75"/>
      <c r="N103" s="26"/>
      <c r="O103" s="75"/>
      <c r="P103" s="75"/>
      <c r="Q103" s="75"/>
      <c r="R103" s="26"/>
      <c r="S103" s="26"/>
      <c r="T103" s="26"/>
      <c r="U103" s="26"/>
      <c r="V103" s="26"/>
      <c r="W103" s="26"/>
      <c r="X103" s="26"/>
      <c r="Y103" s="26"/>
      <c r="Z103" s="26"/>
      <c r="AA103" s="26"/>
      <c r="AB103" s="26"/>
      <c r="AC103" s="26"/>
      <c r="AD103" s="77"/>
      <c r="AE103" s="26"/>
    </row>
    <row r="104" spans="1:31" x14ac:dyDescent="0.25">
      <c r="A104" s="26"/>
      <c r="B104" s="26"/>
      <c r="C104" s="26"/>
      <c r="D104" s="26"/>
      <c r="E104" s="26"/>
      <c r="F104" s="26"/>
      <c r="G104" s="26"/>
      <c r="H104" s="26"/>
      <c r="I104" s="26"/>
      <c r="J104" s="26"/>
      <c r="K104" s="26"/>
      <c r="L104" s="26"/>
      <c r="M104" s="75"/>
      <c r="N104" s="26"/>
      <c r="O104" s="75"/>
      <c r="P104" s="75"/>
      <c r="Q104" s="75"/>
      <c r="R104" s="26"/>
      <c r="S104" s="26"/>
      <c r="T104" s="26"/>
      <c r="U104" s="26"/>
      <c r="V104" s="26"/>
      <c r="W104" s="26"/>
      <c r="X104" s="26"/>
      <c r="Y104" s="26"/>
      <c r="Z104" s="26"/>
      <c r="AA104" s="26"/>
      <c r="AB104" s="26"/>
      <c r="AC104" s="26"/>
      <c r="AD104" s="77"/>
      <c r="AE104" s="26"/>
    </row>
    <row r="105" spans="1:31" x14ac:dyDescent="0.25">
      <c r="A105" s="26"/>
      <c r="B105" s="26"/>
      <c r="C105" s="26"/>
      <c r="D105" s="26"/>
      <c r="E105" s="26"/>
      <c r="F105" s="26"/>
      <c r="G105" s="26"/>
      <c r="H105" s="26"/>
      <c r="I105" s="26"/>
      <c r="J105" s="26"/>
      <c r="K105" s="26"/>
      <c r="L105" s="26"/>
      <c r="M105" s="75"/>
      <c r="N105" s="26"/>
      <c r="O105" s="75"/>
      <c r="P105" s="75"/>
      <c r="Q105" s="75"/>
      <c r="R105" s="26"/>
      <c r="S105" s="26"/>
      <c r="T105" s="26"/>
      <c r="U105" s="26"/>
      <c r="V105" s="26"/>
      <c r="W105" s="26"/>
      <c r="X105" s="26"/>
      <c r="Y105" s="26"/>
      <c r="Z105" s="26"/>
      <c r="AA105" s="26"/>
      <c r="AB105" s="26"/>
      <c r="AC105" s="26"/>
      <c r="AD105" s="77"/>
      <c r="AE105" s="26"/>
    </row>
    <row r="106" spans="1:31" x14ac:dyDescent="0.25">
      <c r="A106" s="26"/>
      <c r="B106" s="26"/>
      <c r="C106" s="26"/>
      <c r="D106" s="26"/>
      <c r="E106" s="26"/>
      <c r="F106" s="26"/>
      <c r="G106" s="26"/>
      <c r="H106" s="26"/>
      <c r="I106" s="26"/>
      <c r="J106" s="26"/>
      <c r="K106" s="26"/>
      <c r="L106" s="26"/>
      <c r="M106" s="75"/>
      <c r="N106" s="26"/>
      <c r="O106" s="75"/>
      <c r="P106" s="75"/>
      <c r="Q106" s="75"/>
      <c r="R106" s="26"/>
      <c r="S106" s="26"/>
      <c r="T106" s="26"/>
      <c r="U106" s="26"/>
      <c r="V106" s="26"/>
      <c r="W106" s="26"/>
      <c r="X106" s="26"/>
      <c r="Y106" s="26"/>
      <c r="Z106" s="26"/>
      <c r="AA106" s="26"/>
      <c r="AB106" s="26"/>
      <c r="AC106" s="26"/>
      <c r="AD106" s="77"/>
      <c r="AE106" s="26"/>
    </row>
    <row r="107" spans="1:31" x14ac:dyDescent="0.25">
      <c r="A107" s="26"/>
      <c r="B107" s="26"/>
      <c r="C107" s="26"/>
      <c r="D107" s="26"/>
      <c r="E107" s="26"/>
      <c r="F107" s="26"/>
      <c r="G107" s="26"/>
      <c r="H107" s="26"/>
      <c r="I107" s="26"/>
      <c r="J107" s="26"/>
      <c r="K107" s="26"/>
      <c r="L107" s="26"/>
      <c r="M107" s="75"/>
      <c r="N107" s="26"/>
      <c r="O107" s="75"/>
      <c r="P107" s="75"/>
      <c r="Q107" s="75"/>
      <c r="R107" s="26"/>
      <c r="S107" s="26"/>
      <c r="T107" s="26"/>
      <c r="U107" s="26"/>
      <c r="V107" s="26"/>
      <c r="W107" s="26"/>
      <c r="X107" s="26"/>
      <c r="Y107" s="26"/>
      <c r="Z107" s="26"/>
      <c r="AA107" s="26"/>
      <c r="AB107" s="26"/>
      <c r="AC107" s="26"/>
      <c r="AD107" s="77"/>
      <c r="AE107" s="26"/>
    </row>
    <row r="108" spans="1:31" x14ac:dyDescent="0.25">
      <c r="A108" s="26"/>
      <c r="B108" s="26"/>
      <c r="C108" s="26"/>
      <c r="D108" s="26"/>
      <c r="E108" s="26"/>
      <c r="F108" s="26"/>
      <c r="G108" s="26"/>
      <c r="H108" s="26"/>
      <c r="I108" s="26"/>
      <c r="J108" s="26"/>
      <c r="K108" s="26"/>
      <c r="L108" s="26"/>
      <c r="M108" s="75"/>
      <c r="N108" s="26"/>
      <c r="O108" s="75"/>
      <c r="P108" s="75"/>
      <c r="Q108" s="75"/>
      <c r="R108" s="26"/>
      <c r="S108" s="26"/>
      <c r="T108" s="26"/>
      <c r="U108" s="26"/>
      <c r="V108" s="26"/>
      <c r="W108" s="26"/>
      <c r="X108" s="26"/>
      <c r="Y108" s="26"/>
      <c r="Z108" s="26"/>
      <c r="AA108" s="26"/>
      <c r="AB108" s="26"/>
      <c r="AC108" s="26"/>
      <c r="AD108" s="77"/>
      <c r="AE108" s="26"/>
    </row>
    <row r="109" spans="1:31" x14ac:dyDescent="0.25">
      <c r="A109" s="26"/>
      <c r="B109" s="26"/>
      <c r="C109" s="26"/>
      <c r="D109" s="26"/>
      <c r="E109" s="26"/>
      <c r="F109" s="26"/>
      <c r="G109" s="26"/>
      <c r="H109" s="26"/>
      <c r="I109" s="26"/>
      <c r="J109" s="26"/>
      <c r="K109" s="26"/>
      <c r="L109" s="26"/>
      <c r="M109" s="75"/>
      <c r="N109" s="26"/>
      <c r="O109" s="75"/>
      <c r="P109" s="75"/>
      <c r="Q109" s="75"/>
      <c r="R109" s="26"/>
      <c r="S109" s="26"/>
      <c r="T109" s="26"/>
      <c r="U109" s="26"/>
      <c r="V109" s="26"/>
      <c r="W109" s="26"/>
      <c r="X109" s="26"/>
      <c r="Y109" s="26"/>
      <c r="Z109" s="26"/>
      <c r="AA109" s="26"/>
      <c r="AB109" s="26"/>
      <c r="AC109" s="26"/>
      <c r="AD109" s="77"/>
      <c r="AE109" s="26"/>
    </row>
    <row r="110" spans="1:31" x14ac:dyDescent="0.25">
      <c r="A110" s="26"/>
      <c r="B110" s="26"/>
      <c r="C110" s="26"/>
      <c r="D110" s="26"/>
      <c r="E110" s="26"/>
      <c r="F110" s="26"/>
      <c r="G110" s="26"/>
      <c r="H110" s="26"/>
      <c r="I110" s="26"/>
      <c r="J110" s="26"/>
      <c r="K110" s="26"/>
      <c r="L110" s="26"/>
      <c r="M110" s="75"/>
      <c r="N110" s="26"/>
      <c r="O110" s="75"/>
      <c r="P110" s="75"/>
      <c r="Q110" s="75"/>
      <c r="R110" s="26"/>
      <c r="S110" s="26"/>
      <c r="T110" s="26"/>
      <c r="U110" s="26"/>
      <c r="V110" s="26"/>
      <c r="W110" s="26"/>
      <c r="X110" s="26"/>
      <c r="Y110" s="26"/>
      <c r="Z110" s="26"/>
      <c r="AA110" s="26"/>
      <c r="AB110" s="26"/>
      <c r="AC110" s="26"/>
      <c r="AD110" s="77"/>
      <c r="AE110" s="26"/>
    </row>
    <row r="111" spans="1:31" x14ac:dyDescent="0.25">
      <c r="A111" s="26"/>
      <c r="B111" s="26"/>
      <c r="C111" s="26"/>
      <c r="D111" s="26"/>
      <c r="E111" s="26"/>
      <c r="F111" s="26"/>
      <c r="G111" s="26"/>
      <c r="H111" s="26"/>
      <c r="I111" s="26"/>
      <c r="J111" s="26"/>
      <c r="K111" s="26"/>
      <c r="L111" s="26"/>
      <c r="M111" s="75"/>
      <c r="N111" s="26"/>
      <c r="O111" s="75"/>
      <c r="P111" s="75"/>
      <c r="Q111" s="75"/>
      <c r="R111" s="26"/>
      <c r="S111" s="26"/>
      <c r="T111" s="26"/>
      <c r="U111" s="26"/>
      <c r="V111" s="26"/>
      <c r="W111" s="26"/>
      <c r="X111" s="26"/>
      <c r="Y111" s="26"/>
      <c r="Z111" s="26"/>
      <c r="AA111" s="26"/>
      <c r="AB111" s="26"/>
      <c r="AC111" s="26"/>
      <c r="AD111" s="77"/>
      <c r="AE111" s="26"/>
    </row>
    <row r="112" spans="1:31" x14ac:dyDescent="0.25">
      <c r="A112" s="26"/>
      <c r="B112" s="26"/>
      <c r="C112" s="26"/>
      <c r="D112" s="26"/>
      <c r="E112" s="26"/>
      <c r="F112" s="26"/>
      <c r="G112" s="26"/>
      <c r="H112" s="26"/>
      <c r="I112" s="26"/>
      <c r="J112" s="26"/>
      <c r="K112" s="26"/>
      <c r="L112" s="26"/>
      <c r="M112" s="75"/>
      <c r="N112" s="26"/>
      <c r="O112" s="75"/>
      <c r="P112" s="75"/>
      <c r="Q112" s="75"/>
      <c r="R112" s="26"/>
      <c r="S112" s="26"/>
      <c r="T112" s="26"/>
      <c r="U112" s="26"/>
      <c r="V112" s="26"/>
      <c r="W112" s="26"/>
      <c r="X112" s="26"/>
      <c r="Y112" s="26"/>
      <c r="Z112" s="26"/>
      <c r="AA112" s="26"/>
      <c r="AB112" s="26"/>
      <c r="AC112" s="26"/>
      <c r="AD112" s="77"/>
      <c r="AE112" s="26"/>
    </row>
    <row r="113" spans="1:31" x14ac:dyDescent="0.25">
      <c r="A113" s="26"/>
      <c r="B113" s="26"/>
      <c r="C113" s="26"/>
      <c r="D113" s="26"/>
      <c r="E113" s="26"/>
      <c r="F113" s="26"/>
      <c r="G113" s="26"/>
      <c r="H113" s="26"/>
      <c r="I113" s="26"/>
      <c r="J113" s="26"/>
      <c r="K113" s="26"/>
      <c r="L113" s="26"/>
      <c r="M113" s="75"/>
      <c r="N113" s="26"/>
      <c r="O113" s="75"/>
      <c r="P113" s="75"/>
      <c r="Q113" s="75"/>
      <c r="R113" s="26"/>
      <c r="S113" s="26"/>
      <c r="T113" s="26"/>
      <c r="U113" s="26"/>
      <c r="V113" s="26"/>
      <c r="W113" s="26"/>
      <c r="X113" s="26"/>
      <c r="Y113" s="26"/>
      <c r="Z113" s="26"/>
      <c r="AA113" s="26"/>
      <c r="AB113" s="26"/>
      <c r="AC113" s="26"/>
      <c r="AD113" s="77"/>
      <c r="AE113" s="26"/>
    </row>
    <row r="114" spans="1:31" x14ac:dyDescent="0.25">
      <c r="A114" s="26"/>
      <c r="B114" s="26"/>
      <c r="C114" s="26"/>
      <c r="D114" s="26"/>
      <c r="E114" s="26"/>
      <c r="F114" s="26"/>
      <c r="G114" s="26"/>
      <c r="H114" s="26"/>
      <c r="I114" s="26"/>
      <c r="J114" s="26"/>
      <c r="K114" s="26"/>
      <c r="L114" s="26"/>
      <c r="M114" s="75"/>
      <c r="N114" s="26"/>
      <c r="O114" s="75"/>
      <c r="P114" s="75"/>
      <c r="Q114" s="75"/>
      <c r="R114" s="26"/>
      <c r="S114" s="26"/>
      <c r="T114" s="26"/>
      <c r="U114" s="26"/>
      <c r="V114" s="26"/>
      <c r="W114" s="26"/>
      <c r="X114" s="26"/>
      <c r="Y114" s="26"/>
      <c r="Z114" s="26"/>
      <c r="AA114" s="26"/>
      <c r="AB114" s="26"/>
      <c r="AC114" s="26"/>
      <c r="AD114" s="77"/>
      <c r="AE114" s="26"/>
    </row>
    <row r="115" spans="1:31" x14ac:dyDescent="0.25">
      <c r="A115" s="26"/>
      <c r="B115" s="26"/>
      <c r="C115" s="26"/>
      <c r="D115" s="26"/>
      <c r="E115" s="26"/>
      <c r="F115" s="26"/>
      <c r="G115" s="26"/>
      <c r="H115" s="26"/>
      <c r="I115" s="26"/>
      <c r="J115" s="26"/>
      <c r="K115" s="26"/>
      <c r="L115" s="26"/>
      <c r="M115" s="75"/>
      <c r="N115" s="26"/>
      <c r="O115" s="75"/>
      <c r="P115" s="75"/>
      <c r="Q115" s="75"/>
      <c r="R115" s="26"/>
      <c r="S115" s="26"/>
      <c r="T115" s="26"/>
      <c r="U115" s="26"/>
      <c r="V115" s="26"/>
      <c r="W115" s="26"/>
      <c r="X115" s="26"/>
      <c r="Y115" s="26"/>
      <c r="Z115" s="26"/>
      <c r="AA115" s="26"/>
      <c r="AB115" s="26"/>
      <c r="AC115" s="26"/>
      <c r="AD115" s="77"/>
      <c r="AE115" s="26"/>
    </row>
    <row r="116" spans="1:31" x14ac:dyDescent="0.25">
      <c r="A116" s="23"/>
      <c r="B116" s="26"/>
      <c r="C116" s="26"/>
      <c r="D116" s="26"/>
      <c r="E116" s="26"/>
      <c r="F116" s="26"/>
      <c r="G116" s="26"/>
      <c r="H116" s="26"/>
      <c r="I116" s="26"/>
      <c r="J116" s="26"/>
      <c r="K116" s="26"/>
      <c r="L116" s="26"/>
      <c r="M116" s="75"/>
      <c r="N116" s="26"/>
      <c r="O116" s="75"/>
      <c r="P116" s="75"/>
      <c r="Q116" s="75"/>
      <c r="R116" s="26"/>
      <c r="S116" s="26"/>
      <c r="T116" s="26"/>
      <c r="U116" s="26"/>
      <c r="V116" s="26"/>
      <c r="W116" s="26"/>
      <c r="X116" s="26"/>
      <c r="Y116" s="26"/>
      <c r="Z116" s="26"/>
      <c r="AA116" s="26"/>
      <c r="AB116" s="26"/>
      <c r="AC116" s="26"/>
      <c r="AD116" s="77"/>
      <c r="AE116" s="26"/>
    </row>
    <row r="117" spans="1:31" x14ac:dyDescent="0.25">
      <c r="A117" s="23"/>
      <c r="B117" s="26"/>
      <c r="C117" s="26"/>
      <c r="D117" s="26"/>
      <c r="E117" s="26"/>
      <c r="F117" s="26"/>
      <c r="G117" s="26"/>
      <c r="H117" s="26"/>
      <c r="I117" s="26"/>
      <c r="J117" s="26"/>
      <c r="K117" s="26"/>
      <c r="L117" s="26"/>
      <c r="M117" s="75"/>
      <c r="N117" s="26"/>
      <c r="O117" s="75"/>
      <c r="P117" s="75"/>
      <c r="Q117" s="75"/>
      <c r="R117" s="26"/>
      <c r="S117" s="26"/>
      <c r="T117" s="26"/>
      <c r="U117" s="26"/>
      <c r="V117" s="26"/>
      <c r="W117" s="26"/>
      <c r="X117" s="26"/>
      <c r="Y117" s="26"/>
      <c r="Z117" s="26"/>
      <c r="AA117" s="26"/>
      <c r="AB117" s="26"/>
      <c r="AC117" s="26"/>
      <c r="AD117" s="77"/>
      <c r="AE117" s="26"/>
    </row>
    <row r="118" spans="1:31" x14ac:dyDescent="0.25">
      <c r="A118" s="23"/>
      <c r="B118" s="26"/>
      <c r="C118" s="26"/>
      <c r="D118" s="26"/>
      <c r="E118" s="26"/>
      <c r="F118" s="26"/>
      <c r="G118" s="26"/>
      <c r="H118" s="26"/>
      <c r="I118" s="26"/>
      <c r="J118" s="26"/>
      <c r="K118" s="26"/>
      <c r="L118" s="26"/>
      <c r="M118" s="75"/>
      <c r="N118" s="26"/>
      <c r="O118" s="75"/>
      <c r="P118" s="75"/>
      <c r="Q118" s="75"/>
      <c r="R118" s="26"/>
      <c r="S118" s="26"/>
      <c r="T118" s="26"/>
      <c r="U118" s="26"/>
      <c r="V118" s="26"/>
      <c r="W118" s="26"/>
      <c r="X118" s="26"/>
      <c r="Y118" s="26"/>
      <c r="Z118" s="26"/>
      <c r="AA118" s="26"/>
      <c r="AB118" s="26"/>
      <c r="AC118" s="26"/>
      <c r="AD118" s="77"/>
      <c r="AE118" s="26"/>
    </row>
    <row r="119" spans="1:31" x14ac:dyDescent="0.25">
      <c r="A119" s="23"/>
      <c r="B119" s="26"/>
      <c r="C119" s="26"/>
      <c r="D119" s="26"/>
      <c r="E119" s="26"/>
      <c r="F119" s="26"/>
      <c r="G119" s="26"/>
      <c r="H119" s="26"/>
      <c r="I119" s="26"/>
      <c r="J119" s="26"/>
      <c r="K119" s="26"/>
      <c r="L119" s="26"/>
      <c r="M119" s="75"/>
      <c r="N119" s="26"/>
      <c r="O119" s="75"/>
      <c r="P119" s="75"/>
      <c r="Q119" s="75"/>
      <c r="R119" s="26"/>
      <c r="S119" s="26"/>
      <c r="T119" s="26"/>
      <c r="U119" s="26"/>
      <c r="V119" s="26"/>
      <c r="W119" s="26"/>
      <c r="X119" s="26"/>
      <c r="Y119" s="26"/>
      <c r="Z119" s="26"/>
      <c r="AA119" s="26"/>
      <c r="AB119" s="26"/>
      <c r="AC119" s="26"/>
      <c r="AD119" s="77"/>
      <c r="AE119" s="26"/>
    </row>
    <row r="120" spans="1:31" x14ac:dyDescent="0.25">
      <c r="A120" s="23"/>
      <c r="B120" s="26"/>
      <c r="C120" s="26"/>
      <c r="D120" s="26"/>
      <c r="E120" s="26"/>
      <c r="F120" s="26"/>
      <c r="G120" s="26"/>
      <c r="H120" s="26"/>
      <c r="I120" s="26"/>
      <c r="J120" s="26"/>
      <c r="K120" s="26"/>
      <c r="L120" s="26"/>
      <c r="M120" s="75"/>
      <c r="N120" s="26"/>
      <c r="O120" s="75"/>
      <c r="P120" s="75"/>
      <c r="Q120" s="75"/>
      <c r="R120" s="26"/>
      <c r="S120" s="26"/>
      <c r="T120" s="26"/>
      <c r="U120" s="26"/>
      <c r="V120" s="26"/>
      <c r="W120" s="26"/>
      <c r="X120" s="26"/>
      <c r="Y120" s="26"/>
      <c r="Z120" s="26"/>
      <c r="AA120" s="26"/>
      <c r="AB120" s="26"/>
      <c r="AC120" s="26"/>
      <c r="AD120" s="77"/>
      <c r="AE120" s="26"/>
    </row>
    <row r="121" spans="1:31" x14ac:dyDescent="0.25">
      <c r="A121" s="23"/>
      <c r="B121" s="26"/>
      <c r="C121" s="26"/>
      <c r="D121" s="26"/>
      <c r="E121" s="26"/>
      <c r="F121" s="26"/>
      <c r="G121" s="26"/>
      <c r="H121" s="26"/>
      <c r="I121" s="26"/>
      <c r="J121" s="26"/>
      <c r="K121" s="26"/>
      <c r="L121" s="26"/>
      <c r="M121" s="75"/>
      <c r="N121" s="26"/>
      <c r="O121" s="75"/>
      <c r="P121" s="75"/>
      <c r="Q121" s="75"/>
      <c r="R121" s="26"/>
      <c r="S121" s="26"/>
      <c r="T121" s="26"/>
      <c r="U121" s="26"/>
      <c r="V121" s="26"/>
      <c r="W121" s="26"/>
      <c r="X121" s="26"/>
      <c r="Y121" s="26"/>
      <c r="Z121" s="26"/>
      <c r="AA121" s="26"/>
      <c r="AB121" s="26"/>
      <c r="AC121" s="26"/>
      <c r="AD121" s="77"/>
      <c r="AE121" s="26"/>
    </row>
    <row r="122" spans="1:31" x14ac:dyDescent="0.25">
      <c r="A122" s="23"/>
      <c r="B122" s="26"/>
      <c r="C122" s="26"/>
      <c r="D122" s="26"/>
      <c r="E122" s="26"/>
      <c r="F122" s="26"/>
      <c r="G122" s="26"/>
      <c r="H122" s="26"/>
      <c r="I122" s="26"/>
      <c r="J122" s="26"/>
      <c r="K122" s="26"/>
      <c r="L122" s="26"/>
      <c r="M122" s="75"/>
      <c r="N122" s="26"/>
      <c r="O122" s="75"/>
      <c r="P122" s="75"/>
      <c r="Q122" s="75"/>
      <c r="R122" s="26"/>
      <c r="S122" s="26"/>
      <c r="T122" s="26"/>
      <c r="U122" s="26"/>
      <c r="V122" s="26"/>
      <c r="W122" s="26"/>
      <c r="X122" s="26"/>
      <c r="Y122" s="26"/>
      <c r="Z122" s="26"/>
      <c r="AA122" s="26"/>
      <c r="AB122" s="26"/>
      <c r="AC122" s="26"/>
      <c r="AD122" s="77"/>
      <c r="AE122" s="26"/>
    </row>
    <row r="123" spans="1:31" x14ac:dyDescent="0.25">
      <c r="A123" s="23"/>
      <c r="B123" s="26"/>
      <c r="C123" s="26"/>
      <c r="D123" s="26"/>
      <c r="E123" s="26"/>
      <c r="F123" s="26"/>
      <c r="G123" s="26"/>
      <c r="H123" s="26"/>
      <c r="I123" s="26"/>
      <c r="J123" s="26"/>
      <c r="K123" s="26"/>
      <c r="L123" s="26"/>
      <c r="M123" s="75"/>
      <c r="N123" s="26"/>
      <c r="O123" s="75"/>
      <c r="P123" s="75"/>
      <c r="Q123" s="75"/>
      <c r="R123" s="26"/>
      <c r="S123" s="26"/>
      <c r="T123" s="26"/>
      <c r="U123" s="26"/>
      <c r="V123" s="26"/>
      <c r="W123" s="26"/>
      <c r="X123" s="26"/>
      <c r="Y123" s="26"/>
      <c r="Z123" s="26"/>
      <c r="AA123" s="26"/>
      <c r="AB123" s="26"/>
      <c r="AC123" s="26"/>
      <c r="AD123" s="77"/>
      <c r="AE123" s="26"/>
    </row>
    <row r="124" spans="1:31" x14ac:dyDescent="0.25">
      <c r="A124" s="23"/>
      <c r="B124" s="26"/>
      <c r="C124" s="26"/>
      <c r="D124" s="26"/>
      <c r="E124" s="26"/>
      <c r="F124" s="26"/>
      <c r="G124" s="26"/>
      <c r="H124" s="26"/>
      <c r="I124" s="26"/>
      <c r="J124" s="26"/>
      <c r="K124" s="26"/>
      <c r="L124" s="26"/>
      <c r="M124" s="75"/>
      <c r="N124" s="26"/>
      <c r="O124" s="75"/>
      <c r="P124" s="75"/>
      <c r="Q124" s="75"/>
      <c r="R124" s="26"/>
      <c r="S124" s="26"/>
      <c r="T124" s="26"/>
      <c r="U124" s="26"/>
      <c r="V124" s="26"/>
      <c r="W124" s="26"/>
      <c r="X124" s="26"/>
      <c r="Y124" s="26"/>
      <c r="Z124" s="26"/>
      <c r="AA124" s="26"/>
      <c r="AB124" s="26"/>
      <c r="AC124" s="26"/>
      <c r="AD124" s="77"/>
      <c r="AE124" s="26"/>
    </row>
    <row r="125" spans="1:31" x14ac:dyDescent="0.25">
      <c r="A125" s="23"/>
      <c r="B125" s="26"/>
      <c r="C125" s="26"/>
      <c r="D125" s="26"/>
      <c r="E125" s="26"/>
      <c r="F125" s="26"/>
      <c r="G125" s="26"/>
      <c r="H125" s="26"/>
      <c r="I125" s="26"/>
      <c r="J125" s="26"/>
      <c r="K125" s="26"/>
      <c r="L125" s="26"/>
      <c r="M125" s="75"/>
      <c r="N125" s="26"/>
      <c r="O125" s="75"/>
      <c r="P125" s="75"/>
      <c r="Q125" s="75"/>
      <c r="R125" s="26"/>
      <c r="S125" s="26"/>
      <c r="T125" s="26"/>
      <c r="U125" s="26"/>
      <c r="V125" s="26"/>
      <c r="W125" s="26"/>
      <c r="X125" s="26"/>
      <c r="Y125" s="26"/>
      <c r="Z125" s="26"/>
      <c r="AA125" s="26"/>
      <c r="AB125" s="26"/>
      <c r="AC125" s="26"/>
      <c r="AD125" s="77"/>
      <c r="AE125" s="26"/>
    </row>
    <row r="126" spans="1:31" x14ac:dyDescent="0.25">
      <c r="A126" s="23"/>
      <c r="B126" s="26"/>
      <c r="C126" s="26"/>
      <c r="D126" s="26"/>
      <c r="E126" s="26"/>
      <c r="F126" s="26"/>
      <c r="G126" s="26"/>
      <c r="H126" s="26"/>
      <c r="I126" s="26"/>
      <c r="J126" s="26"/>
      <c r="K126" s="26"/>
      <c r="L126" s="26"/>
      <c r="M126" s="75"/>
      <c r="N126" s="26"/>
      <c r="O126" s="75"/>
      <c r="P126" s="75"/>
      <c r="Q126" s="75"/>
      <c r="R126" s="26"/>
      <c r="S126" s="26"/>
      <c r="T126" s="26"/>
      <c r="U126" s="26"/>
      <c r="V126" s="26"/>
      <c r="W126" s="26"/>
      <c r="X126" s="26"/>
      <c r="Y126" s="26"/>
      <c r="Z126" s="26"/>
      <c r="AA126" s="26"/>
      <c r="AB126" s="26"/>
      <c r="AC126" s="26"/>
      <c r="AD126" s="77"/>
      <c r="AE126" s="26"/>
    </row>
    <row r="127" spans="1:31" x14ac:dyDescent="0.25">
      <c r="A127" s="23"/>
      <c r="B127" s="26"/>
      <c r="C127" s="26"/>
      <c r="D127" s="26"/>
      <c r="E127" s="26"/>
      <c r="F127" s="26"/>
      <c r="G127" s="26"/>
      <c r="H127" s="26"/>
      <c r="I127" s="26"/>
      <c r="J127" s="26"/>
      <c r="K127" s="26"/>
      <c r="L127" s="26"/>
      <c r="M127" s="75"/>
      <c r="N127" s="26"/>
      <c r="O127" s="75"/>
      <c r="P127" s="75"/>
      <c r="Q127" s="75"/>
      <c r="R127" s="26"/>
      <c r="S127" s="26"/>
      <c r="T127" s="26"/>
      <c r="U127" s="26"/>
      <c r="V127" s="26"/>
      <c r="W127" s="26"/>
      <c r="X127" s="26"/>
      <c r="Y127" s="26"/>
      <c r="Z127" s="26"/>
      <c r="AA127" s="26"/>
      <c r="AB127" s="26"/>
      <c r="AC127" s="26"/>
      <c r="AD127" s="77"/>
      <c r="AE127" s="26"/>
    </row>
    <row r="128" spans="1:31" x14ac:dyDescent="0.25">
      <c r="A128" s="23"/>
      <c r="B128" s="26"/>
      <c r="C128" s="26"/>
      <c r="D128" s="26"/>
      <c r="E128" s="26"/>
      <c r="F128" s="26"/>
      <c r="G128" s="26"/>
      <c r="H128" s="26"/>
      <c r="I128" s="26"/>
      <c r="J128" s="26"/>
      <c r="K128" s="26"/>
      <c r="L128" s="26"/>
      <c r="M128" s="75"/>
      <c r="N128" s="26"/>
      <c r="O128" s="75"/>
      <c r="P128" s="75"/>
      <c r="Q128" s="75"/>
      <c r="R128" s="26"/>
      <c r="S128" s="26"/>
      <c r="T128" s="26"/>
      <c r="U128" s="26"/>
      <c r="V128" s="26"/>
      <c r="W128" s="26"/>
      <c r="X128" s="26"/>
      <c r="Y128" s="26"/>
      <c r="Z128" s="26"/>
      <c r="AA128" s="26"/>
      <c r="AB128" s="26"/>
      <c r="AC128" s="26"/>
      <c r="AD128" s="77"/>
      <c r="AE128" s="26"/>
    </row>
    <row r="129" spans="1:31" x14ac:dyDescent="0.25">
      <c r="A129" s="23"/>
      <c r="B129" s="26"/>
      <c r="C129" s="26"/>
      <c r="D129" s="26"/>
      <c r="E129" s="26"/>
      <c r="F129" s="26"/>
      <c r="G129" s="26"/>
      <c r="H129" s="26"/>
      <c r="I129" s="26"/>
      <c r="J129" s="26"/>
      <c r="K129" s="26"/>
      <c r="L129" s="26"/>
      <c r="M129" s="75"/>
      <c r="N129" s="26"/>
      <c r="O129" s="75"/>
      <c r="P129" s="75"/>
      <c r="Q129" s="75"/>
      <c r="R129" s="26"/>
      <c r="S129" s="26"/>
      <c r="T129" s="26"/>
      <c r="U129" s="26"/>
      <c r="V129" s="26"/>
      <c r="W129" s="26"/>
      <c r="X129" s="26"/>
      <c r="Y129" s="26"/>
      <c r="Z129" s="26"/>
      <c r="AA129" s="26"/>
      <c r="AB129" s="26"/>
      <c r="AC129" s="26"/>
      <c r="AD129" s="77"/>
      <c r="AE129" s="26"/>
    </row>
    <row r="130" spans="1:31" x14ac:dyDescent="0.25">
      <c r="A130" s="23"/>
      <c r="B130" s="26"/>
      <c r="C130" s="26"/>
      <c r="D130" s="26"/>
      <c r="E130" s="26"/>
      <c r="F130" s="26"/>
      <c r="G130" s="26"/>
      <c r="H130" s="26"/>
      <c r="I130" s="26"/>
      <c r="J130" s="26"/>
      <c r="K130" s="26"/>
      <c r="L130" s="26"/>
      <c r="M130" s="75"/>
      <c r="N130" s="26"/>
      <c r="O130" s="75"/>
      <c r="P130" s="75"/>
      <c r="Q130" s="75"/>
      <c r="R130" s="26"/>
      <c r="S130" s="26"/>
      <c r="T130" s="26"/>
      <c r="U130" s="26"/>
      <c r="V130" s="26"/>
      <c r="W130" s="26"/>
      <c r="X130" s="26"/>
      <c r="Y130" s="26"/>
      <c r="Z130" s="26"/>
      <c r="AA130" s="26"/>
      <c r="AB130" s="26"/>
      <c r="AC130" s="26"/>
      <c r="AD130" s="77"/>
      <c r="AE130" s="26"/>
    </row>
    <row r="131" spans="1:31" x14ac:dyDescent="0.25">
      <c r="A131" s="23"/>
      <c r="B131" s="26"/>
      <c r="C131" s="26"/>
      <c r="D131" s="26"/>
      <c r="E131" s="26"/>
      <c r="F131" s="26"/>
      <c r="G131" s="26"/>
      <c r="H131" s="26"/>
      <c r="I131" s="26"/>
      <c r="J131" s="26"/>
      <c r="K131" s="26"/>
      <c r="L131" s="26"/>
      <c r="M131" s="75"/>
      <c r="N131" s="26"/>
      <c r="O131" s="75"/>
      <c r="P131" s="75"/>
      <c r="Q131" s="75"/>
      <c r="R131" s="26"/>
      <c r="S131" s="26"/>
      <c r="T131" s="26"/>
      <c r="U131" s="26"/>
      <c r="V131" s="26"/>
      <c r="W131" s="26"/>
      <c r="X131" s="26"/>
      <c r="Y131" s="26"/>
      <c r="Z131" s="26"/>
      <c r="AA131" s="26"/>
      <c r="AB131" s="26"/>
      <c r="AC131" s="26"/>
      <c r="AD131" s="77"/>
      <c r="AE131" s="26"/>
    </row>
    <row r="132" spans="1:31" x14ac:dyDescent="0.25">
      <c r="A132" s="23"/>
      <c r="B132" s="26"/>
      <c r="C132" s="26"/>
      <c r="D132" s="26"/>
      <c r="E132" s="26"/>
      <c r="F132" s="26"/>
      <c r="G132" s="26"/>
      <c r="H132" s="26"/>
      <c r="I132" s="26"/>
      <c r="J132" s="26"/>
      <c r="K132" s="26"/>
      <c r="L132" s="26"/>
      <c r="M132" s="75"/>
      <c r="N132" s="26"/>
      <c r="O132" s="75"/>
      <c r="P132" s="75"/>
      <c r="Q132" s="75"/>
      <c r="R132" s="26"/>
      <c r="S132" s="26"/>
      <c r="T132" s="26"/>
      <c r="U132" s="26"/>
      <c r="V132" s="26"/>
      <c r="W132" s="26"/>
      <c r="X132" s="26"/>
      <c r="Y132" s="26"/>
      <c r="Z132" s="26"/>
      <c r="AA132" s="26"/>
      <c r="AB132" s="26"/>
      <c r="AC132" s="26"/>
      <c r="AD132" s="77"/>
      <c r="AE132" s="26"/>
    </row>
    <row r="133" spans="1:31" x14ac:dyDescent="0.25">
      <c r="A133" s="23"/>
      <c r="B133" s="26"/>
      <c r="C133" s="26"/>
      <c r="D133" s="26"/>
      <c r="E133" s="26"/>
      <c r="F133" s="26"/>
      <c r="G133" s="26"/>
      <c r="H133" s="26"/>
      <c r="I133" s="26"/>
      <c r="J133" s="26"/>
      <c r="K133" s="26"/>
      <c r="L133" s="26"/>
      <c r="M133" s="75"/>
      <c r="N133" s="26"/>
      <c r="O133" s="75"/>
      <c r="P133" s="75"/>
      <c r="Q133" s="75"/>
      <c r="R133" s="26"/>
      <c r="S133" s="26"/>
      <c r="T133" s="26"/>
      <c r="U133" s="26"/>
      <c r="V133" s="26"/>
      <c r="W133" s="26"/>
      <c r="X133" s="26"/>
      <c r="Y133" s="26"/>
      <c r="Z133" s="26"/>
      <c r="AA133" s="26"/>
      <c r="AB133" s="26"/>
      <c r="AC133" s="26"/>
      <c r="AD133" s="77"/>
      <c r="AE133" s="26"/>
    </row>
    <row r="134" spans="1:31" x14ac:dyDescent="0.25">
      <c r="A134" s="23"/>
      <c r="B134" s="26"/>
      <c r="C134" s="26"/>
      <c r="D134" s="26"/>
      <c r="E134" s="26"/>
      <c r="F134" s="26"/>
      <c r="G134" s="26"/>
      <c r="H134" s="26"/>
      <c r="I134" s="26"/>
      <c r="J134" s="26"/>
      <c r="K134" s="26"/>
      <c r="L134" s="26"/>
      <c r="M134" s="75"/>
      <c r="N134" s="26"/>
      <c r="O134" s="75"/>
      <c r="P134" s="75"/>
      <c r="Q134" s="75"/>
      <c r="R134" s="26"/>
      <c r="S134" s="26"/>
      <c r="T134" s="26"/>
      <c r="U134" s="26"/>
      <c r="V134" s="26"/>
      <c r="W134" s="26"/>
      <c r="X134" s="26"/>
      <c r="Y134" s="26"/>
      <c r="Z134" s="26"/>
      <c r="AA134" s="26"/>
      <c r="AB134" s="26"/>
      <c r="AC134" s="26"/>
      <c r="AD134" s="77"/>
      <c r="AE134" s="26"/>
    </row>
    <row r="135" spans="1:31" x14ac:dyDescent="0.25">
      <c r="A135" s="23"/>
      <c r="B135" s="26"/>
      <c r="C135" s="26"/>
      <c r="D135" s="26"/>
      <c r="E135" s="26"/>
      <c r="F135" s="26"/>
      <c r="G135" s="26"/>
      <c r="H135" s="26"/>
      <c r="I135" s="26"/>
      <c r="J135" s="26"/>
      <c r="K135" s="26"/>
      <c r="L135" s="26"/>
      <c r="M135" s="75"/>
      <c r="N135" s="26"/>
      <c r="O135" s="75"/>
      <c r="P135" s="75"/>
      <c r="Q135" s="75"/>
      <c r="R135" s="26"/>
      <c r="S135" s="26"/>
      <c r="T135" s="26"/>
      <c r="U135" s="26"/>
      <c r="V135" s="26"/>
      <c r="W135" s="26"/>
      <c r="X135" s="26"/>
      <c r="Y135" s="26"/>
      <c r="Z135" s="26"/>
      <c r="AA135" s="26"/>
      <c r="AB135" s="26"/>
      <c r="AC135" s="26"/>
      <c r="AD135" s="77"/>
      <c r="AE135" s="26"/>
    </row>
    <row r="136" spans="1:31" x14ac:dyDescent="0.25">
      <c r="A136" s="23"/>
      <c r="B136" s="26"/>
      <c r="C136" s="26"/>
      <c r="D136" s="26"/>
      <c r="E136" s="26"/>
      <c r="F136" s="26"/>
      <c r="G136" s="26"/>
      <c r="H136" s="26"/>
      <c r="I136" s="26"/>
      <c r="J136" s="26"/>
      <c r="K136" s="26"/>
      <c r="L136" s="26"/>
      <c r="M136" s="75"/>
      <c r="N136" s="26"/>
      <c r="O136" s="75"/>
      <c r="P136" s="75"/>
      <c r="Q136" s="75"/>
      <c r="R136" s="26"/>
      <c r="S136" s="26"/>
      <c r="T136" s="26"/>
      <c r="U136" s="26"/>
      <c r="V136" s="26"/>
      <c r="W136" s="26"/>
      <c r="X136" s="26"/>
      <c r="Y136" s="26"/>
      <c r="Z136" s="26"/>
      <c r="AA136" s="26"/>
      <c r="AB136" s="26"/>
      <c r="AC136" s="26"/>
      <c r="AD136" s="77"/>
      <c r="AE136" s="26"/>
    </row>
    <row r="137" spans="1:31" x14ac:dyDescent="0.25">
      <c r="A137" s="23"/>
      <c r="B137" s="26"/>
      <c r="C137" s="26"/>
      <c r="D137" s="26"/>
      <c r="E137" s="26"/>
      <c r="F137" s="26"/>
      <c r="G137" s="26"/>
      <c r="H137" s="26"/>
      <c r="I137" s="26"/>
      <c r="J137" s="26"/>
      <c r="K137" s="26"/>
      <c r="L137" s="26"/>
      <c r="M137" s="75"/>
      <c r="N137" s="26"/>
      <c r="O137" s="75"/>
      <c r="P137" s="75"/>
      <c r="Q137" s="75"/>
      <c r="R137" s="26"/>
      <c r="S137" s="26"/>
      <c r="T137" s="26"/>
      <c r="U137" s="26"/>
      <c r="V137" s="26"/>
      <c r="W137" s="26"/>
      <c r="X137" s="26"/>
      <c r="Y137" s="26"/>
      <c r="Z137" s="26"/>
      <c r="AA137" s="26"/>
      <c r="AB137" s="26"/>
      <c r="AC137" s="26"/>
      <c r="AD137" s="77"/>
      <c r="AE137" s="26"/>
    </row>
    <row r="138" spans="1:31" x14ac:dyDescent="0.25">
      <c r="A138" s="23"/>
      <c r="B138" s="26"/>
      <c r="C138" s="26"/>
      <c r="D138" s="26"/>
      <c r="E138" s="26"/>
      <c r="F138" s="26"/>
      <c r="G138" s="26"/>
      <c r="H138" s="26"/>
      <c r="I138" s="26"/>
      <c r="J138" s="26"/>
      <c r="K138" s="26"/>
      <c r="L138" s="26"/>
      <c r="M138" s="75"/>
      <c r="N138" s="26"/>
      <c r="O138" s="75"/>
      <c r="P138" s="75"/>
      <c r="Q138" s="75"/>
      <c r="R138" s="26"/>
      <c r="S138" s="26"/>
      <c r="T138" s="26"/>
      <c r="U138" s="26"/>
      <c r="V138" s="26"/>
      <c r="W138" s="26"/>
      <c r="X138" s="26"/>
      <c r="Y138" s="26"/>
      <c r="Z138" s="26"/>
      <c r="AA138" s="26"/>
      <c r="AB138" s="26"/>
      <c r="AC138" s="26"/>
      <c r="AD138" s="77"/>
      <c r="AE138" s="26"/>
    </row>
    <row r="139" spans="1:31" x14ac:dyDescent="0.25">
      <c r="A139" s="23"/>
      <c r="B139" s="26"/>
      <c r="C139" s="26"/>
      <c r="D139" s="26"/>
      <c r="E139" s="26"/>
      <c r="F139" s="26"/>
      <c r="G139" s="26"/>
      <c r="H139" s="26"/>
      <c r="I139" s="26"/>
      <c r="J139" s="26"/>
      <c r="K139" s="26"/>
      <c r="L139" s="26"/>
      <c r="M139" s="75"/>
      <c r="N139" s="26"/>
      <c r="O139" s="75"/>
      <c r="P139" s="75"/>
      <c r="Q139" s="75"/>
      <c r="R139" s="26"/>
      <c r="S139" s="26"/>
      <c r="T139" s="26"/>
      <c r="U139" s="26"/>
      <c r="V139" s="26"/>
      <c r="W139" s="26"/>
      <c r="X139" s="26"/>
      <c r="Y139" s="26"/>
      <c r="Z139" s="26"/>
      <c r="AA139" s="26"/>
      <c r="AB139" s="26"/>
      <c r="AC139" s="26"/>
      <c r="AD139" s="77"/>
      <c r="AE139" s="26"/>
    </row>
    <row r="140" spans="1:31" x14ac:dyDescent="0.25">
      <c r="A140" s="23"/>
      <c r="B140" s="26"/>
      <c r="C140" s="26"/>
      <c r="D140" s="26"/>
      <c r="E140" s="26"/>
      <c r="F140" s="26"/>
      <c r="G140" s="26"/>
      <c r="H140" s="26"/>
      <c r="I140" s="26"/>
      <c r="J140" s="26"/>
      <c r="K140" s="26"/>
      <c r="L140" s="26"/>
      <c r="M140" s="75"/>
      <c r="N140" s="26"/>
      <c r="O140" s="75"/>
      <c r="P140" s="75"/>
      <c r="Q140" s="75"/>
      <c r="R140" s="26"/>
      <c r="S140" s="26"/>
      <c r="T140" s="26"/>
      <c r="U140" s="26"/>
      <c r="V140" s="26"/>
      <c r="W140" s="26"/>
      <c r="X140" s="26"/>
      <c r="Y140" s="26"/>
      <c r="Z140" s="26"/>
      <c r="AA140" s="26"/>
      <c r="AB140" s="26"/>
      <c r="AC140" s="26"/>
      <c r="AD140" s="77"/>
      <c r="AE140" s="26"/>
    </row>
    <row r="141" spans="1:31" x14ac:dyDescent="0.25">
      <c r="A141" s="23"/>
      <c r="B141" s="26"/>
      <c r="C141" s="26"/>
      <c r="D141" s="26"/>
      <c r="E141" s="26"/>
      <c r="F141" s="26"/>
      <c r="G141" s="26"/>
      <c r="H141" s="26"/>
      <c r="I141" s="26"/>
      <c r="J141" s="26"/>
      <c r="K141" s="26"/>
      <c r="L141" s="26"/>
      <c r="M141" s="75"/>
      <c r="N141" s="26"/>
      <c r="O141" s="75"/>
      <c r="P141" s="75"/>
      <c r="Q141" s="75"/>
      <c r="R141" s="26"/>
      <c r="S141" s="26"/>
      <c r="T141" s="26"/>
      <c r="U141" s="26"/>
      <c r="V141" s="26"/>
      <c r="W141" s="26"/>
      <c r="X141" s="26"/>
      <c r="Y141" s="26"/>
      <c r="Z141" s="26"/>
      <c r="AA141" s="26"/>
      <c r="AB141" s="26"/>
      <c r="AC141" s="26"/>
      <c r="AD141" s="77"/>
      <c r="AE141" s="26"/>
    </row>
    <row r="142" spans="1:31" x14ac:dyDescent="0.25">
      <c r="A142" s="23"/>
      <c r="B142" s="26"/>
      <c r="C142" s="26"/>
      <c r="D142" s="26"/>
      <c r="E142" s="26"/>
      <c r="F142" s="26"/>
      <c r="G142" s="26"/>
      <c r="H142" s="26"/>
      <c r="I142" s="26"/>
      <c r="J142" s="26"/>
      <c r="K142" s="26"/>
      <c r="L142" s="26"/>
      <c r="M142" s="75"/>
      <c r="N142" s="26"/>
      <c r="O142" s="75"/>
      <c r="P142" s="75"/>
      <c r="Q142" s="75"/>
      <c r="R142" s="26"/>
      <c r="S142" s="26"/>
      <c r="T142" s="26"/>
      <c r="U142" s="26"/>
      <c r="V142" s="26"/>
      <c r="W142" s="26"/>
      <c r="X142" s="26"/>
      <c r="Y142" s="26"/>
      <c r="Z142" s="26"/>
      <c r="AA142" s="26"/>
      <c r="AB142" s="26"/>
      <c r="AC142" s="26"/>
      <c r="AD142" s="77"/>
      <c r="AE142" s="26"/>
    </row>
    <row r="143" spans="1:31" x14ac:dyDescent="0.25">
      <c r="A143" s="23"/>
      <c r="B143" s="26"/>
      <c r="C143" s="26"/>
      <c r="D143" s="26"/>
      <c r="E143" s="26"/>
      <c r="F143" s="26"/>
      <c r="G143" s="26"/>
      <c r="H143" s="26"/>
      <c r="I143" s="26"/>
      <c r="J143" s="26"/>
      <c r="K143" s="26"/>
      <c r="L143" s="26"/>
      <c r="M143" s="75"/>
      <c r="N143" s="26"/>
      <c r="O143" s="75"/>
      <c r="P143" s="75"/>
      <c r="Q143" s="75"/>
      <c r="R143" s="26"/>
      <c r="S143" s="26"/>
      <c r="T143" s="26"/>
      <c r="U143" s="26"/>
      <c r="V143" s="26"/>
      <c r="W143" s="26"/>
      <c r="X143" s="26"/>
      <c r="Y143" s="26"/>
      <c r="Z143" s="26"/>
      <c r="AA143" s="26"/>
      <c r="AB143" s="26"/>
      <c r="AC143" s="26"/>
      <c r="AD143" s="77"/>
      <c r="AE143" s="26"/>
    </row>
    <row r="144" spans="1:31" x14ac:dyDescent="0.25">
      <c r="A144" s="23"/>
      <c r="B144" s="26"/>
      <c r="C144" s="26"/>
      <c r="D144" s="26"/>
      <c r="E144" s="26"/>
      <c r="F144" s="26"/>
      <c r="G144" s="26"/>
      <c r="H144" s="26"/>
      <c r="I144" s="26"/>
      <c r="J144" s="26"/>
      <c r="K144" s="26"/>
      <c r="L144" s="26"/>
      <c r="M144" s="75"/>
      <c r="N144" s="26"/>
      <c r="O144" s="75"/>
      <c r="P144" s="75"/>
      <c r="Q144" s="75"/>
      <c r="R144" s="26"/>
      <c r="S144" s="26"/>
      <c r="T144" s="26"/>
      <c r="U144" s="26"/>
      <c r="V144" s="26"/>
      <c r="W144" s="26"/>
      <c r="X144" s="26"/>
      <c r="Y144" s="26"/>
      <c r="Z144" s="26"/>
      <c r="AA144" s="26"/>
      <c r="AB144" s="26"/>
      <c r="AC144" s="26"/>
      <c r="AD144" s="77"/>
      <c r="AE144" s="26"/>
    </row>
    <row r="145" spans="1:1" x14ac:dyDescent="0.25">
      <c r="A145" s="24"/>
    </row>
    <row r="146" spans="1:1" x14ac:dyDescent="0.25">
      <c r="A146" s="24"/>
    </row>
    <row r="147" spans="1:1" x14ac:dyDescent="0.25">
      <c r="A147" s="24"/>
    </row>
    <row r="148" spans="1:1" x14ac:dyDescent="0.25">
      <c r="A148" s="24"/>
    </row>
    <row r="149" spans="1:1" x14ac:dyDescent="0.25">
      <c r="A149" s="24"/>
    </row>
    <row r="150" spans="1:1" x14ac:dyDescent="0.25">
      <c r="A150" s="24"/>
    </row>
    <row r="151" spans="1:1" x14ac:dyDescent="0.25">
      <c r="A151" s="24"/>
    </row>
    <row r="152" spans="1:1" x14ac:dyDescent="0.25">
      <c r="A152" s="24"/>
    </row>
    <row r="153" spans="1:1" x14ac:dyDescent="0.25">
      <c r="A153" s="24"/>
    </row>
    <row r="154" spans="1:1" x14ac:dyDescent="0.25">
      <c r="A154" s="24"/>
    </row>
    <row r="155" spans="1:1" x14ac:dyDescent="0.25">
      <c r="A155" s="24"/>
    </row>
    <row r="156" spans="1:1" x14ac:dyDescent="0.25">
      <c r="A156" s="24"/>
    </row>
    <row r="157" spans="1:1" x14ac:dyDescent="0.25">
      <c r="A157" s="24"/>
    </row>
    <row r="158" spans="1:1" x14ac:dyDescent="0.25">
      <c r="A158" s="24"/>
    </row>
    <row r="159" spans="1:1" x14ac:dyDescent="0.25">
      <c r="A159" s="24"/>
    </row>
    <row r="160" spans="1:1" x14ac:dyDescent="0.25">
      <c r="A160" s="24"/>
    </row>
    <row r="161" spans="1:1" x14ac:dyDescent="0.25">
      <c r="A161" s="24"/>
    </row>
    <row r="162" spans="1:1" x14ac:dyDescent="0.25">
      <c r="A162" s="24"/>
    </row>
    <row r="163" spans="1:1" x14ac:dyDescent="0.25">
      <c r="A163" s="24"/>
    </row>
  </sheetData>
  <mergeCells count="6">
    <mergeCell ref="L1:P1"/>
    <mergeCell ref="AF2:AP2"/>
    <mergeCell ref="R2:S2"/>
    <mergeCell ref="Z2:AE2"/>
    <mergeCell ref="L2:Q2"/>
    <mergeCell ref="T2:Y2"/>
  </mergeCells>
  <phoneticPr fontId="15" type="noConversion"/>
  <dataValidations count="4">
    <dataValidation type="whole" allowBlank="1" showInputMessage="1" showErrorMessage="1" sqref="G4:G59" xr:uid="{22E39AB1-372B-490B-9181-0E281B2337DF}">
      <formula1>0</formula1>
      <formula2>6</formula2>
    </dataValidation>
    <dataValidation type="textLength" operator="notBetween" allowBlank="1" showInputMessage="1" showErrorMessage="1" sqref="I4:I18" xr:uid="{8FBB57F8-0C40-4264-8D29-37B045B4F517}">
      <formula1>15</formula1>
      <formula2>15</formula2>
    </dataValidation>
    <dataValidation type="date" allowBlank="1" showInputMessage="1" showErrorMessage="1" errorTitle="Not a date" error="Invalid Entry: Please enter a date" promptTitle="Date Entry Required" prompt="Please enter a valid date in this format: MM/DD/YYYY. Only dates are allowed in this cell." sqref="AA4:AA20 X4:Y20" xr:uid="{5D6B14F7-4C78-49C2-B981-2624409A0268}">
      <formula1>1</formula1>
      <formula2>109939</formula2>
    </dataValidation>
    <dataValidation allowBlank="1" showErrorMessage="1" sqref="W4:W20" xr:uid="{8B898C52-3756-4C3E-8FB2-78BF13C497FF}"/>
  </dataValidations>
  <pageMargins left="0.7" right="0.7" top="0.75" bottom="0.75" header="0.3" footer="0.3"/>
  <pageSetup paperSize="8" orientation="portrait" r:id="rId1"/>
  <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InputMessage="1" showErrorMessage="1" xr:uid="{C736D4A2-9CA1-4F7E-B418-BCCCC4D87892}">
          <x14:formula1>
            <xm:f>Dropdowns!$C$44:$C$58</xm:f>
          </x14:formula1>
          <xm:sqref>I19:I20</xm:sqref>
        </x14:dataValidation>
        <x14:dataValidation type="list" allowBlank="1" showInputMessage="1" showErrorMessage="1" xr:uid="{FA6AAF4D-E85B-47F8-BF55-F7392CF39781}">
          <x14:formula1>
            <xm:f>'Rating factors'!$F$16:$F$21</xm:f>
          </x14:formula1>
          <xm:sqref>R4:R20</xm:sqref>
        </x14:dataValidation>
        <x14:dataValidation type="list" allowBlank="1" showInputMessage="1" showErrorMessage="1" xr:uid="{52306775-7832-44BC-9788-08A4F2843F7C}">
          <x14:formula1>
            <xm:f>'Rating factors'!$F$4:$F$9</xm:f>
          </x14:formula1>
          <xm:sqref>P5:P20</xm:sqref>
        </x14:dataValidation>
        <x14:dataValidation type="list" allowBlank="1" showInputMessage="1" showErrorMessage="1" xr:uid="{18CAF67A-56E9-4C35-9C54-206174DA624E}">
          <x14:formula1>
            <xm:f>Dropdowns!$C$2:$C$6</xm:f>
          </x14:formula1>
          <xm:sqref>N4:N20</xm:sqref>
        </x14:dataValidation>
        <x14:dataValidation type="list" allowBlank="1" showInputMessage="1" showErrorMessage="1" xr:uid="{3A99E5AE-6903-4DE1-9245-39B22B47BB7A}">
          <x14:formula1>
            <xm:f>Dropdowns!$C$12:$C$15</xm:f>
          </x14:formula1>
          <xm:sqref>V4:V20</xm:sqref>
        </x14:dataValidation>
        <x14:dataValidation type="list" allowBlank="1" showInputMessage="1" showErrorMessage="1" xr:uid="{7B54BD56-3F92-481E-AED7-3B70F3B90F5F}">
          <x14:formula1>
            <xm:f>'Rating factors'!$F$6</xm:f>
          </x14:formula1>
          <xm:sqref>P4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6DA1-B0FA-437F-AB50-BA7A712974B4}">
  <dimension ref="A1:Q103"/>
  <sheetViews>
    <sheetView showGridLines="0" topLeftCell="A100" zoomScale="110" zoomScaleNormal="110" workbookViewId="0">
      <selection activeCell="A4" sqref="A4:N131"/>
    </sheetView>
  </sheetViews>
  <sheetFormatPr defaultColWidth="8.85546875" defaultRowHeight="15" x14ac:dyDescent="0.25"/>
  <cols>
    <col min="1" max="1" width="9.7109375" customWidth="1"/>
    <col min="2" max="2" width="14.42578125" customWidth="1"/>
    <col min="3" max="3" width="29.42578125" customWidth="1"/>
    <col min="4" max="4" width="26.7109375" customWidth="1"/>
    <col min="5" max="6" width="14.42578125" customWidth="1"/>
    <col min="7" max="7" width="14.7109375" customWidth="1"/>
    <col min="8" max="8" width="16.42578125" customWidth="1"/>
    <col min="9" max="9" width="10.42578125" customWidth="1"/>
    <col min="10" max="10" width="26.7109375" customWidth="1"/>
    <col min="11" max="13" width="13.140625" customWidth="1"/>
    <col min="14" max="15" width="20.42578125" customWidth="1"/>
    <col min="16" max="16" width="12.42578125" customWidth="1"/>
    <col min="17" max="17" width="19" customWidth="1"/>
  </cols>
  <sheetData>
    <row r="1" spans="1:17" s="1" customFormat="1" ht="136.5" customHeight="1" x14ac:dyDescent="0.25">
      <c r="A1" s="34"/>
      <c r="B1" s="34"/>
      <c r="C1" s="34"/>
      <c r="D1" s="34"/>
      <c r="E1" s="34"/>
      <c r="F1" s="34"/>
      <c r="G1" s="34"/>
      <c r="H1" s="34"/>
      <c r="I1" s="34"/>
      <c r="J1" s="34"/>
      <c r="K1" s="37"/>
      <c r="L1" s="37"/>
      <c r="M1" s="37"/>
      <c r="N1" s="37"/>
      <c r="O1" s="37"/>
      <c r="P1" s="37"/>
      <c r="Q1" s="37"/>
    </row>
    <row r="2" spans="1:17" s="1" customFormat="1" ht="23.25" customHeight="1" x14ac:dyDescent="0.25">
      <c r="A2" s="34"/>
      <c r="B2" s="34"/>
      <c r="C2" s="34"/>
      <c r="D2" s="34"/>
      <c r="E2" s="34"/>
      <c r="F2" s="34"/>
      <c r="G2" s="34"/>
      <c r="H2" s="34"/>
      <c r="I2" s="140" t="s">
        <v>119</v>
      </c>
      <c r="J2" s="140"/>
      <c r="K2" s="99" t="s">
        <v>109</v>
      </c>
      <c r="L2" s="100"/>
      <c r="M2" s="100"/>
      <c r="N2" s="100"/>
      <c r="O2" s="100"/>
      <c r="P2" s="100"/>
      <c r="Q2" s="100"/>
    </row>
    <row r="3" spans="1:17" s="6" customFormat="1" ht="50.25" customHeight="1" x14ac:dyDescent="0.25">
      <c r="A3" s="19" t="s">
        <v>113</v>
      </c>
      <c r="B3" s="19" t="s">
        <v>123</v>
      </c>
      <c r="C3" s="19" t="s">
        <v>114</v>
      </c>
      <c r="D3" s="19" t="s">
        <v>115</v>
      </c>
      <c r="E3" s="19" t="s">
        <v>116</v>
      </c>
      <c r="F3" s="19" t="s">
        <v>120</v>
      </c>
      <c r="G3" s="19" t="s">
        <v>117</v>
      </c>
      <c r="H3" s="19" t="s">
        <v>118</v>
      </c>
      <c r="I3" s="9" t="s">
        <v>0</v>
      </c>
      <c r="J3" s="9" t="s">
        <v>1</v>
      </c>
      <c r="K3" s="25" t="s">
        <v>28</v>
      </c>
      <c r="L3" s="25" t="s">
        <v>108</v>
      </c>
      <c r="M3" s="25" t="s">
        <v>121</v>
      </c>
      <c r="N3" s="25" t="s">
        <v>122</v>
      </c>
      <c r="O3" s="25" t="s">
        <v>110</v>
      </c>
      <c r="P3" s="25" t="s">
        <v>112</v>
      </c>
      <c r="Q3" s="25" t="s">
        <v>111</v>
      </c>
    </row>
    <row r="4" spans="1:17" x14ac:dyDescent="0.25">
      <c r="B4" s="28"/>
      <c r="G4" s="27"/>
    </row>
    <row r="5" spans="1:17" x14ac:dyDescent="0.25">
      <c r="B5" s="28"/>
      <c r="G5" s="27"/>
    </row>
    <row r="6" spans="1:17" x14ac:dyDescent="0.25">
      <c r="B6" s="28"/>
      <c r="G6" s="27"/>
    </row>
    <row r="7" spans="1:17" x14ac:dyDescent="0.25">
      <c r="B7" s="28"/>
      <c r="G7" s="27"/>
    </row>
    <row r="8" spans="1:17" x14ac:dyDescent="0.25">
      <c r="B8" s="28"/>
      <c r="G8" s="27"/>
    </row>
    <row r="9" spans="1:17" x14ac:dyDescent="0.25">
      <c r="B9" s="28"/>
      <c r="G9" s="27"/>
    </row>
    <row r="10" spans="1:17" x14ac:dyDescent="0.25">
      <c r="B10" s="28"/>
      <c r="G10" s="27"/>
    </row>
    <row r="11" spans="1:17" x14ac:dyDescent="0.25">
      <c r="B11" s="28"/>
      <c r="G11" s="27"/>
    </row>
    <row r="12" spans="1:17" x14ac:dyDescent="0.25">
      <c r="B12" s="28"/>
      <c r="G12" s="27"/>
    </row>
    <row r="13" spans="1:17" x14ac:dyDescent="0.25">
      <c r="B13" s="28"/>
      <c r="G13" s="27"/>
    </row>
    <row r="14" spans="1:17" x14ac:dyDescent="0.25">
      <c r="B14" s="28"/>
      <c r="G14" s="27"/>
    </row>
    <row r="15" spans="1:17" x14ac:dyDescent="0.25">
      <c r="B15" s="28"/>
      <c r="G15" s="27"/>
    </row>
    <row r="16" spans="1:17" x14ac:dyDescent="0.25">
      <c r="B16" s="28"/>
      <c r="G16" s="27"/>
    </row>
    <row r="17" spans="2:7" x14ac:dyDescent="0.25">
      <c r="B17" s="28"/>
      <c r="G17" s="27"/>
    </row>
    <row r="18" spans="2:7" x14ac:dyDescent="0.25">
      <c r="B18" s="28"/>
      <c r="G18" s="27"/>
    </row>
    <row r="19" spans="2:7" x14ac:dyDescent="0.25">
      <c r="B19" s="28"/>
      <c r="G19" s="27"/>
    </row>
    <row r="20" spans="2:7" x14ac:dyDescent="0.25">
      <c r="B20" s="28"/>
      <c r="G20" s="27"/>
    </row>
    <row r="21" spans="2:7" x14ac:dyDescent="0.25">
      <c r="B21" s="28"/>
      <c r="G21" s="27"/>
    </row>
    <row r="22" spans="2:7" x14ac:dyDescent="0.25">
      <c r="B22" s="28"/>
      <c r="G22" s="27"/>
    </row>
    <row r="23" spans="2:7" x14ac:dyDescent="0.25">
      <c r="B23" s="28"/>
      <c r="G23" s="27"/>
    </row>
    <row r="24" spans="2:7" x14ac:dyDescent="0.25">
      <c r="B24" s="28"/>
      <c r="G24" s="27"/>
    </row>
    <row r="25" spans="2:7" x14ac:dyDescent="0.25">
      <c r="B25" s="28"/>
      <c r="G25" s="27"/>
    </row>
    <row r="26" spans="2:7" x14ac:dyDescent="0.25">
      <c r="B26" s="28"/>
      <c r="G26" s="27"/>
    </row>
    <row r="27" spans="2:7" x14ac:dyDescent="0.25">
      <c r="B27" s="28"/>
      <c r="G27" s="27"/>
    </row>
    <row r="28" spans="2:7" x14ac:dyDescent="0.25">
      <c r="B28" s="28"/>
      <c r="G28" s="27"/>
    </row>
    <row r="29" spans="2:7" x14ac:dyDescent="0.25">
      <c r="B29" s="28"/>
      <c r="G29" s="27"/>
    </row>
    <row r="30" spans="2:7" x14ac:dyDescent="0.25">
      <c r="B30" s="28"/>
      <c r="G30" s="27"/>
    </row>
    <row r="31" spans="2:7" x14ac:dyDescent="0.25">
      <c r="B31" s="28"/>
      <c r="G31" s="27"/>
    </row>
    <row r="32" spans="2:7" x14ac:dyDescent="0.25">
      <c r="B32" s="28"/>
      <c r="G32" s="27"/>
    </row>
    <row r="33" spans="2:7" x14ac:dyDescent="0.25">
      <c r="B33" s="28"/>
      <c r="G33" s="27"/>
    </row>
    <row r="34" spans="2:7" x14ac:dyDescent="0.25">
      <c r="B34" s="28"/>
      <c r="G34" s="27"/>
    </row>
    <row r="35" spans="2:7" x14ac:dyDescent="0.25">
      <c r="B35" s="28"/>
      <c r="G35" s="27"/>
    </row>
    <row r="36" spans="2:7" x14ac:dyDescent="0.25">
      <c r="B36" s="28"/>
      <c r="G36" s="27"/>
    </row>
    <row r="37" spans="2:7" x14ac:dyDescent="0.25">
      <c r="B37" s="28"/>
      <c r="G37" s="27"/>
    </row>
    <row r="38" spans="2:7" x14ac:dyDescent="0.25">
      <c r="B38" s="28"/>
      <c r="G38" s="27"/>
    </row>
    <row r="39" spans="2:7" x14ac:dyDescent="0.25">
      <c r="B39" s="28"/>
      <c r="G39" s="27"/>
    </row>
    <row r="40" spans="2:7" x14ac:dyDescent="0.25">
      <c r="B40" s="28"/>
      <c r="G40" s="27"/>
    </row>
    <row r="41" spans="2:7" x14ac:dyDescent="0.25">
      <c r="B41" s="28"/>
      <c r="G41" s="27"/>
    </row>
    <row r="42" spans="2:7" x14ac:dyDescent="0.25">
      <c r="B42" s="28"/>
      <c r="G42" s="27"/>
    </row>
    <row r="43" spans="2:7" x14ac:dyDescent="0.25">
      <c r="B43" s="28"/>
      <c r="G43" s="27"/>
    </row>
    <row r="44" spans="2:7" x14ac:dyDescent="0.25">
      <c r="B44" s="28"/>
      <c r="G44" s="27"/>
    </row>
    <row r="45" spans="2:7" x14ac:dyDescent="0.25">
      <c r="B45" s="28"/>
      <c r="G45" s="27"/>
    </row>
    <row r="46" spans="2:7" x14ac:dyDescent="0.25">
      <c r="B46" s="28"/>
      <c r="G46" s="27"/>
    </row>
    <row r="47" spans="2:7" x14ac:dyDescent="0.25">
      <c r="B47" s="28"/>
      <c r="G47" s="27"/>
    </row>
    <row r="48" spans="2:7" x14ac:dyDescent="0.25">
      <c r="B48" s="28"/>
      <c r="G48" s="27"/>
    </row>
    <row r="49" spans="2:7" x14ac:dyDescent="0.25">
      <c r="B49" s="28"/>
      <c r="G49" s="27"/>
    </row>
    <row r="50" spans="2:7" x14ac:dyDescent="0.25">
      <c r="B50" s="28"/>
      <c r="G50" s="27"/>
    </row>
    <row r="51" spans="2:7" x14ac:dyDescent="0.25">
      <c r="B51" s="28"/>
      <c r="G51" s="27"/>
    </row>
    <row r="52" spans="2:7" x14ac:dyDescent="0.25">
      <c r="B52" s="28"/>
      <c r="G52" s="27"/>
    </row>
    <row r="53" spans="2:7" x14ac:dyDescent="0.25">
      <c r="B53" s="28"/>
      <c r="G53" s="27"/>
    </row>
    <row r="54" spans="2:7" x14ac:dyDescent="0.25">
      <c r="B54" s="28"/>
      <c r="G54" s="27"/>
    </row>
    <row r="55" spans="2:7" x14ac:dyDescent="0.25">
      <c r="B55" s="28"/>
      <c r="G55" s="27"/>
    </row>
    <row r="56" spans="2:7" x14ac:dyDescent="0.25">
      <c r="B56" s="28"/>
      <c r="G56" s="27"/>
    </row>
    <row r="57" spans="2:7" x14ac:dyDescent="0.25">
      <c r="B57" s="28"/>
      <c r="G57" s="27"/>
    </row>
    <row r="58" spans="2:7" x14ac:dyDescent="0.25">
      <c r="B58" s="28"/>
      <c r="G58" s="27"/>
    </row>
    <row r="59" spans="2:7" x14ac:dyDescent="0.25">
      <c r="B59" s="28"/>
      <c r="G59" s="27"/>
    </row>
    <row r="60" spans="2:7" x14ac:dyDescent="0.25">
      <c r="B60" s="28"/>
      <c r="G60" s="27"/>
    </row>
    <row r="61" spans="2:7" x14ac:dyDescent="0.25">
      <c r="B61" s="28"/>
      <c r="G61" s="27"/>
    </row>
    <row r="62" spans="2:7" x14ac:dyDescent="0.25">
      <c r="B62" s="28"/>
      <c r="G62" s="27"/>
    </row>
    <row r="63" spans="2:7" x14ac:dyDescent="0.25">
      <c r="B63" s="28"/>
      <c r="G63" s="27"/>
    </row>
    <row r="64" spans="2:7" x14ac:dyDescent="0.25">
      <c r="B64" s="28"/>
      <c r="G64" s="27"/>
    </row>
    <row r="65" spans="2:7" x14ac:dyDescent="0.25">
      <c r="B65" s="28"/>
      <c r="G65" s="27"/>
    </row>
    <row r="66" spans="2:7" x14ac:dyDescent="0.25">
      <c r="B66" s="28"/>
      <c r="G66" s="27"/>
    </row>
    <row r="67" spans="2:7" x14ac:dyDescent="0.25">
      <c r="B67" s="28"/>
      <c r="G67" s="27"/>
    </row>
    <row r="68" spans="2:7" x14ac:dyDescent="0.25">
      <c r="B68" s="28"/>
      <c r="G68" s="27"/>
    </row>
    <row r="69" spans="2:7" x14ac:dyDescent="0.25">
      <c r="B69" s="28"/>
      <c r="G69" s="27"/>
    </row>
    <row r="70" spans="2:7" x14ac:dyDescent="0.25">
      <c r="B70" s="28"/>
      <c r="G70" s="27"/>
    </row>
    <row r="71" spans="2:7" x14ac:dyDescent="0.25">
      <c r="B71" s="28"/>
      <c r="G71" s="27"/>
    </row>
    <row r="72" spans="2:7" x14ac:dyDescent="0.25">
      <c r="B72" s="28"/>
      <c r="G72" s="27"/>
    </row>
    <row r="73" spans="2:7" x14ac:dyDescent="0.25">
      <c r="B73" s="28"/>
      <c r="G73" s="27"/>
    </row>
    <row r="74" spans="2:7" x14ac:dyDescent="0.25">
      <c r="B74" s="28"/>
      <c r="G74" s="27"/>
    </row>
    <row r="75" spans="2:7" x14ac:dyDescent="0.25">
      <c r="B75" s="28"/>
      <c r="G75" s="27"/>
    </row>
    <row r="76" spans="2:7" x14ac:dyDescent="0.25">
      <c r="B76" s="28"/>
      <c r="G76" s="27"/>
    </row>
    <row r="77" spans="2:7" x14ac:dyDescent="0.25">
      <c r="B77" s="28"/>
      <c r="G77" s="27"/>
    </row>
    <row r="78" spans="2:7" x14ac:dyDescent="0.25">
      <c r="B78" s="28"/>
      <c r="G78" s="27"/>
    </row>
    <row r="79" spans="2:7" x14ac:dyDescent="0.25">
      <c r="B79" s="28"/>
      <c r="G79" s="27"/>
    </row>
    <row r="80" spans="2:7" x14ac:dyDescent="0.25">
      <c r="B80" s="28"/>
      <c r="G80" s="27"/>
    </row>
    <row r="81" spans="2:7" x14ac:dyDescent="0.25">
      <c r="B81" s="28"/>
      <c r="G81" s="27"/>
    </row>
    <row r="82" spans="2:7" x14ac:dyDescent="0.25">
      <c r="B82" s="28"/>
      <c r="G82" s="27"/>
    </row>
    <row r="83" spans="2:7" x14ac:dyDescent="0.25">
      <c r="B83" s="28"/>
      <c r="G83" s="27"/>
    </row>
    <row r="84" spans="2:7" x14ac:dyDescent="0.25">
      <c r="B84" s="28"/>
      <c r="G84" s="27"/>
    </row>
    <row r="85" spans="2:7" x14ac:dyDescent="0.25">
      <c r="B85" s="28"/>
      <c r="G85" s="27"/>
    </row>
    <row r="86" spans="2:7" x14ac:dyDescent="0.25">
      <c r="B86" s="28"/>
      <c r="G86" s="27"/>
    </row>
    <row r="87" spans="2:7" x14ac:dyDescent="0.25">
      <c r="B87" s="28"/>
      <c r="G87" s="27"/>
    </row>
    <row r="88" spans="2:7" x14ac:dyDescent="0.25">
      <c r="B88" s="28"/>
      <c r="G88" s="27"/>
    </row>
    <row r="89" spans="2:7" x14ac:dyDescent="0.25">
      <c r="B89" s="28"/>
      <c r="G89" s="27"/>
    </row>
    <row r="90" spans="2:7" x14ac:dyDescent="0.25">
      <c r="B90" s="28"/>
      <c r="G90" s="27"/>
    </row>
    <row r="91" spans="2:7" x14ac:dyDescent="0.25">
      <c r="B91" s="28"/>
      <c r="G91" s="27"/>
    </row>
    <row r="92" spans="2:7" x14ac:dyDescent="0.25">
      <c r="B92" s="28"/>
      <c r="G92" s="27"/>
    </row>
    <row r="93" spans="2:7" x14ac:dyDescent="0.25">
      <c r="B93" s="28"/>
      <c r="G93" s="27"/>
    </row>
    <row r="94" spans="2:7" x14ac:dyDescent="0.25">
      <c r="B94" s="28"/>
      <c r="G94" s="27"/>
    </row>
    <row r="95" spans="2:7" x14ac:dyDescent="0.25">
      <c r="B95" s="28"/>
      <c r="G95" s="27"/>
    </row>
    <row r="96" spans="2:7" x14ac:dyDescent="0.25">
      <c r="B96" s="28"/>
      <c r="G96" s="27"/>
    </row>
    <row r="97" spans="2:7" x14ac:dyDescent="0.25">
      <c r="B97" s="28"/>
      <c r="G97" s="27"/>
    </row>
    <row r="98" spans="2:7" x14ac:dyDescent="0.25">
      <c r="B98" s="28"/>
      <c r="G98" s="27"/>
    </row>
    <row r="99" spans="2:7" x14ac:dyDescent="0.25">
      <c r="B99" s="28"/>
      <c r="G99" s="27"/>
    </row>
    <row r="100" spans="2:7" x14ac:dyDescent="0.25">
      <c r="B100" s="28"/>
      <c r="G100" s="27"/>
    </row>
    <row r="101" spans="2:7" x14ac:dyDescent="0.25">
      <c r="B101" s="28"/>
      <c r="G101" s="27"/>
    </row>
    <row r="102" spans="2:7" x14ac:dyDescent="0.25">
      <c r="B102" s="28"/>
      <c r="G102" s="27"/>
    </row>
    <row r="103" spans="2:7" x14ac:dyDescent="0.25">
      <c r="B103" s="28"/>
      <c r="G103" s="27"/>
    </row>
  </sheetData>
  <mergeCells count="2">
    <mergeCell ref="K2:Q2"/>
    <mergeCell ref="I2:J2"/>
  </mergeCells>
  <phoneticPr fontId="15" type="noConversion"/>
  <pageMargins left="0.7" right="0.7" top="0.75" bottom="0.75" header="0.3" footer="0.3"/>
  <pageSetup paperSize="9" orientation="portrait" horizontalDpi="0" verticalDpi="0"/>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D926FF11-B213-4544-A07E-5454681659B3}">
          <x14:formula1>
            <xm:f>Dropdowns!$C$19:$C$23</xm:f>
          </x14:formula1>
          <xm:sqref>F4:F103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51A8-C0AA-4A95-9196-BD47E5F73D7E}">
  <dimension ref="E3:I54"/>
  <sheetViews>
    <sheetView showGridLines="0" topLeftCell="A13" workbookViewId="0">
      <selection activeCell="H44" sqref="H44:H54"/>
    </sheetView>
  </sheetViews>
  <sheetFormatPr defaultColWidth="8.85546875" defaultRowHeight="12.75" x14ac:dyDescent="0.2"/>
  <cols>
    <col min="1" max="5" width="4.7109375" style="3" customWidth="1"/>
    <col min="6" max="6" width="19.140625" style="3" bestFit="1" customWidth="1"/>
    <col min="7" max="7" width="28.28515625" style="3" customWidth="1"/>
    <col min="8" max="8" width="105.42578125" style="3" customWidth="1"/>
    <col min="9" max="9" width="31" style="3" customWidth="1"/>
    <col min="10" max="10" width="24.42578125" style="3" customWidth="1"/>
    <col min="11" max="260" width="9.140625" style="3"/>
    <col min="261" max="261" width="25.85546875" style="3" customWidth="1"/>
    <col min="262" max="265" width="31" style="3" customWidth="1"/>
    <col min="266" max="266" width="24.42578125" style="3" customWidth="1"/>
    <col min="267" max="516" width="9.140625" style="3"/>
    <col min="517" max="517" width="25.85546875" style="3" customWidth="1"/>
    <col min="518" max="521" width="31" style="3" customWidth="1"/>
    <col min="522" max="522" width="24.42578125" style="3" customWidth="1"/>
    <col min="523" max="772" width="9.140625" style="3"/>
    <col min="773" max="773" width="25.85546875" style="3" customWidth="1"/>
    <col min="774" max="777" width="31" style="3" customWidth="1"/>
    <col min="778" max="778" width="24.42578125" style="3" customWidth="1"/>
    <col min="779" max="1028" width="9.140625" style="3"/>
    <col min="1029" max="1029" width="25.85546875" style="3" customWidth="1"/>
    <col min="1030" max="1033" width="31" style="3" customWidth="1"/>
    <col min="1034" max="1034" width="24.42578125" style="3" customWidth="1"/>
    <col min="1035" max="1284" width="9.140625" style="3"/>
    <col min="1285" max="1285" width="25.85546875" style="3" customWidth="1"/>
    <col min="1286" max="1289" width="31" style="3" customWidth="1"/>
    <col min="1290" max="1290" width="24.42578125" style="3" customWidth="1"/>
    <col min="1291" max="1540" width="9.140625" style="3"/>
    <col min="1541" max="1541" width="25.85546875" style="3" customWidth="1"/>
    <col min="1542" max="1545" width="31" style="3" customWidth="1"/>
    <col min="1546" max="1546" width="24.42578125" style="3" customWidth="1"/>
    <col min="1547" max="1796" width="9.140625" style="3"/>
    <col min="1797" max="1797" width="25.85546875" style="3" customWidth="1"/>
    <col min="1798" max="1801" width="31" style="3" customWidth="1"/>
    <col min="1802" max="1802" width="24.42578125" style="3" customWidth="1"/>
    <col min="1803" max="2052" width="9.140625" style="3"/>
    <col min="2053" max="2053" width="25.85546875" style="3" customWidth="1"/>
    <col min="2054" max="2057" width="31" style="3" customWidth="1"/>
    <col min="2058" max="2058" width="24.42578125" style="3" customWidth="1"/>
    <col min="2059" max="2308" width="9.140625" style="3"/>
    <col min="2309" max="2309" width="25.85546875" style="3" customWidth="1"/>
    <col min="2310" max="2313" width="31" style="3" customWidth="1"/>
    <col min="2314" max="2314" width="24.42578125" style="3" customWidth="1"/>
    <col min="2315" max="2564" width="9.140625" style="3"/>
    <col min="2565" max="2565" width="25.85546875" style="3" customWidth="1"/>
    <col min="2566" max="2569" width="31" style="3" customWidth="1"/>
    <col min="2570" max="2570" width="24.42578125" style="3" customWidth="1"/>
    <col min="2571" max="2820" width="9.140625" style="3"/>
    <col min="2821" max="2821" width="25.85546875" style="3" customWidth="1"/>
    <col min="2822" max="2825" width="31" style="3" customWidth="1"/>
    <col min="2826" max="2826" width="24.42578125" style="3" customWidth="1"/>
    <col min="2827" max="3076" width="9.140625" style="3"/>
    <col min="3077" max="3077" width="25.85546875" style="3" customWidth="1"/>
    <col min="3078" max="3081" width="31" style="3" customWidth="1"/>
    <col min="3082" max="3082" width="24.42578125" style="3" customWidth="1"/>
    <col min="3083" max="3332" width="9.140625" style="3"/>
    <col min="3333" max="3333" width="25.85546875" style="3" customWidth="1"/>
    <col min="3334" max="3337" width="31" style="3" customWidth="1"/>
    <col min="3338" max="3338" width="24.42578125" style="3" customWidth="1"/>
    <col min="3339" max="3588" width="9.140625" style="3"/>
    <col min="3589" max="3589" width="25.85546875" style="3" customWidth="1"/>
    <col min="3590" max="3593" width="31" style="3" customWidth="1"/>
    <col min="3594" max="3594" width="24.42578125" style="3" customWidth="1"/>
    <col min="3595" max="3844" width="9.140625" style="3"/>
    <col min="3845" max="3845" width="25.85546875" style="3" customWidth="1"/>
    <col min="3846" max="3849" width="31" style="3" customWidth="1"/>
    <col min="3850" max="3850" width="24.42578125" style="3" customWidth="1"/>
    <col min="3851" max="4100" width="9.140625" style="3"/>
    <col min="4101" max="4101" width="25.85546875" style="3" customWidth="1"/>
    <col min="4102" max="4105" width="31" style="3" customWidth="1"/>
    <col min="4106" max="4106" width="24.42578125" style="3" customWidth="1"/>
    <col min="4107" max="4356" width="9.140625" style="3"/>
    <col min="4357" max="4357" width="25.85546875" style="3" customWidth="1"/>
    <col min="4358" max="4361" width="31" style="3" customWidth="1"/>
    <col min="4362" max="4362" width="24.42578125" style="3" customWidth="1"/>
    <col min="4363" max="4612" width="9.140625" style="3"/>
    <col min="4613" max="4613" width="25.85546875" style="3" customWidth="1"/>
    <col min="4614" max="4617" width="31" style="3" customWidth="1"/>
    <col min="4618" max="4618" width="24.42578125" style="3" customWidth="1"/>
    <col min="4619" max="4868" width="9.140625" style="3"/>
    <col min="4869" max="4869" width="25.85546875" style="3" customWidth="1"/>
    <col min="4870" max="4873" width="31" style="3" customWidth="1"/>
    <col min="4874" max="4874" width="24.42578125" style="3" customWidth="1"/>
    <col min="4875" max="5124" width="9.140625" style="3"/>
    <col min="5125" max="5125" width="25.85546875" style="3" customWidth="1"/>
    <col min="5126" max="5129" width="31" style="3" customWidth="1"/>
    <col min="5130" max="5130" width="24.42578125" style="3" customWidth="1"/>
    <col min="5131" max="5380" width="9.140625" style="3"/>
    <col min="5381" max="5381" width="25.85546875" style="3" customWidth="1"/>
    <col min="5382" max="5385" width="31" style="3" customWidth="1"/>
    <col min="5386" max="5386" width="24.42578125" style="3" customWidth="1"/>
    <col min="5387" max="5636" width="9.140625" style="3"/>
    <col min="5637" max="5637" width="25.85546875" style="3" customWidth="1"/>
    <col min="5638" max="5641" width="31" style="3" customWidth="1"/>
    <col min="5642" max="5642" width="24.42578125" style="3" customWidth="1"/>
    <col min="5643" max="5892" width="9.140625" style="3"/>
    <col min="5893" max="5893" width="25.85546875" style="3" customWidth="1"/>
    <col min="5894" max="5897" width="31" style="3" customWidth="1"/>
    <col min="5898" max="5898" width="24.42578125" style="3" customWidth="1"/>
    <col min="5899" max="6148" width="9.140625" style="3"/>
    <col min="6149" max="6149" width="25.85546875" style="3" customWidth="1"/>
    <col min="6150" max="6153" width="31" style="3" customWidth="1"/>
    <col min="6154" max="6154" width="24.42578125" style="3" customWidth="1"/>
    <col min="6155" max="6404" width="9.140625" style="3"/>
    <col min="6405" max="6405" width="25.85546875" style="3" customWidth="1"/>
    <col min="6406" max="6409" width="31" style="3" customWidth="1"/>
    <col min="6410" max="6410" width="24.42578125" style="3" customWidth="1"/>
    <col min="6411" max="6660" width="9.140625" style="3"/>
    <col min="6661" max="6661" width="25.85546875" style="3" customWidth="1"/>
    <col min="6662" max="6665" width="31" style="3" customWidth="1"/>
    <col min="6666" max="6666" width="24.42578125" style="3" customWidth="1"/>
    <col min="6667" max="6916" width="9.140625" style="3"/>
    <col min="6917" max="6917" width="25.85546875" style="3" customWidth="1"/>
    <col min="6918" max="6921" width="31" style="3" customWidth="1"/>
    <col min="6922" max="6922" width="24.42578125" style="3" customWidth="1"/>
    <col min="6923" max="7172" width="9.140625" style="3"/>
    <col min="7173" max="7173" width="25.85546875" style="3" customWidth="1"/>
    <col min="7174" max="7177" width="31" style="3" customWidth="1"/>
    <col min="7178" max="7178" width="24.42578125" style="3" customWidth="1"/>
    <col min="7179" max="7428" width="9.140625" style="3"/>
    <col min="7429" max="7429" width="25.85546875" style="3" customWidth="1"/>
    <col min="7430" max="7433" width="31" style="3" customWidth="1"/>
    <col min="7434" max="7434" width="24.42578125" style="3" customWidth="1"/>
    <col min="7435" max="7684" width="9.140625" style="3"/>
    <col min="7685" max="7685" width="25.85546875" style="3" customWidth="1"/>
    <col min="7686" max="7689" width="31" style="3" customWidth="1"/>
    <col min="7690" max="7690" width="24.42578125" style="3" customWidth="1"/>
    <col min="7691" max="7940" width="9.140625" style="3"/>
    <col min="7941" max="7941" width="25.85546875" style="3" customWidth="1"/>
    <col min="7942" max="7945" width="31" style="3" customWidth="1"/>
    <col min="7946" max="7946" width="24.42578125" style="3" customWidth="1"/>
    <col min="7947" max="8196" width="9.140625" style="3"/>
    <col min="8197" max="8197" width="25.85546875" style="3" customWidth="1"/>
    <col min="8198" max="8201" width="31" style="3" customWidth="1"/>
    <col min="8202" max="8202" width="24.42578125" style="3" customWidth="1"/>
    <col min="8203" max="8452" width="9.140625" style="3"/>
    <col min="8453" max="8453" width="25.85546875" style="3" customWidth="1"/>
    <col min="8454" max="8457" width="31" style="3" customWidth="1"/>
    <col min="8458" max="8458" width="24.42578125" style="3" customWidth="1"/>
    <col min="8459" max="8708" width="9.140625" style="3"/>
    <col min="8709" max="8709" width="25.85546875" style="3" customWidth="1"/>
    <col min="8710" max="8713" width="31" style="3" customWidth="1"/>
    <col min="8714" max="8714" width="24.42578125" style="3" customWidth="1"/>
    <col min="8715" max="8964" width="9.140625" style="3"/>
    <col min="8965" max="8965" width="25.85546875" style="3" customWidth="1"/>
    <col min="8966" max="8969" width="31" style="3" customWidth="1"/>
    <col min="8970" max="8970" width="24.42578125" style="3" customWidth="1"/>
    <col min="8971" max="9220" width="9.140625" style="3"/>
    <col min="9221" max="9221" width="25.85546875" style="3" customWidth="1"/>
    <col min="9222" max="9225" width="31" style="3" customWidth="1"/>
    <col min="9226" max="9226" width="24.42578125" style="3" customWidth="1"/>
    <col min="9227" max="9476" width="9.140625" style="3"/>
    <col min="9477" max="9477" width="25.85546875" style="3" customWidth="1"/>
    <col min="9478" max="9481" width="31" style="3" customWidth="1"/>
    <col min="9482" max="9482" width="24.42578125" style="3" customWidth="1"/>
    <col min="9483" max="9732" width="9.140625" style="3"/>
    <col min="9733" max="9733" width="25.85546875" style="3" customWidth="1"/>
    <col min="9734" max="9737" width="31" style="3" customWidth="1"/>
    <col min="9738" max="9738" width="24.42578125" style="3" customWidth="1"/>
    <col min="9739" max="9988" width="9.140625" style="3"/>
    <col min="9989" max="9989" width="25.85546875" style="3" customWidth="1"/>
    <col min="9990" max="9993" width="31" style="3" customWidth="1"/>
    <col min="9994" max="9994" width="24.42578125" style="3" customWidth="1"/>
    <col min="9995" max="10244" width="9.140625" style="3"/>
    <col min="10245" max="10245" width="25.85546875" style="3" customWidth="1"/>
    <col min="10246" max="10249" width="31" style="3" customWidth="1"/>
    <col min="10250" max="10250" width="24.42578125" style="3" customWidth="1"/>
    <col min="10251" max="10500" width="9.140625" style="3"/>
    <col min="10501" max="10501" width="25.85546875" style="3" customWidth="1"/>
    <col min="10502" max="10505" width="31" style="3" customWidth="1"/>
    <col min="10506" max="10506" width="24.42578125" style="3" customWidth="1"/>
    <col min="10507" max="10756" width="9.140625" style="3"/>
    <col min="10757" max="10757" width="25.85546875" style="3" customWidth="1"/>
    <col min="10758" max="10761" width="31" style="3" customWidth="1"/>
    <col min="10762" max="10762" width="24.42578125" style="3" customWidth="1"/>
    <col min="10763" max="11012" width="9.140625" style="3"/>
    <col min="11013" max="11013" width="25.85546875" style="3" customWidth="1"/>
    <col min="11014" max="11017" width="31" style="3" customWidth="1"/>
    <col min="11018" max="11018" width="24.42578125" style="3" customWidth="1"/>
    <col min="11019" max="11268" width="9.140625" style="3"/>
    <col min="11269" max="11269" width="25.85546875" style="3" customWidth="1"/>
    <col min="11270" max="11273" width="31" style="3" customWidth="1"/>
    <col min="11274" max="11274" width="24.42578125" style="3" customWidth="1"/>
    <col min="11275" max="11524" width="9.140625" style="3"/>
    <col min="11525" max="11525" width="25.85546875" style="3" customWidth="1"/>
    <col min="11526" max="11529" width="31" style="3" customWidth="1"/>
    <col min="11530" max="11530" width="24.42578125" style="3" customWidth="1"/>
    <col min="11531" max="11780" width="9.140625" style="3"/>
    <col min="11781" max="11781" width="25.85546875" style="3" customWidth="1"/>
    <col min="11782" max="11785" width="31" style="3" customWidth="1"/>
    <col min="11786" max="11786" width="24.42578125" style="3" customWidth="1"/>
    <col min="11787" max="12036" width="9.140625" style="3"/>
    <col min="12037" max="12037" width="25.85546875" style="3" customWidth="1"/>
    <col min="12038" max="12041" width="31" style="3" customWidth="1"/>
    <col min="12042" max="12042" width="24.42578125" style="3" customWidth="1"/>
    <col min="12043" max="12292" width="9.140625" style="3"/>
    <col min="12293" max="12293" width="25.85546875" style="3" customWidth="1"/>
    <col min="12294" max="12297" width="31" style="3" customWidth="1"/>
    <col min="12298" max="12298" width="24.42578125" style="3" customWidth="1"/>
    <col min="12299" max="12548" width="9.140625" style="3"/>
    <col min="12549" max="12549" width="25.85546875" style="3" customWidth="1"/>
    <col min="12550" max="12553" width="31" style="3" customWidth="1"/>
    <col min="12554" max="12554" width="24.42578125" style="3" customWidth="1"/>
    <col min="12555" max="12804" width="9.140625" style="3"/>
    <col min="12805" max="12805" width="25.85546875" style="3" customWidth="1"/>
    <col min="12806" max="12809" width="31" style="3" customWidth="1"/>
    <col min="12810" max="12810" width="24.42578125" style="3" customWidth="1"/>
    <col min="12811" max="13060" width="9.140625" style="3"/>
    <col min="13061" max="13061" width="25.85546875" style="3" customWidth="1"/>
    <col min="13062" max="13065" width="31" style="3" customWidth="1"/>
    <col min="13066" max="13066" width="24.42578125" style="3" customWidth="1"/>
    <col min="13067" max="13316" width="9.140625" style="3"/>
    <col min="13317" max="13317" width="25.85546875" style="3" customWidth="1"/>
    <col min="13318" max="13321" width="31" style="3" customWidth="1"/>
    <col min="13322" max="13322" width="24.42578125" style="3" customWidth="1"/>
    <col min="13323" max="13572" width="9.140625" style="3"/>
    <col min="13573" max="13573" width="25.85546875" style="3" customWidth="1"/>
    <col min="13574" max="13577" width="31" style="3" customWidth="1"/>
    <col min="13578" max="13578" width="24.42578125" style="3" customWidth="1"/>
    <col min="13579" max="13828" width="9.140625" style="3"/>
    <col min="13829" max="13829" width="25.85546875" style="3" customWidth="1"/>
    <col min="13830" max="13833" width="31" style="3" customWidth="1"/>
    <col min="13834" max="13834" width="24.42578125" style="3" customWidth="1"/>
    <col min="13835" max="14084" width="9.140625" style="3"/>
    <col min="14085" max="14085" width="25.85546875" style="3" customWidth="1"/>
    <col min="14086" max="14089" width="31" style="3" customWidth="1"/>
    <col min="14090" max="14090" width="24.42578125" style="3" customWidth="1"/>
    <col min="14091" max="14340" width="9.140625" style="3"/>
    <col min="14341" max="14341" width="25.85546875" style="3" customWidth="1"/>
    <col min="14342" max="14345" width="31" style="3" customWidth="1"/>
    <col min="14346" max="14346" width="24.42578125" style="3" customWidth="1"/>
    <col min="14347" max="14596" width="9.140625" style="3"/>
    <col min="14597" max="14597" width="25.85546875" style="3" customWidth="1"/>
    <col min="14598" max="14601" width="31" style="3" customWidth="1"/>
    <col min="14602" max="14602" width="24.42578125" style="3" customWidth="1"/>
    <col min="14603" max="14852" width="9.140625" style="3"/>
    <col min="14853" max="14853" width="25.85546875" style="3" customWidth="1"/>
    <col min="14854" max="14857" width="31" style="3" customWidth="1"/>
    <col min="14858" max="14858" width="24.42578125" style="3" customWidth="1"/>
    <col min="14859" max="15108" width="9.140625" style="3"/>
    <col min="15109" max="15109" width="25.85546875" style="3" customWidth="1"/>
    <col min="15110" max="15113" width="31" style="3" customWidth="1"/>
    <col min="15114" max="15114" width="24.42578125" style="3" customWidth="1"/>
    <col min="15115" max="15364" width="9.140625" style="3"/>
    <col min="15365" max="15365" width="25.85546875" style="3" customWidth="1"/>
    <col min="15366" max="15369" width="31" style="3" customWidth="1"/>
    <col min="15370" max="15370" width="24.42578125" style="3" customWidth="1"/>
    <col min="15371" max="15620" width="9.140625" style="3"/>
    <col min="15621" max="15621" width="25.85546875" style="3" customWidth="1"/>
    <col min="15622" max="15625" width="31" style="3" customWidth="1"/>
    <col min="15626" max="15626" width="24.42578125" style="3" customWidth="1"/>
    <col min="15627" max="15876" width="9.140625" style="3"/>
    <col min="15877" max="15877" width="25.85546875" style="3" customWidth="1"/>
    <col min="15878" max="15881" width="31" style="3" customWidth="1"/>
    <col min="15882" max="15882" width="24.42578125" style="3" customWidth="1"/>
    <col min="15883" max="16132" width="9.140625" style="3"/>
    <col min="16133" max="16133" width="25.85546875" style="3" customWidth="1"/>
    <col min="16134" max="16137" width="31" style="3" customWidth="1"/>
    <col min="16138" max="16138" width="24.42578125" style="3" customWidth="1"/>
    <col min="16139" max="16384" width="9.140625" style="3"/>
  </cols>
  <sheetData>
    <row r="3" spans="5:9" ht="14.25" x14ac:dyDescent="0.2">
      <c r="F3" s="10" t="s">
        <v>84</v>
      </c>
      <c r="G3" s="14" t="s">
        <v>85</v>
      </c>
      <c r="H3" s="10" t="s">
        <v>73</v>
      </c>
    </row>
    <row r="4" spans="5:9" ht="14.25" x14ac:dyDescent="0.2">
      <c r="F4" s="13" t="s">
        <v>94</v>
      </c>
      <c r="G4" s="13" t="s">
        <v>100</v>
      </c>
      <c r="H4" s="13"/>
    </row>
    <row r="5" spans="5:9" ht="28.5" x14ac:dyDescent="0.2">
      <c r="F5" s="13" t="s">
        <v>86</v>
      </c>
      <c r="G5" s="39">
        <v>1</v>
      </c>
      <c r="H5" s="13" t="s">
        <v>88</v>
      </c>
    </row>
    <row r="6" spans="5:9" ht="111" customHeight="1" x14ac:dyDescent="0.2">
      <c r="E6" s="4"/>
      <c r="F6" s="13" t="s">
        <v>10</v>
      </c>
      <c r="G6" s="39">
        <v>2</v>
      </c>
      <c r="H6" s="13" t="s">
        <v>89</v>
      </c>
      <c r="I6" s="5"/>
    </row>
    <row r="7" spans="5:9" ht="115.5" customHeight="1" x14ac:dyDescent="0.2">
      <c r="F7" s="13" t="s">
        <v>4</v>
      </c>
      <c r="G7" s="39">
        <v>3</v>
      </c>
      <c r="H7" s="13" t="s">
        <v>90</v>
      </c>
    </row>
    <row r="8" spans="5:9" ht="128.25" customHeight="1" x14ac:dyDescent="0.2">
      <c r="F8" s="13" t="s">
        <v>8</v>
      </c>
      <c r="G8" s="39">
        <v>4</v>
      </c>
      <c r="H8" s="13" t="s">
        <v>91</v>
      </c>
    </row>
    <row r="9" spans="5:9" ht="28.5" x14ac:dyDescent="0.2">
      <c r="F9" s="13" t="s">
        <v>201</v>
      </c>
      <c r="G9" s="39">
        <v>5</v>
      </c>
      <c r="H9" s="13" t="s">
        <v>92</v>
      </c>
    </row>
    <row r="11" spans="5:9" ht="50.25" customHeight="1" x14ac:dyDescent="0.2">
      <c r="F11" s="147"/>
      <c r="G11" s="147"/>
      <c r="H11" s="147"/>
    </row>
    <row r="13" spans="5:9" ht="15" x14ac:dyDescent="0.25">
      <c r="F13"/>
    </row>
    <row r="15" spans="5:9" ht="14.25" x14ac:dyDescent="0.2">
      <c r="F15" s="10" t="s">
        <v>82</v>
      </c>
      <c r="G15" s="10" t="s">
        <v>83</v>
      </c>
      <c r="H15" s="10" t="s">
        <v>73</v>
      </c>
    </row>
    <row r="16" spans="5:9" ht="14.25" x14ac:dyDescent="0.2">
      <c r="F16" s="13" t="s">
        <v>74</v>
      </c>
      <c r="G16" s="13" t="s">
        <v>100</v>
      </c>
      <c r="H16" s="13"/>
    </row>
    <row r="17" spans="6:9" ht="14.25" x14ac:dyDescent="0.2">
      <c r="F17" s="13" t="s">
        <v>7</v>
      </c>
      <c r="G17" s="39">
        <v>1</v>
      </c>
      <c r="H17" s="13" t="s">
        <v>81</v>
      </c>
    </row>
    <row r="18" spans="6:9" ht="14.25" x14ac:dyDescent="0.2">
      <c r="F18" s="13" t="s">
        <v>6</v>
      </c>
      <c r="G18" s="39">
        <v>2</v>
      </c>
      <c r="H18" s="13" t="s">
        <v>80</v>
      </c>
    </row>
    <row r="19" spans="6:9" ht="14.25" x14ac:dyDescent="0.2">
      <c r="F19" s="13" t="s">
        <v>78</v>
      </c>
      <c r="G19" s="39">
        <v>3</v>
      </c>
      <c r="H19" s="13" t="s">
        <v>79</v>
      </c>
    </row>
    <row r="20" spans="6:9" ht="14.25" x14ac:dyDescent="0.2">
      <c r="F20" s="13" t="s">
        <v>5</v>
      </c>
      <c r="G20" s="39">
        <v>4</v>
      </c>
      <c r="H20" s="13" t="s">
        <v>77</v>
      </c>
    </row>
    <row r="21" spans="6:9" ht="14.25" x14ac:dyDescent="0.2">
      <c r="F21" s="13" t="s">
        <v>202</v>
      </c>
      <c r="G21" s="39">
        <v>5</v>
      </c>
      <c r="H21" s="13" t="s">
        <v>76</v>
      </c>
    </row>
    <row r="24" spans="6:9" ht="44.25" customHeight="1" x14ac:dyDescent="0.2">
      <c r="F24" s="147"/>
      <c r="G24" s="147"/>
      <c r="H24" s="147"/>
    </row>
    <row r="28" spans="6:9" x14ac:dyDescent="0.2">
      <c r="F28" s="148"/>
      <c r="G28" s="148"/>
    </row>
    <row r="29" spans="6:9" ht="14.25" x14ac:dyDescent="0.2">
      <c r="F29" s="10" t="s">
        <v>98</v>
      </c>
      <c r="G29" s="10" t="s">
        <v>99</v>
      </c>
      <c r="H29" s="96" t="s">
        <v>291</v>
      </c>
    </row>
    <row r="30" spans="6:9" ht="14.25" x14ac:dyDescent="0.2">
      <c r="F30" s="92">
        <v>1</v>
      </c>
      <c r="G30" s="92" t="s">
        <v>10</v>
      </c>
      <c r="H30" s="144" t="s">
        <v>292</v>
      </c>
    </row>
    <row r="31" spans="6:9" ht="15" x14ac:dyDescent="0.2">
      <c r="F31" s="92">
        <v>2</v>
      </c>
      <c r="G31" s="92" t="s">
        <v>10</v>
      </c>
      <c r="H31" s="145"/>
      <c r="I31" s="11"/>
    </row>
    <row r="32" spans="6:9" ht="15" x14ac:dyDescent="0.2">
      <c r="F32" s="92">
        <v>3</v>
      </c>
      <c r="G32" s="92" t="s">
        <v>10</v>
      </c>
      <c r="H32" s="145"/>
      <c r="I32" s="11"/>
    </row>
    <row r="33" spans="6:9" ht="15" x14ac:dyDescent="0.2">
      <c r="F33" s="92">
        <v>4</v>
      </c>
      <c r="G33" s="92" t="s">
        <v>10</v>
      </c>
      <c r="H33" s="146"/>
      <c r="I33" s="11"/>
    </row>
    <row r="34" spans="6:9" ht="30" customHeight="1" x14ac:dyDescent="0.2">
      <c r="F34" s="93">
        <v>5</v>
      </c>
      <c r="G34" s="93" t="s">
        <v>9</v>
      </c>
      <c r="H34" s="141" t="s">
        <v>293</v>
      </c>
      <c r="I34" s="11"/>
    </row>
    <row r="35" spans="6:9" ht="15" x14ac:dyDescent="0.2">
      <c r="F35" s="93">
        <v>6</v>
      </c>
      <c r="G35" s="93" t="s">
        <v>9</v>
      </c>
      <c r="H35" s="142"/>
      <c r="I35" s="11"/>
    </row>
    <row r="36" spans="6:9" ht="15" x14ac:dyDescent="0.2">
      <c r="F36" s="93">
        <v>7</v>
      </c>
      <c r="G36" s="93" t="s">
        <v>9</v>
      </c>
      <c r="H36" s="142"/>
      <c r="I36" s="11"/>
    </row>
    <row r="37" spans="6:9" ht="15" x14ac:dyDescent="0.2">
      <c r="F37" s="93">
        <v>8</v>
      </c>
      <c r="G37" s="93" t="s">
        <v>9</v>
      </c>
      <c r="H37" s="142"/>
      <c r="I37" s="11"/>
    </row>
    <row r="38" spans="6:9" ht="15" x14ac:dyDescent="0.2">
      <c r="F38" s="93">
        <v>9</v>
      </c>
      <c r="G38" s="93" t="s">
        <v>9</v>
      </c>
      <c r="H38" s="143"/>
      <c r="I38" s="11"/>
    </row>
    <row r="39" spans="6:9" ht="15" x14ac:dyDescent="0.2">
      <c r="F39" s="95">
        <v>10</v>
      </c>
      <c r="G39" s="95" t="s">
        <v>8</v>
      </c>
      <c r="H39" s="141" t="s">
        <v>294</v>
      </c>
      <c r="I39" s="11"/>
    </row>
    <row r="40" spans="6:9" ht="15" x14ac:dyDescent="0.2">
      <c r="F40" s="95">
        <v>11</v>
      </c>
      <c r="G40" s="95" t="s">
        <v>8</v>
      </c>
      <c r="H40" s="142"/>
      <c r="I40" s="11"/>
    </row>
    <row r="41" spans="6:9" ht="14.25" x14ac:dyDescent="0.2">
      <c r="F41" s="95">
        <v>12</v>
      </c>
      <c r="G41" s="95" t="s">
        <v>8</v>
      </c>
      <c r="H41" s="142"/>
    </row>
    <row r="42" spans="6:9" ht="14.25" x14ac:dyDescent="0.2">
      <c r="F42" s="95">
        <v>13</v>
      </c>
      <c r="G42" s="95" t="s">
        <v>8</v>
      </c>
      <c r="H42" s="142"/>
    </row>
    <row r="43" spans="6:9" ht="14.25" x14ac:dyDescent="0.2">
      <c r="F43" s="95">
        <v>14</v>
      </c>
      <c r="G43" s="95" t="s">
        <v>8</v>
      </c>
      <c r="H43" s="143"/>
    </row>
    <row r="44" spans="6:9" x14ac:dyDescent="0.2">
      <c r="F44" s="94">
        <v>15</v>
      </c>
      <c r="G44" s="94" t="s">
        <v>87</v>
      </c>
      <c r="H44" s="144" t="s">
        <v>295</v>
      </c>
    </row>
    <row r="45" spans="6:9" x14ac:dyDescent="0.2">
      <c r="F45" s="94">
        <v>16</v>
      </c>
      <c r="G45" s="94" t="s">
        <v>87</v>
      </c>
      <c r="H45" s="145"/>
    </row>
    <row r="46" spans="6:9" x14ac:dyDescent="0.2">
      <c r="F46" s="94">
        <v>17</v>
      </c>
      <c r="G46" s="94" t="s">
        <v>87</v>
      </c>
      <c r="H46" s="145"/>
    </row>
    <row r="47" spans="6:9" x14ac:dyDescent="0.2">
      <c r="F47" s="94">
        <v>18</v>
      </c>
      <c r="G47" s="94" t="s">
        <v>87</v>
      </c>
      <c r="H47" s="145"/>
    </row>
    <row r="48" spans="6:9" x14ac:dyDescent="0.2">
      <c r="F48" s="94">
        <v>19</v>
      </c>
      <c r="G48" s="94" t="s">
        <v>87</v>
      </c>
      <c r="H48" s="145"/>
    </row>
    <row r="49" spans="6:8" x14ac:dyDescent="0.2">
      <c r="F49" s="94">
        <v>20</v>
      </c>
      <c r="G49" s="94" t="s">
        <v>87</v>
      </c>
      <c r="H49" s="145"/>
    </row>
    <row r="50" spans="6:8" x14ac:dyDescent="0.2">
      <c r="F50" s="94">
        <v>21</v>
      </c>
      <c r="G50" s="94" t="s">
        <v>87</v>
      </c>
      <c r="H50" s="145"/>
    </row>
    <row r="51" spans="6:8" x14ac:dyDescent="0.2">
      <c r="F51" s="94">
        <v>22</v>
      </c>
      <c r="G51" s="94" t="s">
        <v>87</v>
      </c>
      <c r="H51" s="145"/>
    </row>
    <row r="52" spans="6:8" x14ac:dyDescent="0.2">
      <c r="F52" s="94">
        <v>23</v>
      </c>
      <c r="G52" s="94" t="s">
        <v>87</v>
      </c>
      <c r="H52" s="145"/>
    </row>
    <row r="53" spans="6:8" x14ac:dyDescent="0.2">
      <c r="F53" s="94">
        <v>24</v>
      </c>
      <c r="G53" s="94" t="s">
        <v>87</v>
      </c>
      <c r="H53" s="145"/>
    </row>
    <row r="54" spans="6:8" x14ac:dyDescent="0.2">
      <c r="F54" s="94">
        <v>25</v>
      </c>
      <c r="G54" s="94" t="s">
        <v>87</v>
      </c>
      <c r="H54" s="146"/>
    </row>
  </sheetData>
  <mergeCells count="7">
    <mergeCell ref="H39:H43"/>
    <mergeCell ref="H44:H54"/>
    <mergeCell ref="F24:H24"/>
    <mergeCell ref="F11:H11"/>
    <mergeCell ref="F28:G28"/>
    <mergeCell ref="H30:H33"/>
    <mergeCell ref="H34:H38"/>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2CB67-4E0D-43B8-9947-BC48ABB27053}">
  <dimension ref="C1:D60"/>
  <sheetViews>
    <sheetView showGridLines="0" tabSelected="1" topLeftCell="A28" workbookViewId="0">
      <selection activeCell="D44" sqref="D44"/>
    </sheetView>
  </sheetViews>
  <sheetFormatPr defaultColWidth="9.140625" defaultRowHeight="14.25" x14ac:dyDescent="0.25"/>
  <cols>
    <col min="1" max="2" width="9.140625" style="2"/>
    <col min="3" max="3" width="40.7109375" style="2" customWidth="1"/>
    <col min="4" max="4" width="79" style="2" customWidth="1"/>
    <col min="5" max="5" width="10.42578125" style="2" bestFit="1" customWidth="1"/>
    <col min="6" max="16384" width="9.140625" style="2"/>
  </cols>
  <sheetData>
    <row r="1" spans="3:3" x14ac:dyDescent="0.25">
      <c r="C1" s="10" t="s">
        <v>16</v>
      </c>
    </row>
    <row r="2" spans="3:3" x14ac:dyDescent="0.25">
      <c r="C2" s="13" t="s">
        <v>93</v>
      </c>
    </row>
    <row r="3" spans="3:3" x14ac:dyDescent="0.25">
      <c r="C3" s="8" t="s">
        <v>12</v>
      </c>
    </row>
    <row r="4" spans="3:3" x14ac:dyDescent="0.25">
      <c r="C4" s="8" t="s">
        <v>17</v>
      </c>
    </row>
    <row r="5" spans="3:3" x14ac:dyDescent="0.25">
      <c r="C5" s="8" t="s">
        <v>19</v>
      </c>
    </row>
    <row r="6" spans="3:3" x14ac:dyDescent="0.25">
      <c r="C6" s="8" t="s">
        <v>18</v>
      </c>
    </row>
    <row r="11" spans="3:3" x14ac:dyDescent="0.25">
      <c r="C11" s="10" t="s">
        <v>13</v>
      </c>
    </row>
    <row r="12" spans="3:3" x14ac:dyDescent="0.25">
      <c r="C12" s="13" t="s">
        <v>95</v>
      </c>
    </row>
    <row r="13" spans="3:3" x14ac:dyDescent="0.25">
      <c r="C13" s="8" t="s">
        <v>14</v>
      </c>
    </row>
    <row r="14" spans="3:3" x14ac:dyDescent="0.25">
      <c r="C14" s="8" t="s">
        <v>107</v>
      </c>
    </row>
    <row r="15" spans="3:3" x14ac:dyDescent="0.25">
      <c r="C15" s="8" t="s">
        <v>15</v>
      </c>
    </row>
    <row r="18" spans="3:4" x14ac:dyDescent="0.25">
      <c r="C18" s="10" t="s">
        <v>135</v>
      </c>
    </row>
    <row r="19" spans="3:4" x14ac:dyDescent="0.25">
      <c r="C19" s="13" t="s">
        <v>136</v>
      </c>
    </row>
    <row r="20" spans="3:4" ht="15" x14ac:dyDescent="0.25">
      <c r="C20" s="40" t="s">
        <v>125</v>
      </c>
    </row>
    <row r="21" spans="3:4" x14ac:dyDescent="0.25">
      <c r="C21" s="8" t="s">
        <v>107</v>
      </c>
    </row>
    <row r="22" spans="3:4" ht="15" x14ac:dyDescent="0.25">
      <c r="C22" s="40" t="s">
        <v>124</v>
      </c>
    </row>
    <row r="23" spans="3:4" x14ac:dyDescent="0.25">
      <c r="C23" s="8" t="s">
        <v>15</v>
      </c>
    </row>
    <row r="27" spans="3:4" x14ac:dyDescent="0.25">
      <c r="C27" s="10" t="s">
        <v>3</v>
      </c>
      <c r="D27" s="10" t="s">
        <v>56</v>
      </c>
    </row>
    <row r="28" spans="3:4" x14ac:dyDescent="0.25">
      <c r="C28" s="13" t="s">
        <v>72</v>
      </c>
      <c r="D28" s="12"/>
    </row>
    <row r="29" spans="3:4" ht="28.5" x14ac:dyDescent="0.25">
      <c r="C29" s="12" t="s">
        <v>50</v>
      </c>
      <c r="D29" s="12" t="s">
        <v>36</v>
      </c>
    </row>
    <row r="30" spans="3:4" ht="28.5" x14ac:dyDescent="0.25">
      <c r="C30" s="12" t="s">
        <v>49</v>
      </c>
      <c r="D30" s="12" t="s">
        <v>37</v>
      </c>
    </row>
    <row r="31" spans="3:4" ht="28.5" x14ac:dyDescent="0.25">
      <c r="C31" s="12" t="s">
        <v>38</v>
      </c>
      <c r="D31" s="12" t="s">
        <v>39</v>
      </c>
    </row>
    <row r="32" spans="3:4" ht="28.5" x14ac:dyDescent="0.25">
      <c r="C32" s="12" t="s">
        <v>47</v>
      </c>
      <c r="D32" s="12" t="s">
        <v>40</v>
      </c>
    </row>
    <row r="33" spans="3:4" ht="28.5" x14ac:dyDescent="0.25">
      <c r="C33" s="12" t="s">
        <v>51</v>
      </c>
      <c r="D33" s="12" t="s">
        <v>48</v>
      </c>
    </row>
    <row r="34" spans="3:4" ht="28.5" x14ac:dyDescent="0.25">
      <c r="C34" s="12" t="s">
        <v>54</v>
      </c>
      <c r="D34" s="12" t="s">
        <v>41</v>
      </c>
    </row>
    <row r="35" spans="3:4" ht="28.5" x14ac:dyDescent="0.25">
      <c r="C35" s="12" t="s">
        <v>52</v>
      </c>
      <c r="D35" s="12" t="s">
        <v>42</v>
      </c>
    </row>
    <row r="36" spans="3:4" ht="28.5" x14ac:dyDescent="0.25">
      <c r="C36" s="12" t="s">
        <v>53</v>
      </c>
      <c r="D36" s="12" t="s">
        <v>43</v>
      </c>
    </row>
    <row r="37" spans="3:4" ht="28.5" x14ac:dyDescent="0.25">
      <c r="C37" s="12" t="s">
        <v>44</v>
      </c>
      <c r="D37" s="12" t="s">
        <v>45</v>
      </c>
    </row>
    <row r="38" spans="3:4" ht="28.5" x14ac:dyDescent="0.25">
      <c r="C38" s="12" t="s">
        <v>55</v>
      </c>
      <c r="D38" s="12" t="s">
        <v>46</v>
      </c>
    </row>
    <row r="40" spans="3:4" ht="39.75" customHeight="1" x14ac:dyDescent="0.25">
      <c r="C40" s="147"/>
      <c r="D40" s="147"/>
    </row>
    <row r="43" spans="3:4" x14ac:dyDescent="0.25">
      <c r="C43" s="10" t="s">
        <v>30</v>
      </c>
    </row>
    <row r="44" spans="3:4" x14ac:dyDescent="0.25">
      <c r="C44" s="13" t="s">
        <v>71</v>
      </c>
    </row>
    <row r="45" spans="3:4" x14ac:dyDescent="0.25">
      <c r="C45" s="12" t="s">
        <v>68</v>
      </c>
    </row>
    <row r="46" spans="3:4" x14ac:dyDescent="0.25">
      <c r="C46" s="12" t="s">
        <v>64</v>
      </c>
    </row>
    <row r="47" spans="3:4" x14ac:dyDescent="0.25">
      <c r="C47" s="12" t="s">
        <v>58</v>
      </c>
    </row>
    <row r="48" spans="3:4" x14ac:dyDescent="0.25">
      <c r="C48" s="12" t="s">
        <v>57</v>
      </c>
    </row>
    <row r="49" spans="3:4" x14ac:dyDescent="0.25">
      <c r="C49" s="12" t="s">
        <v>61</v>
      </c>
    </row>
    <row r="50" spans="3:4" x14ac:dyDescent="0.25">
      <c r="C50" s="12" t="s">
        <v>67</v>
      </c>
    </row>
    <row r="51" spans="3:4" x14ac:dyDescent="0.25">
      <c r="C51" s="12" t="s">
        <v>65</v>
      </c>
    </row>
    <row r="52" spans="3:4" x14ac:dyDescent="0.25">
      <c r="C52" s="12" t="s">
        <v>59</v>
      </c>
    </row>
    <row r="53" spans="3:4" x14ac:dyDescent="0.25">
      <c r="C53" s="12" t="s">
        <v>62</v>
      </c>
    </row>
    <row r="54" spans="3:4" x14ac:dyDescent="0.25">
      <c r="C54" s="12" t="s">
        <v>66</v>
      </c>
    </row>
    <row r="55" spans="3:4" x14ac:dyDescent="0.25">
      <c r="C55" s="12" t="s">
        <v>70</v>
      </c>
    </row>
    <row r="56" spans="3:4" x14ac:dyDescent="0.25">
      <c r="C56" s="12" t="s">
        <v>63</v>
      </c>
    </row>
    <row r="57" spans="3:4" x14ac:dyDescent="0.25">
      <c r="C57" s="12" t="s">
        <v>69</v>
      </c>
    </row>
    <row r="58" spans="3:4" x14ac:dyDescent="0.25">
      <c r="C58" s="12" t="s">
        <v>60</v>
      </c>
    </row>
    <row r="60" spans="3:4" x14ac:dyDescent="0.25">
      <c r="C60" s="147"/>
      <c r="D60" s="147"/>
    </row>
  </sheetData>
  <sortState xmlns:xlrd2="http://schemas.microsoft.com/office/spreadsheetml/2017/richdata2" ref="C44:C58">
    <sortCondition ref="C44:C58"/>
  </sortState>
  <mergeCells count="2">
    <mergeCell ref="C40:D40"/>
    <mergeCell ref="C60:D60"/>
  </mergeCells>
  <phoneticPr fontId="15"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94E9E-D8FE-429F-891D-AADA7A0C4C06}">
  <dimension ref="A1:P36"/>
  <sheetViews>
    <sheetView workbookViewId="0">
      <selection activeCell="D22" sqref="D22"/>
    </sheetView>
  </sheetViews>
  <sheetFormatPr defaultRowHeight="15" x14ac:dyDescent="0.25"/>
  <cols>
    <col min="2" max="2" width="32.85546875" customWidth="1"/>
    <col min="3" max="3" width="23.5703125" customWidth="1"/>
    <col min="4" max="4" width="20" customWidth="1"/>
    <col min="8" max="8" width="10.5703125" customWidth="1"/>
    <col min="9" max="9" width="9.85546875" customWidth="1"/>
    <col min="13" max="13" width="9.140625" customWidth="1"/>
  </cols>
  <sheetData>
    <row r="1" spans="1:16" ht="15" customHeight="1" x14ac:dyDescent="0.6">
      <c r="B1" s="149" t="s">
        <v>137</v>
      </c>
      <c r="C1" s="149"/>
      <c r="D1" s="149"/>
      <c r="F1" s="71"/>
      <c r="G1" s="71"/>
      <c r="H1" s="71"/>
      <c r="I1" s="71"/>
      <c r="J1" s="71"/>
      <c r="K1" s="71"/>
      <c r="L1" s="71"/>
      <c r="M1" s="71"/>
      <c r="N1" s="71"/>
      <c r="O1" s="71"/>
      <c r="P1" s="71"/>
    </row>
    <row r="2" spans="1:16" ht="15" customHeight="1" x14ac:dyDescent="0.6">
      <c r="B2" s="149"/>
      <c r="C2" s="149"/>
      <c r="D2" s="149"/>
      <c r="F2" s="71"/>
      <c r="G2" s="71"/>
      <c r="H2" s="71"/>
      <c r="I2" s="71"/>
      <c r="J2" s="71"/>
      <c r="K2" s="71"/>
      <c r="L2" s="71"/>
      <c r="M2" s="71"/>
      <c r="N2" s="71"/>
      <c r="O2" s="71"/>
      <c r="P2" s="71"/>
    </row>
    <row r="3" spans="1:16" ht="15" customHeight="1" x14ac:dyDescent="0.6">
      <c r="B3" s="149"/>
      <c r="C3" s="149"/>
      <c r="D3" s="149"/>
      <c r="F3" s="71"/>
      <c r="G3" s="71"/>
      <c r="H3" s="71"/>
      <c r="I3" s="71"/>
      <c r="J3" s="71"/>
      <c r="K3" s="71"/>
      <c r="L3" s="71"/>
      <c r="M3" s="71"/>
      <c r="N3" s="71"/>
      <c r="O3" s="71"/>
      <c r="P3" s="71"/>
    </row>
    <row r="4" spans="1:16" ht="15.75" thickBot="1" x14ac:dyDescent="0.3"/>
    <row r="5" spans="1:16" s="72" customFormat="1" x14ac:dyDescent="0.25">
      <c r="A5" s="154" t="s">
        <v>138</v>
      </c>
      <c r="B5" s="154" t="s">
        <v>139</v>
      </c>
      <c r="C5" s="152" t="s">
        <v>140</v>
      </c>
      <c r="D5" s="150" t="s">
        <v>141</v>
      </c>
    </row>
    <row r="6" spans="1:16" s="72" customFormat="1" ht="15.75" thickBot="1" x14ac:dyDescent="0.3">
      <c r="A6" s="155"/>
      <c r="B6" s="155"/>
      <c r="C6" s="153"/>
      <c r="D6" s="151"/>
    </row>
    <row r="7" spans="1:16" x14ac:dyDescent="0.25">
      <c r="A7" s="23" t="s">
        <v>159</v>
      </c>
      <c r="B7" s="26" t="s">
        <v>142</v>
      </c>
      <c r="C7" s="26" t="s">
        <v>173</v>
      </c>
      <c r="D7" s="74" t="s">
        <v>156</v>
      </c>
    </row>
    <row r="8" spans="1:16" x14ac:dyDescent="0.25">
      <c r="A8" s="23" t="s">
        <v>160</v>
      </c>
      <c r="B8" s="26" t="s">
        <v>143</v>
      </c>
      <c r="C8" s="26" t="s">
        <v>174</v>
      </c>
      <c r="D8" s="26" t="s">
        <v>157</v>
      </c>
    </row>
    <row r="9" spans="1:16" x14ac:dyDescent="0.25">
      <c r="A9" s="23" t="s">
        <v>161</v>
      </c>
      <c r="B9" s="26" t="s">
        <v>144</v>
      </c>
      <c r="C9" s="26" t="s">
        <v>175</v>
      </c>
      <c r="D9" s="26" t="s">
        <v>157</v>
      </c>
    </row>
    <row r="10" spans="1:16" x14ac:dyDescent="0.25">
      <c r="A10" s="23" t="s">
        <v>162</v>
      </c>
      <c r="B10" s="26" t="s">
        <v>145</v>
      </c>
      <c r="C10" s="26" t="s">
        <v>176</v>
      </c>
      <c r="D10" s="26" t="s">
        <v>297</v>
      </c>
    </row>
    <row r="11" spans="1:16" x14ac:dyDescent="0.25">
      <c r="A11" s="23" t="s">
        <v>163</v>
      </c>
      <c r="B11" s="26" t="s">
        <v>146</v>
      </c>
      <c r="C11" s="26" t="s">
        <v>177</v>
      </c>
      <c r="D11" s="26" t="s">
        <v>157</v>
      </c>
    </row>
    <row r="12" spans="1:16" x14ac:dyDescent="0.25">
      <c r="A12" s="23" t="s">
        <v>164</v>
      </c>
      <c r="B12" s="26" t="s">
        <v>147</v>
      </c>
      <c r="C12" s="26" t="s">
        <v>173</v>
      </c>
      <c r="D12" s="26" t="s">
        <v>156</v>
      </c>
    </row>
    <row r="13" spans="1:16" x14ac:dyDescent="0.25">
      <c r="A13" s="23" t="s">
        <v>165</v>
      </c>
      <c r="B13" s="26" t="s">
        <v>148</v>
      </c>
      <c r="C13" s="26" t="s">
        <v>178</v>
      </c>
      <c r="D13" s="26" t="s">
        <v>157</v>
      </c>
    </row>
    <row r="14" spans="1:16" x14ac:dyDescent="0.25">
      <c r="A14" s="23" t="s">
        <v>166</v>
      </c>
      <c r="B14" s="26" t="s">
        <v>149</v>
      </c>
      <c r="C14" s="26" t="s">
        <v>173</v>
      </c>
      <c r="D14" s="26" t="s">
        <v>158</v>
      </c>
    </row>
    <row r="15" spans="1:16" x14ac:dyDescent="0.25">
      <c r="A15" s="23" t="s">
        <v>167</v>
      </c>
      <c r="B15" s="26" t="s">
        <v>150</v>
      </c>
      <c r="C15" s="26" t="s">
        <v>173</v>
      </c>
      <c r="D15" s="26" t="s">
        <v>158</v>
      </c>
    </row>
    <row r="16" spans="1:16" x14ac:dyDescent="0.25">
      <c r="A16" s="23" t="s">
        <v>168</v>
      </c>
      <c r="B16" s="26" t="s">
        <v>151</v>
      </c>
      <c r="C16" s="26" t="s">
        <v>173</v>
      </c>
      <c r="D16" s="26" t="s">
        <v>158</v>
      </c>
    </row>
    <row r="17" spans="1:4" x14ac:dyDescent="0.25">
      <c r="A17" s="23" t="s">
        <v>169</v>
      </c>
      <c r="B17" s="26" t="s">
        <v>152</v>
      </c>
      <c r="C17" s="26" t="s">
        <v>173</v>
      </c>
      <c r="D17" s="26" t="s">
        <v>158</v>
      </c>
    </row>
    <row r="18" spans="1:4" x14ac:dyDescent="0.25">
      <c r="A18" s="23" t="s">
        <v>170</v>
      </c>
      <c r="B18" s="26" t="s">
        <v>153</v>
      </c>
      <c r="C18" s="26" t="s">
        <v>179</v>
      </c>
      <c r="D18" s="26" t="s">
        <v>158</v>
      </c>
    </row>
    <row r="19" spans="1:4" x14ac:dyDescent="0.25">
      <c r="A19" s="23" t="s">
        <v>171</v>
      </c>
      <c r="B19" s="26" t="s">
        <v>154</v>
      </c>
      <c r="C19" s="26" t="s">
        <v>173</v>
      </c>
      <c r="D19" s="26" t="s">
        <v>157</v>
      </c>
    </row>
    <row r="20" spans="1:4" x14ac:dyDescent="0.25">
      <c r="A20" s="23" t="s">
        <v>172</v>
      </c>
      <c r="B20" s="26" t="s">
        <v>155</v>
      </c>
      <c r="C20" s="26" t="s">
        <v>174</v>
      </c>
      <c r="D20" s="26" t="s">
        <v>157</v>
      </c>
    </row>
    <row r="21" spans="1:4" x14ac:dyDescent="0.25">
      <c r="A21" s="23" t="s">
        <v>180</v>
      </c>
      <c r="B21" s="26" t="s">
        <v>181</v>
      </c>
      <c r="C21" s="26" t="s">
        <v>182</v>
      </c>
      <c r="D21" s="26" t="s">
        <v>158</v>
      </c>
    </row>
    <row r="22" spans="1:4" x14ac:dyDescent="0.25">
      <c r="A22" s="23" t="s">
        <v>198</v>
      </c>
      <c r="B22" s="26" t="s">
        <v>199</v>
      </c>
      <c r="C22" s="26" t="s">
        <v>173</v>
      </c>
      <c r="D22" s="26" t="s">
        <v>157</v>
      </c>
    </row>
    <row r="23" spans="1:4" x14ac:dyDescent="0.25">
      <c r="A23" s="23"/>
      <c r="B23" s="26"/>
      <c r="C23" s="26"/>
      <c r="D23" s="26"/>
    </row>
    <row r="24" spans="1:4" x14ac:dyDescent="0.25">
      <c r="A24" s="23"/>
      <c r="B24" s="26"/>
      <c r="C24" s="26"/>
      <c r="D24" s="26"/>
    </row>
    <row r="25" spans="1:4" x14ac:dyDescent="0.25">
      <c r="A25" s="23"/>
      <c r="B25" s="26"/>
      <c r="C25" s="26"/>
      <c r="D25" s="26"/>
    </row>
    <row r="26" spans="1:4" x14ac:dyDescent="0.25">
      <c r="A26" s="23"/>
      <c r="B26" s="26"/>
      <c r="C26" s="26"/>
      <c r="D26" s="26"/>
    </row>
    <row r="27" spans="1:4" x14ac:dyDescent="0.25">
      <c r="A27" s="23"/>
      <c r="B27" s="26"/>
      <c r="C27" s="26"/>
      <c r="D27" s="26"/>
    </row>
    <row r="28" spans="1:4" x14ac:dyDescent="0.25">
      <c r="A28" s="23"/>
      <c r="B28" s="26"/>
      <c r="C28" s="26"/>
      <c r="D28" s="26"/>
    </row>
    <row r="29" spans="1:4" x14ac:dyDescent="0.25">
      <c r="A29" s="23"/>
      <c r="B29" s="26"/>
      <c r="C29" s="26"/>
      <c r="D29" s="26"/>
    </row>
    <row r="30" spans="1:4" x14ac:dyDescent="0.25">
      <c r="A30" s="23"/>
      <c r="B30" s="26"/>
      <c r="C30" s="26"/>
      <c r="D30" s="26"/>
    </row>
    <row r="31" spans="1:4" x14ac:dyDescent="0.25">
      <c r="A31" s="23"/>
      <c r="B31" s="26"/>
      <c r="C31" s="26"/>
      <c r="D31" s="26"/>
    </row>
    <row r="32" spans="1:4" x14ac:dyDescent="0.25">
      <c r="A32" s="23"/>
      <c r="B32" s="26"/>
      <c r="C32" s="26"/>
      <c r="D32" s="26"/>
    </row>
    <row r="33" spans="1:4" x14ac:dyDescent="0.25">
      <c r="A33" s="23"/>
      <c r="B33" s="26"/>
      <c r="C33" s="26"/>
      <c r="D33" s="26"/>
    </row>
    <row r="34" spans="1:4" x14ac:dyDescent="0.25">
      <c r="A34" s="23"/>
      <c r="B34" s="26"/>
      <c r="C34" s="26"/>
      <c r="D34" s="26"/>
    </row>
    <row r="35" spans="1:4" x14ac:dyDescent="0.25">
      <c r="A35" s="23"/>
      <c r="B35" s="26"/>
      <c r="C35" s="26"/>
      <c r="D35" s="26"/>
    </row>
    <row r="36" spans="1:4" x14ac:dyDescent="0.25">
      <c r="A36" s="24"/>
    </row>
  </sheetData>
  <mergeCells count="5">
    <mergeCell ref="B1:D3"/>
    <mergeCell ref="D5:D6"/>
    <mergeCell ref="C5:C6"/>
    <mergeCell ref="A5:A6"/>
    <mergeCell ref="B5:B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BF7D6-7F02-40BF-9A88-8281863DBF30}">
  <dimension ref="A1"/>
  <sheetViews>
    <sheetView workbookViewId="0">
      <selection activeCell="D10" sqref="D10"/>
    </sheetView>
  </sheetViews>
  <sheetFormatPr defaultRowHeight="15" x14ac:dyDescent="0.25"/>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Props1.xml><?xml version="1.0" encoding="utf-8"?>
<ds:datastoreItem xmlns:ds="http://schemas.openxmlformats.org/officeDocument/2006/customXml" ds:itemID="{D3E64365-B583-4B08-8144-F6DA392804EE}">
  <ds:schemaRefs/>
</ds:datastoreItem>
</file>

<file path=customXml/itemProps2.xml><?xml version="1.0" encoding="utf-8"?>
<ds:datastoreItem xmlns:ds="http://schemas.openxmlformats.org/officeDocument/2006/customXml" ds:itemID="{05C87705-9867-479B-8F12-E325B4CD01A8}">
  <ds:schemaRefs/>
</ds:datastoreItem>
</file>

<file path=customXml/itemProps3.xml><?xml version="1.0" encoding="utf-8"?>
<ds:datastoreItem xmlns:ds="http://schemas.openxmlformats.org/officeDocument/2006/customXml" ds:itemID="{53495C9A-BE17-4CC6-A51E-DAB72560E273}">
  <ds:schemaRefs/>
</ds:datastoreItem>
</file>

<file path=customXml/itemProps4.xml><?xml version="1.0" encoding="utf-8"?>
<ds:datastoreItem xmlns:ds="http://schemas.openxmlformats.org/officeDocument/2006/customXml" ds:itemID="{955EEE1E-85BF-42C7-9554-29F2BBEC77EE}">
  <ds:schemaRefs/>
</ds:datastoreItem>
</file>

<file path=customXml/itemProps5.xml><?xml version="1.0" encoding="utf-8"?>
<ds:datastoreItem xmlns:ds="http://schemas.openxmlformats.org/officeDocument/2006/customXml" ds:itemID="{AB31964D-9378-427C-AE7A-40E10176368E}">
  <ds:schemaRefs>
    <ds:schemaRef ds:uri="http://schemas.microsoft.com/DataMashup"/>
  </ds:schemaRefs>
</ds:datastoreItem>
</file>

<file path=customXml/itemProps6.xml><?xml version="1.0" encoding="utf-8"?>
<ds:datastoreItem xmlns:ds="http://schemas.openxmlformats.org/officeDocument/2006/customXml" ds:itemID="{7965482F-04FB-41E8-A929-861DB0D7E539}">
  <ds:schemaRefs/>
</ds:datastoreItem>
</file>

<file path=customXml/itemProps7.xml><?xml version="1.0" encoding="utf-8"?>
<ds:datastoreItem xmlns:ds="http://schemas.openxmlformats.org/officeDocument/2006/customXml" ds:itemID="{92CE7B0B-7A4F-4489-87B7-DD0279EA3520}">
  <ds:schemaRefs/>
</ds:datastoreItem>
</file>

<file path=customXml/itemProps8.xml><?xml version="1.0" encoding="utf-8"?>
<ds:datastoreItem xmlns:ds="http://schemas.openxmlformats.org/officeDocument/2006/customXml" ds:itemID="{4380DE81-CEC8-4BB1-A53F-65454403F347}">
  <ds:schemaRefs/>
</ds:datastoreItem>
</file>

<file path=customXml/itemProps9.xml><?xml version="1.0" encoding="utf-8"?>
<ds:datastoreItem xmlns:ds="http://schemas.openxmlformats.org/officeDocument/2006/customXml" ds:itemID="{0483F41F-77DD-431A-BB3F-1D643256E826}">
  <ds:schemaRefs/>
</ds:datastoreItem>
</file>

<file path=customXml/itemProps10.xml><?xml version="1.0" encoding="utf-8"?>
<ds:datastoreItem xmlns:ds="http://schemas.openxmlformats.org/officeDocument/2006/customXml" ds:itemID="{04FD2643-3521-4166-B2B2-5567BE61C0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Heatmap</vt:lpstr>
      <vt:lpstr>Gantt chart</vt:lpstr>
      <vt:lpstr>Risk Register</vt:lpstr>
      <vt:lpstr>Tasks</vt:lpstr>
      <vt:lpstr>Rating factors</vt:lpstr>
      <vt:lpstr>Dropdowns</vt:lpstr>
      <vt:lpstr>Asset Inventory</vt:lpstr>
      <vt:lpstr>Heat 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2026-07-20T17:20:01Z</dcterms:created>
  <dcterms:modified xsi:type="dcterms:W3CDTF">2026-08-10T11:16:35Z</dcterms:modified>
  <cp:category/>
</cp:coreProperties>
</file>