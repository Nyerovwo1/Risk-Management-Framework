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xr:revisionPtr revIDLastSave="0" documentId="13_ncr:1_{2AF2A061-3723-4ECF-862E-87E323A27C05}" xr6:coauthVersionLast="47" xr6:coauthVersionMax="47" xr10:uidLastSave="{00000000-0000-0000-0000-000000000000}"/>
  <bookViews>
    <workbookView xWindow="28680" yWindow="-120" windowWidth="29040" windowHeight="15720" tabRatio="803" firstSheet="3" activeTab="4" xr2:uid="{00000000-000D-0000-FFFF-FFFF00000000}"/>
  </bookViews>
  <sheets>
    <sheet name="Dashboard" sheetId="23" r:id="rId1"/>
    <sheet name="Heatmap" sheetId="34" state="hidden" r:id="rId2"/>
    <sheet name="Gantt chart" sheetId="32" r:id="rId3"/>
    <sheet name="Risk Register" sheetId="24" r:id="rId4"/>
    <sheet name="Tasks" sheetId="30" r:id="rId5"/>
    <sheet name="Rating factors" sheetId="25" r:id="rId6"/>
    <sheet name="Dropdowns" sheetId="8" r:id="rId7"/>
    <sheet name="Asset Inventory" sheetId="35" r:id="rId8"/>
    <sheet name="Heat map" sheetId="36" r:id="rId9"/>
  </sheets>
  <definedNames>
    <definedName name="CBriskDesc">#REF!</definedName>
    <definedName name="CombinationControl">#REF!</definedName>
    <definedName name="countBlanks">#REF!</definedName>
    <definedName name="csfSubcategory">#REF!</definedName>
    <definedName name="dateOfRecord">#REF!</definedName>
    <definedName name="detectScore">#REF!</definedName>
    <definedName name="disclaimerCell">#REF!</definedName>
    <definedName name="earliestAssessment">#REF!</definedName>
    <definedName name="familyIDs">#REF!</definedName>
    <definedName name="goRefs">#REF!</definedName>
    <definedName name="greenAbove">#REF!</definedName>
    <definedName name="identifyScore">#REF!</definedName>
    <definedName name="impactHigh">#REF!</definedName>
    <definedName name="impactLow">#REF!</definedName>
    <definedName name="impactMedium">#REF!</definedName>
    <definedName name="impactScale">#REF!</definedName>
    <definedName name="informationCell">#REF!</definedName>
    <definedName name="InScopeOptions">Dropdowns!#REF!</definedName>
    <definedName name="label025">#REF!</definedName>
    <definedName name="label025NB">#REF!</definedName>
    <definedName name="labelYN">#REF!</definedName>
    <definedName name="labelYNNB">#REF!</definedName>
    <definedName name="latestAssessment">#REF!</definedName>
    <definedName name="minAnsQuestions">#REF!</definedName>
    <definedName name="nameOfFirm">#REF!</definedName>
    <definedName name="nist53revision">#REF!</definedName>
    <definedName name="protectScore">#REF!</definedName>
    <definedName name="recoverScore">#REF!</definedName>
    <definedName name="redBelow">#REF!</definedName>
    <definedName name="resetControl">#REF!</definedName>
    <definedName name="respondScore">#REF!</definedName>
    <definedName name="responsibleParty">#REF!</definedName>
    <definedName name="riskMaximum">#REF!</definedName>
    <definedName name="riskMinimum">#REF!</definedName>
    <definedName name="riskRange">#REF!</definedName>
    <definedName name="riskStrategies">#REF!</definedName>
    <definedName name="scaleChoices">#REF!</definedName>
    <definedName name="scaleType">#REF!</definedName>
    <definedName name="scoreHigh">#REF!</definedName>
    <definedName name="scoreLabel">#REF!</definedName>
    <definedName name="scoreLow">#REF!</definedName>
    <definedName name="scoreMedium">#REF!</definedName>
    <definedName name="setHighScore">#REF!</definedName>
    <definedName name="setLowScore">#REF!</definedName>
    <definedName name="subCatList">#REF!</definedName>
    <definedName name="toggleSCriskRegister">#REF!</definedName>
    <definedName name="userV1">#REF!</definedName>
    <definedName name="userV2">#REF!</definedName>
    <definedName name="userV3">#REF!</definedName>
    <definedName name="userV4">#REF!</definedName>
    <definedName name="userV5">#REF!</definedName>
    <definedName name="workbookVersion">#REF!</definedName>
    <definedName name="yesNo">#REF!</definedName>
    <definedName name="yesNoNA">#REF!</definedName>
    <definedName name="zero2Five">#REF!</definedName>
  </definedNames>
  <calcPr calcId="191029"/>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4" i="24" l="1" a="1"/>
  <c r="U4" i="24" s="1"/>
  <c r="U5" i="24" a="1"/>
  <c r="U5" i="24" s="1"/>
  <c r="U6" i="24" a="1"/>
  <c r="U6" i="24" s="1"/>
  <c r="U7" i="24" a="1"/>
  <c r="U7" i="24" s="1"/>
  <c r="U8" i="24" a="1"/>
  <c r="U8" i="24" s="1"/>
  <c r="U9" i="24" a="1"/>
  <c r="U9" i="24" s="1"/>
  <c r="U10" i="24" a="1"/>
  <c r="U10" i="24" s="1"/>
  <c r="U11" i="24" a="1"/>
  <c r="U11" i="24" s="1"/>
  <c r="U12" i="24" a="1"/>
  <c r="U12" i="24" s="1"/>
  <c r="U13" i="24" a="1"/>
  <c r="U13" i="24" s="1"/>
  <c r="U14" i="24" a="1"/>
  <c r="U14" i="24" s="1"/>
  <c r="U15" i="24" a="1"/>
  <c r="U15" i="24" s="1"/>
  <c r="U16" i="24" a="1"/>
  <c r="U16" i="24" s="1"/>
  <c r="U17" i="24" a="1"/>
  <c r="U17" i="24" s="1"/>
  <c r="U18" i="24" a="1"/>
  <c r="U18" i="24" s="1"/>
  <c r="U19" i="24" a="1"/>
  <c r="U19" i="24" s="1"/>
  <c r="U20" i="24" a="1"/>
  <c r="U20" i="24" s="1"/>
  <c r="U21" i="24" a="1"/>
  <c r="U21" i="24" s="1"/>
  <c r="U22" i="24" a="1"/>
  <c r="U22" i="24" s="1"/>
  <c r="U23" i="24" a="1"/>
  <c r="U23" i="24" s="1"/>
  <c r="U24" i="24" a="1"/>
  <c r="U24" i="24" s="1"/>
  <c r="U25" i="24" a="1"/>
  <c r="U25" i="24" s="1"/>
  <c r="U26" i="24" a="1"/>
  <c r="U26" i="24" s="1"/>
  <c r="U27" i="24" a="1"/>
  <c r="U27" i="24" s="1"/>
  <c r="U28" i="24" a="1"/>
  <c r="U28" i="24" s="1"/>
  <c r="U29" i="24" a="1"/>
  <c r="U29" i="24" s="1"/>
  <c r="U30" i="24" a="1"/>
  <c r="U30" i="24" s="1"/>
  <c r="U31" i="24" a="1"/>
  <c r="U31" i="24" s="1"/>
  <c r="U32" i="24" a="1"/>
  <c r="U32" i="24" s="1"/>
  <c r="U33" i="24" a="1"/>
  <c r="U33" i="24" s="1"/>
  <c r="U34" i="24" a="1"/>
  <c r="U34" i="24" s="1"/>
  <c r="U35" i="24" a="1"/>
  <c r="U35" i="24" s="1"/>
  <c r="U36" i="24" a="1"/>
  <c r="U36" i="24" s="1"/>
  <c r="U37" i="24" a="1"/>
  <c r="U37" i="24" s="1"/>
  <c r="U38" i="24" a="1"/>
  <c r="U38" i="24" s="1"/>
  <c r="U39" i="24" a="1"/>
  <c r="U39" i="24" s="1"/>
  <c r="U40" i="24" a="1"/>
  <c r="U40" i="24" s="1"/>
  <c r="U41" i="24" a="1"/>
  <c r="U41" i="24" s="1"/>
  <c r="U42" i="24" a="1"/>
  <c r="U42" i="24" s="1"/>
  <c r="U43" i="24" a="1"/>
  <c r="U43" i="24" s="1"/>
  <c r="U44" i="24" a="1"/>
  <c r="U44" i="24" s="1"/>
  <c r="U45" i="24" a="1"/>
  <c r="U45" i="24" s="1"/>
  <c r="U46" i="24" a="1"/>
  <c r="U46" i="24" s="1"/>
  <c r="U47" i="24" a="1"/>
  <c r="U47" i="24" s="1"/>
  <c r="U48" i="24" a="1"/>
  <c r="U48" i="24" s="1"/>
  <c r="U49" i="24" a="1"/>
  <c r="U49" i="24" s="1"/>
  <c r="U50" i="24" a="1"/>
  <c r="U50" i="24" s="1"/>
  <c r="U51" i="24" a="1"/>
  <c r="U51" i="24" s="1"/>
  <c r="U52" i="24" a="1"/>
  <c r="U52" i="24" s="1"/>
  <c r="U53" i="24" a="1"/>
  <c r="U53" i="24" s="1"/>
  <c r="U54" i="24" a="1"/>
  <c r="U54" i="24" s="1"/>
  <c r="U55" i="24" a="1"/>
  <c r="U55" i="24" s="1"/>
  <c r="U56" i="24" a="1"/>
  <c r="U56" i="24" s="1"/>
  <c r="U57" i="24" a="1"/>
  <c r="U57" i="24" s="1"/>
  <c r="U58" i="24" a="1"/>
  <c r="U58" i="24" s="1"/>
  <c r="U59" i="24" a="1"/>
  <c r="U59" i="24" s="1"/>
  <c r="U60" i="24" a="1"/>
  <c r="U60" i="24" s="1"/>
  <c r="U61" i="24" a="1"/>
  <c r="U61" i="24" s="1"/>
  <c r="U62" i="24" a="1"/>
  <c r="U62" i="24" s="1"/>
  <c r="U63" i="24" a="1"/>
  <c r="U63" i="24" s="1"/>
  <c r="U64" i="24" a="1"/>
  <c r="U64" i="24" s="1"/>
  <c r="U65" i="24" a="1"/>
  <c r="U65" i="24" s="1"/>
  <c r="U66" i="24" a="1"/>
  <c r="U66" i="24" s="1"/>
  <c r="U67" i="24" a="1"/>
  <c r="U67" i="24" s="1"/>
  <c r="U68" i="24" a="1"/>
  <c r="U68" i="24" s="1"/>
  <c r="U69" i="24" a="1"/>
  <c r="U69" i="24" s="1"/>
  <c r="U70" i="24" a="1"/>
  <c r="U70" i="24" s="1"/>
  <c r="U71" i="24" a="1"/>
  <c r="U71" i="24" s="1"/>
  <c r="U72" i="24" a="1"/>
  <c r="U72" i="24" s="1"/>
  <c r="U73" i="24" a="1"/>
  <c r="U73" i="24" s="1"/>
  <c r="U74" i="24" a="1"/>
  <c r="U74" i="24" s="1"/>
  <c r="U75" i="24" a="1"/>
  <c r="U75" i="24" s="1"/>
  <c r="U76" i="24" a="1"/>
  <c r="U76" i="24" s="1"/>
  <c r="U77" i="24" a="1"/>
  <c r="U77" i="24" s="1"/>
  <c r="U78" i="24" a="1"/>
  <c r="U78" i="24" s="1"/>
  <c r="U79" i="24" a="1"/>
  <c r="U79" i="24" s="1"/>
  <c r="U80" i="24" a="1"/>
  <c r="U80" i="24" s="1"/>
  <c r="U81" i="24" a="1"/>
  <c r="U81" i="24" s="1"/>
  <c r="U82" i="24" a="1"/>
  <c r="U82" i="24" s="1"/>
  <c r="U83" i="24" a="1"/>
  <c r="U83" i="24" s="1"/>
  <c r="U84" i="24" a="1"/>
  <c r="U84" i="24" s="1"/>
  <c r="U85" i="24" a="1"/>
  <c r="U85" i="24" s="1"/>
  <c r="U86" i="24" a="1"/>
  <c r="U86" i="24" s="1"/>
  <c r="U87" i="24" a="1"/>
  <c r="U87" i="24" s="1"/>
  <c r="U88" i="24" a="1"/>
  <c r="U88" i="24" s="1"/>
  <c r="U89" i="24" a="1"/>
  <c r="U89" i="24" s="1"/>
  <c r="U90" i="24" a="1"/>
  <c r="U90" i="24" s="1"/>
  <c r="U91" i="24" a="1"/>
  <c r="U91" i="24" s="1"/>
  <c r="U92" i="24" a="1"/>
  <c r="U92" i="24" s="1"/>
  <c r="U93" i="24" a="1"/>
  <c r="U93" i="24" s="1"/>
  <c r="U94" i="24" a="1"/>
  <c r="U94" i="24" s="1"/>
  <c r="U95" i="24" a="1"/>
  <c r="U95" i="24" s="1"/>
  <c r="U96" i="24" a="1"/>
  <c r="U96" i="24" s="1"/>
  <c r="U97" i="24" a="1"/>
  <c r="U97" i="24" s="1"/>
  <c r="U98" i="24" a="1"/>
  <c r="U98" i="24" s="1"/>
  <c r="U99" i="24" a="1"/>
  <c r="U99" i="24" s="1"/>
  <c r="U100" i="24" a="1"/>
  <c r="U100" i="24" s="1"/>
  <c r="U101" i="24" a="1"/>
  <c r="U101" i="24" s="1"/>
  <c r="U102" i="24" a="1"/>
  <c r="U102" i="24" s="1"/>
  <c r="U103" i="24" a="1"/>
  <c r="U103" i="24" s="1"/>
  <c r="U104" i="24" a="1"/>
  <c r="U104" i="24" s="1"/>
  <c r="U105" i="24" a="1"/>
  <c r="U105" i="24" s="1"/>
  <c r="U106" i="24" a="1"/>
  <c r="U106" i="24" s="1"/>
  <c r="U107" i="24" a="1"/>
  <c r="U107" i="24" s="1"/>
  <c r="U108" i="24" a="1"/>
  <c r="U108" i="24" s="1"/>
  <c r="U109" i="24" a="1"/>
  <c r="U109" i="24" s="1"/>
  <c r="U110" i="24" a="1"/>
  <c r="U110" i="24" s="1"/>
  <c r="U111" i="24" a="1"/>
  <c r="U111" i="24" s="1"/>
  <c r="U112" i="24" a="1"/>
  <c r="U112" i="24" s="1"/>
  <c r="U113" i="24" a="1"/>
  <c r="U113" i="24" s="1"/>
  <c r="U114" i="24" a="1"/>
  <c r="U114" i="24" s="1"/>
  <c r="U115" i="24" a="1"/>
  <c r="U115" i="24" s="1"/>
  <c r="U116" i="24" a="1"/>
  <c r="U116" i="24" s="1"/>
  <c r="U117" i="24" a="1"/>
  <c r="U117" i="24" s="1"/>
  <c r="U118" i="24" a="1"/>
  <c r="U118" i="24" s="1"/>
  <c r="U119" i="24" a="1"/>
  <c r="U119" i="24" s="1"/>
  <c r="U120" i="24" a="1"/>
  <c r="U120" i="24" s="1"/>
  <c r="U121" i="24" a="1"/>
  <c r="U121" i="24" s="1"/>
  <c r="U122" i="24" a="1"/>
  <c r="U122" i="24" s="1"/>
  <c r="U123" i="24" a="1"/>
  <c r="U123" i="24" s="1"/>
  <c r="U124" i="24" a="1"/>
  <c r="U124" i="24" s="1"/>
  <c r="U125" i="24" a="1"/>
  <c r="U125" i="24" s="1"/>
  <c r="U126" i="24" a="1"/>
  <c r="U126" i="24" s="1"/>
  <c r="U127" i="24" a="1"/>
  <c r="U127" i="24" s="1"/>
  <c r="U128" i="24" a="1"/>
  <c r="U128" i="24" s="1"/>
  <c r="U129" i="24" a="1"/>
  <c r="U129" i="24" s="1"/>
  <c r="U130" i="24" a="1"/>
  <c r="U130" i="24" s="1"/>
  <c r="U131" i="24" a="1"/>
  <c r="U131" i="24" s="1"/>
  <c r="U132" i="24" a="1"/>
  <c r="U132" i="24" s="1"/>
  <c r="U133" i="24" a="1"/>
  <c r="U133" i="24" s="1"/>
  <c r="U134" i="24" a="1"/>
  <c r="U134" i="24" s="1"/>
  <c r="U135" i="24" a="1"/>
  <c r="U135" i="24" s="1"/>
  <c r="U136" i="24" a="1"/>
  <c r="U136" i="24" s="1"/>
  <c r="U137" i="24" a="1"/>
  <c r="U137" i="24" s="1"/>
  <c r="U138" i="24" a="1"/>
  <c r="U138" i="24" s="1"/>
  <c r="U139" i="24" a="1"/>
  <c r="U139" i="24" s="1"/>
  <c r="U140" i="24" a="1"/>
  <c r="U140" i="24" s="1"/>
  <c r="U141" i="24" a="1"/>
  <c r="U141" i="24" s="1"/>
  <c r="U142" i="24" a="1"/>
  <c r="U142" i="24" s="1"/>
  <c r="U143" i="24" a="1"/>
  <c r="U143" i="24" s="1"/>
  <c r="U144" i="24" a="1"/>
  <c r="U144" i="24" s="1"/>
  <c r="U145" i="24" a="1"/>
  <c r="U145" i="24" s="1"/>
  <c r="U146" i="24" a="1"/>
  <c r="U146" i="24" s="1"/>
  <c r="U147" i="24" a="1"/>
  <c r="U147" i="24" s="1"/>
  <c r="U148" i="24" a="1"/>
  <c r="U148" i="24" s="1"/>
  <c r="U149" i="24" a="1"/>
  <c r="U149" i="24" s="1"/>
  <c r="U150" i="24" a="1"/>
  <c r="U150" i="24" s="1"/>
  <c r="U151" i="24" a="1"/>
  <c r="U151" i="24" s="1"/>
  <c r="U152" i="24" a="1"/>
  <c r="U152" i="24" s="1"/>
  <c r="U153" i="24" a="1"/>
  <c r="U153" i="24" s="1"/>
  <c r="U154" i="24" a="1"/>
  <c r="U154" i="24" s="1"/>
  <c r="U155" i="24" a="1"/>
  <c r="U155" i="24" s="1"/>
  <c r="U156" i="24" a="1"/>
  <c r="U156" i="24" s="1"/>
  <c r="U157" i="24" a="1"/>
  <c r="U157" i="24" s="1"/>
  <c r="U158" i="24" a="1"/>
  <c r="U158" i="24" s="1"/>
  <c r="U159" i="24" a="1"/>
  <c r="U159" i="24" s="1"/>
  <c r="U160" i="24" a="1"/>
  <c r="U160" i="24" s="1"/>
  <c r="U161" i="24" a="1"/>
  <c r="U161" i="24" s="1"/>
  <c r="U162" i="24" a="1"/>
  <c r="U162" i="24" s="1"/>
  <c r="U163" i="24" a="1"/>
  <c r="U163" i="24" s="1"/>
  <c r="U164" i="24" a="1"/>
  <c r="U164" i="24" s="1"/>
  <c r="U165" i="24" a="1"/>
  <c r="U165" i="24" s="1"/>
  <c r="U166" i="24" a="1"/>
  <c r="U166" i="24" s="1"/>
  <c r="U167" i="24" a="1"/>
  <c r="U167" i="24" s="1"/>
  <c r="U168" i="24" a="1"/>
  <c r="U168" i="24" s="1"/>
  <c r="U169" i="24" a="1"/>
  <c r="U169" i="24" s="1"/>
  <c r="U170" i="24" a="1"/>
  <c r="U170" i="24" s="1"/>
  <c r="U171" i="24" a="1"/>
  <c r="U171" i="24" s="1"/>
  <c r="U172" i="24" a="1"/>
  <c r="U172" i="24" s="1"/>
  <c r="U173" i="24" a="1"/>
  <c r="U173" i="24" s="1"/>
  <c r="U174" i="24" a="1"/>
  <c r="U174" i="24" s="1"/>
  <c r="U175" i="24" a="1"/>
  <c r="U175" i="24" s="1"/>
  <c r="U176" i="24" a="1"/>
  <c r="U176" i="24" s="1"/>
  <c r="U177" i="24" a="1"/>
  <c r="U177" i="24" s="1"/>
  <c r="U178" i="24" a="1"/>
  <c r="U178" i="24" s="1"/>
  <c r="U179" i="24" a="1"/>
  <c r="U179" i="24" s="1"/>
  <c r="U180" i="24" a="1"/>
  <c r="U180" i="24" s="1"/>
  <c r="U181" i="24" a="1"/>
  <c r="U181" i="24" s="1"/>
  <c r="U182" i="24" a="1"/>
  <c r="U182" i="24" s="1"/>
  <c r="U183" i="24" a="1"/>
  <c r="U183" i="24" s="1"/>
  <c r="U184" i="24" a="1"/>
  <c r="U184" i="24" s="1"/>
  <c r="U185" i="24" a="1"/>
  <c r="U185" i="24" s="1"/>
  <c r="U186" i="24" a="1"/>
  <c r="U186" i="24" s="1"/>
  <c r="U187" i="24" a="1"/>
  <c r="U187" i="24" s="1"/>
  <c r="U188" i="24" a="1"/>
  <c r="U188" i="24" s="1"/>
  <c r="U189" i="24" a="1"/>
  <c r="U189" i="24" s="1"/>
  <c r="U190" i="24" a="1"/>
  <c r="U190" i="24" s="1"/>
  <c r="U191" i="24" a="1"/>
  <c r="U191" i="24" s="1"/>
  <c r="U192" i="24" a="1"/>
  <c r="U192" i="24" s="1"/>
  <c r="U193" i="24" a="1"/>
  <c r="U193" i="24" s="1"/>
  <c r="U194" i="24" a="1"/>
  <c r="U194" i="24" s="1"/>
  <c r="U195" i="24" a="1"/>
  <c r="U195" i="24" s="1"/>
  <c r="U196" i="24" a="1"/>
  <c r="U196" i="24" s="1"/>
  <c r="U197" i="24" a="1"/>
  <c r="U197" i="24" s="1"/>
  <c r="U198" i="24" a="1"/>
  <c r="U198" i="24" s="1"/>
  <c r="U199" i="24" a="1"/>
  <c r="U199" i="24" s="1"/>
  <c r="U200" i="24" a="1"/>
  <c r="U200" i="24" s="1"/>
  <c r="U201" i="24" a="1"/>
  <c r="U201" i="24" s="1"/>
  <c r="U202" i="24" a="1"/>
  <c r="U202" i="24" s="1"/>
  <c r="U203" i="24" a="1"/>
  <c r="U203" i="24" s="1"/>
  <c r="U204" i="24" a="1"/>
  <c r="U204" i="24" s="1"/>
  <c r="U205" i="24" a="1"/>
  <c r="U205" i="24" s="1"/>
  <c r="U206" i="24" a="1"/>
  <c r="U206" i="24" s="1"/>
  <c r="U207" i="24" a="1"/>
  <c r="U207" i="24" s="1"/>
  <c r="U208" i="24" a="1"/>
  <c r="U208" i="24" s="1"/>
  <c r="U209" i="24" a="1"/>
  <c r="U209" i="24" s="1"/>
  <c r="U210" i="24" a="1"/>
  <c r="U210" i="24" s="1"/>
  <c r="U211" i="24" a="1"/>
  <c r="U211" i="24" s="1"/>
  <c r="U212" i="24" a="1"/>
  <c r="U212" i="24" s="1"/>
  <c r="U213" i="24" a="1"/>
  <c r="U213" i="24" s="1"/>
  <c r="U214" i="24" a="1"/>
  <c r="U214" i="24" s="1"/>
  <c r="U215" i="24" a="1"/>
  <c r="U215" i="24" s="1"/>
  <c r="U216" i="24" a="1"/>
  <c r="U216" i="24" s="1"/>
  <c r="U217" i="24" a="1"/>
  <c r="U217" i="24" s="1"/>
  <c r="U218" i="24" a="1"/>
  <c r="U218" i="24" s="1"/>
  <c r="U219" i="24" a="1"/>
  <c r="U219" i="24" s="1"/>
  <c r="U220" i="24" a="1"/>
  <c r="U220" i="24" s="1"/>
  <c r="U221" i="24" a="1"/>
  <c r="U221" i="24" s="1"/>
  <c r="U222" i="24" a="1"/>
  <c r="U222" i="24" s="1"/>
  <c r="U223" i="24" a="1"/>
  <c r="U223" i="24" s="1"/>
  <c r="U224" i="24" a="1"/>
  <c r="U224" i="24" s="1"/>
  <c r="U225" i="24" a="1"/>
  <c r="U225" i="24" s="1"/>
  <c r="U226" i="24" a="1"/>
  <c r="U226" i="24" s="1"/>
  <c r="U227" i="24" a="1"/>
  <c r="U227" i="24" s="1"/>
  <c r="U228" i="24" a="1"/>
  <c r="U228" i="24" s="1"/>
  <c r="U229" i="24" a="1"/>
  <c r="U229" i="24" s="1"/>
  <c r="U230" i="24" a="1"/>
  <c r="U230" i="24" s="1"/>
  <c r="U231" i="24" a="1"/>
  <c r="U231" i="24" s="1"/>
  <c r="U232" i="24" a="1"/>
  <c r="U232" i="24" s="1"/>
  <c r="U233" i="24" a="1"/>
  <c r="U233" i="24" s="1"/>
  <c r="U234" i="24" a="1"/>
  <c r="U234" i="24" s="1"/>
  <c r="U235" i="24" a="1"/>
  <c r="U235" i="24" s="1"/>
  <c r="U236" i="24" a="1"/>
  <c r="U236" i="24" s="1"/>
  <c r="U237" i="24" a="1"/>
  <c r="U237" i="24" s="1"/>
  <c r="U238" i="24" a="1"/>
  <c r="U238" i="24" s="1"/>
  <c r="U239" i="24" a="1"/>
  <c r="U239" i="24" s="1"/>
  <c r="U240" i="24" a="1"/>
  <c r="U240" i="24" s="1"/>
  <c r="U241" i="24" a="1"/>
  <c r="U241" i="24" s="1"/>
  <c r="U242" i="24" a="1"/>
  <c r="U242" i="24" s="1"/>
  <c r="U243" i="24" a="1"/>
  <c r="U243" i="24" s="1"/>
  <c r="U244" i="24" a="1"/>
  <c r="U244" i="24" s="1"/>
  <c r="U245" i="24" a="1"/>
  <c r="U245" i="24" s="1"/>
  <c r="U246" i="24" a="1"/>
  <c r="U246" i="24" s="1"/>
  <c r="U247" i="24" a="1"/>
  <c r="U247" i="24" s="1"/>
  <c r="U248" i="24" a="1"/>
  <c r="U248" i="24" s="1"/>
  <c r="U249" i="24" a="1"/>
  <c r="U249" i="24" s="1"/>
  <c r="U250" i="24" a="1"/>
  <c r="U250" i="24" s="1"/>
  <c r="U251" i="24" a="1"/>
  <c r="U251" i="24" s="1"/>
  <c r="U252" i="24" a="1"/>
  <c r="U252" i="24" s="1"/>
  <c r="U253" i="24" a="1"/>
  <c r="U253" i="24" s="1"/>
  <c r="U254" i="24" a="1"/>
  <c r="U254" i="24" s="1"/>
  <c r="U255" i="24" a="1"/>
  <c r="U255" i="24" s="1"/>
  <c r="U256" i="24" a="1"/>
  <c r="U256" i="24" s="1"/>
  <c r="U257" i="24" a="1"/>
  <c r="U257" i="24" s="1"/>
  <c r="U258" i="24" a="1"/>
  <c r="U258" i="24" s="1"/>
  <c r="U259" i="24" a="1"/>
  <c r="U259" i="24" s="1"/>
  <c r="U260" i="24" a="1"/>
  <c r="U260" i="24" s="1"/>
  <c r="U261" i="24" a="1"/>
  <c r="U261" i="24" s="1"/>
  <c r="U262" i="24" a="1"/>
  <c r="U262" i="24" s="1"/>
  <c r="U263" i="24" a="1"/>
  <c r="U263" i="24" s="1"/>
  <c r="U264" i="24" a="1"/>
  <c r="U264" i="24" s="1"/>
  <c r="U265" i="24" a="1"/>
  <c r="U265" i="24" s="1"/>
  <c r="U266" i="24" a="1"/>
  <c r="U266" i="24" s="1"/>
  <c r="U267" i="24" a="1"/>
  <c r="U267" i="24" s="1"/>
  <c r="U268" i="24" a="1"/>
  <c r="U268" i="24" s="1"/>
  <c r="U269" i="24" a="1"/>
  <c r="U269" i="24" s="1"/>
  <c r="U270" i="24" a="1"/>
  <c r="U270" i="24" s="1"/>
  <c r="U271" i="24" a="1"/>
  <c r="U271" i="24" s="1"/>
  <c r="U272" i="24" a="1"/>
  <c r="U272" i="24" s="1"/>
  <c r="U273" i="24" a="1"/>
  <c r="U273" i="24" s="1"/>
  <c r="U274" i="24" a="1"/>
  <c r="U274" i="24" s="1"/>
  <c r="U275" i="24" a="1"/>
  <c r="U275" i="24" s="1"/>
  <c r="U276" i="24" a="1"/>
  <c r="U276" i="24" s="1"/>
  <c r="U277" i="24" a="1"/>
  <c r="U277" i="24" s="1"/>
  <c r="U278" i="24" a="1"/>
  <c r="U278" i="24" s="1"/>
  <c r="U279" i="24" a="1"/>
  <c r="U279" i="24" s="1"/>
  <c r="U280" i="24" a="1"/>
  <c r="U280" i="24" s="1"/>
  <c r="U281" i="24" a="1"/>
  <c r="U281" i="24" s="1"/>
  <c r="U282" i="24" a="1"/>
  <c r="U282" i="24" s="1"/>
  <c r="U283" i="24" a="1"/>
  <c r="U283" i="24" s="1"/>
  <c r="U284" i="24" a="1"/>
  <c r="U284" i="24" s="1"/>
  <c r="U285" i="24" a="1"/>
  <c r="U285" i="24" s="1"/>
  <c r="U286" i="24" a="1"/>
  <c r="U286" i="24" s="1"/>
  <c r="U287" i="24" a="1"/>
  <c r="U287" i="24" s="1"/>
  <c r="U288" i="24" a="1"/>
  <c r="U288" i="24" s="1"/>
  <c r="U289" i="24" a="1"/>
  <c r="U289" i="24" s="1"/>
  <c r="U290" i="24" a="1"/>
  <c r="U290" i="24" s="1"/>
  <c r="U291" i="24" a="1"/>
  <c r="U291" i="24" s="1"/>
  <c r="U292" i="24" a="1"/>
  <c r="U292" i="24" s="1"/>
  <c r="U293" i="24" a="1"/>
  <c r="U293" i="24" s="1"/>
  <c r="U294" i="24" a="1"/>
  <c r="U294" i="24" s="1"/>
  <c r="U295" i="24" a="1"/>
  <c r="U295" i="24" s="1"/>
  <c r="U296" i="24" a="1"/>
  <c r="U296" i="24" s="1"/>
  <c r="U297" i="24" a="1"/>
  <c r="U297" i="24" s="1"/>
  <c r="U298" i="24" a="1"/>
  <c r="U298" i="24" s="1"/>
  <c r="U299" i="24" a="1"/>
  <c r="U299" i="24" s="1"/>
  <c r="U300" i="24" a="1"/>
  <c r="U300" i="24" s="1"/>
  <c r="U301" i="24" a="1"/>
  <c r="U301" i="24" s="1"/>
  <c r="U302" i="24" a="1"/>
  <c r="U302" i="24" s="1"/>
  <c r="U303" i="24" a="1"/>
  <c r="U303" i="24" s="1"/>
  <c r="U304" i="24" a="1"/>
  <c r="U304" i="24" s="1"/>
  <c r="U305" i="24" a="1"/>
  <c r="U305" i="24" s="1"/>
  <c r="U306" i="24" a="1"/>
  <c r="U306" i="24" s="1"/>
  <c r="U307" i="24" a="1"/>
  <c r="U307" i="24" s="1"/>
  <c r="U308" i="24" a="1"/>
  <c r="U308" i="24" s="1"/>
  <c r="U309" i="24" a="1"/>
  <c r="U309" i="24" s="1"/>
  <c r="U310" i="24" a="1"/>
  <c r="U310" i="24" s="1"/>
  <c r="U311" i="24" a="1"/>
  <c r="U311" i="24" s="1"/>
  <c r="U312" i="24" a="1"/>
  <c r="U312" i="24" s="1"/>
  <c r="U313" i="24" a="1"/>
  <c r="U313" i="24" s="1"/>
  <c r="U314" i="24" a="1"/>
  <c r="U314" i="24" s="1"/>
  <c r="U315" i="24" a="1"/>
  <c r="U315" i="24" s="1"/>
  <c r="U316" i="24" a="1"/>
  <c r="U316" i="24" s="1"/>
  <c r="U317" i="24" a="1"/>
  <c r="U317" i="24" s="1"/>
  <c r="U318" i="24" a="1"/>
  <c r="U318" i="24" s="1"/>
  <c r="U319" i="24" a="1"/>
  <c r="U319" i="24" s="1"/>
  <c r="U320" i="24" a="1"/>
  <c r="U320" i="24" s="1"/>
  <c r="U321" i="24" a="1"/>
  <c r="U321" i="24" s="1"/>
  <c r="U322" i="24" a="1"/>
  <c r="U322" i="24" s="1"/>
  <c r="U323" i="24" a="1"/>
  <c r="U323" i="24" s="1"/>
  <c r="U324" i="24" a="1"/>
  <c r="U324" i="24" s="1"/>
  <c r="U325" i="24" a="1"/>
  <c r="U325" i="24" s="1"/>
  <c r="U326" i="24" a="1"/>
  <c r="U326" i="24" s="1"/>
  <c r="U327" i="24" a="1"/>
  <c r="U327" i="24" s="1"/>
  <c r="U328" i="24" a="1"/>
  <c r="U328" i="24" s="1"/>
  <c r="U329" i="24" a="1"/>
  <c r="U329" i="24" s="1"/>
  <c r="U330" i="24" a="1"/>
  <c r="U330" i="24" s="1"/>
  <c r="U331" i="24" a="1"/>
  <c r="U331" i="24" s="1"/>
  <c r="U332" i="24" a="1"/>
  <c r="U332" i="24" s="1"/>
  <c r="U333" i="24" a="1"/>
  <c r="U333" i="24" s="1"/>
  <c r="U334" i="24" a="1"/>
  <c r="U334" i="24" s="1"/>
  <c r="U335" i="24" a="1"/>
  <c r="U335" i="24" s="1"/>
  <c r="U336" i="24" a="1"/>
  <c r="U336" i="24" s="1"/>
  <c r="U337" i="24" a="1"/>
  <c r="U337" i="24" s="1"/>
  <c r="U338" i="24" a="1"/>
  <c r="U338" i="24" s="1"/>
  <c r="U339" i="24" a="1"/>
  <c r="U339" i="24" s="1"/>
  <c r="U340" i="24" a="1"/>
  <c r="U340" i="24" s="1"/>
  <c r="U341" i="24" a="1"/>
  <c r="U341" i="24" s="1"/>
  <c r="U342" i="24" a="1"/>
  <c r="U342" i="24" s="1"/>
  <c r="U343" i="24" a="1"/>
  <c r="U343" i="24" s="1"/>
  <c r="U344" i="24" a="1"/>
  <c r="U344" i="24" s="1"/>
  <c r="U345" i="24" a="1"/>
  <c r="U345" i="24" s="1"/>
  <c r="U346" i="24" a="1"/>
  <c r="U346" i="24" s="1"/>
  <c r="U347" i="24" a="1"/>
  <c r="U347" i="24" s="1"/>
  <c r="U348" i="24" a="1"/>
  <c r="U348" i="24" s="1"/>
  <c r="U349" i="24" a="1"/>
  <c r="U349" i="24" s="1"/>
  <c r="U350" i="24" a="1"/>
  <c r="U350" i="24" s="1"/>
  <c r="U351" i="24" a="1"/>
  <c r="U351" i="24" s="1"/>
  <c r="U352" i="24" a="1"/>
  <c r="U352" i="24" s="1"/>
  <c r="U353" i="24" a="1"/>
  <c r="U353" i="24" s="1"/>
  <c r="U354" i="24" a="1"/>
  <c r="U354" i="24" s="1"/>
  <c r="U355" i="24" a="1"/>
  <c r="U355" i="24" s="1"/>
  <c r="U356" i="24" a="1"/>
  <c r="U356" i="24" s="1"/>
  <c r="U357" i="24" a="1"/>
  <c r="U357" i="24" s="1"/>
  <c r="U358" i="24" a="1"/>
  <c r="U358" i="24" s="1"/>
  <c r="U359" i="24" a="1"/>
  <c r="U359" i="24" s="1"/>
  <c r="U360" i="24" a="1"/>
  <c r="U360" i="24" s="1"/>
  <c r="U361" i="24" a="1"/>
  <c r="U361" i="24" s="1"/>
  <c r="U362" i="24" a="1"/>
  <c r="U362" i="24" s="1"/>
  <c r="U363" i="24" a="1"/>
  <c r="U363" i="24" s="1"/>
  <c r="U364" i="24" a="1"/>
  <c r="U364" i="24" s="1"/>
  <c r="U365" i="24" a="1"/>
  <c r="U365" i="24" s="1"/>
  <c r="U366" i="24" a="1"/>
  <c r="U366" i="24" s="1"/>
  <c r="U367" i="24" a="1"/>
  <c r="U367" i="24" s="1"/>
  <c r="U368" i="24" a="1"/>
  <c r="U368" i="24" s="1"/>
  <c r="U369" i="24" a="1"/>
  <c r="U369" i="24" s="1"/>
  <c r="U370" i="24" a="1"/>
  <c r="U370" i="24" s="1"/>
  <c r="U371" i="24" a="1"/>
  <c r="U371" i="24" s="1"/>
  <c r="U372" i="24" a="1"/>
  <c r="U372" i="24" s="1"/>
  <c r="U373" i="24" a="1"/>
  <c r="U373" i="24" s="1"/>
  <c r="U374" i="24" a="1"/>
  <c r="U374" i="24" s="1"/>
  <c r="U375" i="24" a="1"/>
  <c r="U375" i="24" s="1"/>
  <c r="U376" i="24" a="1"/>
  <c r="U376" i="24" s="1"/>
  <c r="U377" i="24" a="1"/>
  <c r="U377" i="24" s="1"/>
  <c r="U378" i="24" a="1"/>
  <c r="U378" i="24" s="1"/>
  <c r="U379" i="24" a="1"/>
  <c r="U379" i="24" s="1"/>
  <c r="U380" i="24" a="1"/>
  <c r="U380" i="24" s="1"/>
  <c r="U381" i="24" a="1"/>
  <c r="U381" i="24" s="1"/>
  <c r="U382" i="24" a="1"/>
  <c r="U382" i="24" s="1"/>
  <c r="U383" i="24" a="1"/>
  <c r="U383" i="24" s="1"/>
  <c r="U384" i="24" a="1"/>
  <c r="U384" i="24" s="1"/>
  <c r="U385" i="24" a="1"/>
  <c r="U385" i="24" s="1"/>
  <c r="U386" i="24" a="1"/>
  <c r="U386" i="24" s="1"/>
  <c r="U387" i="24" a="1"/>
  <c r="U387" i="24" s="1"/>
  <c r="U388" i="24" a="1"/>
  <c r="U388" i="24" s="1"/>
  <c r="U389" i="24" a="1"/>
  <c r="U389" i="24" s="1"/>
  <c r="U390" i="24" a="1"/>
  <c r="U390" i="24" s="1"/>
  <c r="U391" i="24" a="1"/>
  <c r="U391" i="24" s="1"/>
  <c r="U392" i="24" a="1"/>
  <c r="U392" i="24" s="1"/>
  <c r="U393" i="24" a="1"/>
  <c r="U393" i="24" s="1"/>
  <c r="U394" i="24" a="1"/>
  <c r="U394" i="24" s="1"/>
  <c r="U395" i="24" a="1"/>
  <c r="U395" i="24" s="1"/>
  <c r="U396" i="24" a="1"/>
  <c r="U396" i="24" s="1"/>
  <c r="U397" i="24" a="1"/>
  <c r="U397" i="24" s="1"/>
  <c r="U398" i="24" a="1"/>
  <c r="U398" i="24" s="1"/>
  <c r="U399" i="24" a="1"/>
  <c r="U399" i="24" s="1"/>
  <c r="U400" i="24" a="1"/>
  <c r="U400" i="24" s="1"/>
  <c r="U401" i="24" a="1"/>
  <c r="U401" i="24" s="1"/>
  <c r="U402" i="24" a="1"/>
  <c r="U402" i="24" s="1"/>
  <c r="U403" i="24" a="1"/>
  <c r="U403" i="24" s="1"/>
  <c r="U404" i="24" a="1"/>
  <c r="U404" i="24" s="1"/>
  <c r="U405" i="24" a="1"/>
  <c r="U405" i="24" s="1"/>
  <c r="U406" i="24" a="1"/>
  <c r="U406" i="24" s="1"/>
  <c r="U407" i="24" a="1"/>
  <c r="U407" i="24" s="1"/>
  <c r="U408" i="24" a="1"/>
  <c r="U408" i="24" s="1"/>
  <c r="U409" i="24" a="1"/>
  <c r="U409" i="24" s="1"/>
  <c r="U410" i="24" a="1"/>
  <c r="U410" i="24" s="1"/>
  <c r="U411" i="24" a="1"/>
  <c r="U411" i="24" s="1"/>
  <c r="U412" i="24" a="1"/>
  <c r="U412" i="24" s="1"/>
  <c r="U413" i="24" a="1"/>
  <c r="U413" i="24" s="1"/>
  <c r="U414" i="24" a="1"/>
  <c r="U414" i="24" s="1"/>
  <c r="U415" i="24" a="1"/>
  <c r="U415" i="24" s="1"/>
  <c r="U416" i="24" a="1"/>
  <c r="U416" i="24" s="1"/>
  <c r="U417" i="24" a="1"/>
  <c r="U417" i="24" s="1"/>
  <c r="U418" i="24" a="1"/>
  <c r="U418" i="24" s="1"/>
  <c r="U419" i="24" a="1"/>
  <c r="U419" i="24" s="1"/>
  <c r="U420" i="24" a="1"/>
  <c r="U420" i="24" s="1"/>
  <c r="U421" i="24" a="1"/>
  <c r="U421" i="24" s="1"/>
  <c r="U422" i="24" a="1"/>
  <c r="U422" i="24" s="1"/>
  <c r="U423" i="24" a="1"/>
  <c r="U423" i="24" s="1"/>
  <c r="U424" i="24" a="1"/>
  <c r="U424" i="24" s="1"/>
  <c r="U425" i="24" a="1"/>
  <c r="U425" i="24" s="1"/>
  <c r="U426" i="24" a="1"/>
  <c r="U426" i="24" s="1"/>
  <c r="U427" i="24" a="1"/>
  <c r="U427" i="24" s="1"/>
  <c r="U428" i="24" a="1"/>
  <c r="U428" i="24" s="1"/>
  <c r="U429" i="24" a="1"/>
  <c r="U429" i="24" s="1"/>
  <c r="U430" i="24" a="1"/>
  <c r="U430" i="24" s="1"/>
  <c r="U431" i="24" a="1"/>
  <c r="U431" i="24" s="1"/>
  <c r="U432" i="24" a="1"/>
  <c r="U432" i="24" s="1"/>
  <c r="U433" i="24" a="1"/>
  <c r="U433" i="24" s="1"/>
  <c r="U434" i="24" a="1"/>
  <c r="U434" i="24" s="1"/>
  <c r="U435" i="24" a="1"/>
  <c r="U435" i="24" s="1"/>
  <c r="U436" i="24" a="1"/>
  <c r="U436" i="24" s="1"/>
  <c r="U437" i="24" a="1"/>
  <c r="U437" i="24" s="1"/>
  <c r="U438" i="24" a="1"/>
  <c r="U438" i="24" s="1"/>
  <c r="U439" i="24" a="1"/>
  <c r="U439" i="24" s="1"/>
  <c r="U440" i="24" a="1"/>
  <c r="U440" i="24" s="1"/>
  <c r="U441" i="24" a="1"/>
  <c r="U441" i="24" s="1"/>
  <c r="U442" i="24" a="1"/>
  <c r="U442" i="24" s="1"/>
  <c r="U443" i="24" a="1"/>
  <c r="U443" i="24" s="1"/>
  <c r="U444" i="24" a="1"/>
  <c r="U444" i="24" s="1"/>
  <c r="U445" i="24" a="1"/>
  <c r="U445" i="24" s="1"/>
  <c r="U446" i="24" a="1"/>
  <c r="U446" i="24" s="1"/>
  <c r="U447" i="24" a="1"/>
  <c r="U447" i="24" s="1"/>
  <c r="U448" i="24" a="1"/>
  <c r="U448" i="24" s="1"/>
  <c r="U449" i="24" a="1"/>
  <c r="U449" i="24" s="1"/>
  <c r="U450" i="24" a="1"/>
  <c r="U450" i="24" s="1"/>
  <c r="U451" i="24" a="1"/>
  <c r="U451" i="24" s="1"/>
  <c r="U452" i="24" a="1"/>
  <c r="U452" i="24" s="1"/>
  <c r="U453" i="24" a="1"/>
  <c r="U453" i="24" s="1"/>
  <c r="U454" i="24" a="1"/>
  <c r="U454" i="24" s="1"/>
  <c r="U455" i="24" a="1"/>
  <c r="U455" i="24" s="1"/>
  <c r="U456" i="24" a="1"/>
  <c r="U456" i="24" s="1"/>
  <c r="U457" i="24" a="1"/>
  <c r="U457" i="24" s="1"/>
  <c r="U458" i="24" a="1"/>
  <c r="U458" i="24" s="1"/>
  <c r="U459" i="24" a="1"/>
  <c r="U459" i="24" s="1"/>
  <c r="U460" i="24" a="1"/>
  <c r="U460" i="24" s="1"/>
  <c r="U461" i="24" a="1"/>
  <c r="U461" i="24" s="1"/>
  <c r="U462" i="24" a="1"/>
  <c r="U462" i="24" s="1"/>
  <c r="U463" i="24" a="1"/>
  <c r="U463" i="24" s="1"/>
  <c r="U464" i="24" a="1"/>
  <c r="U464" i="24" s="1"/>
  <c r="U465" i="24" a="1"/>
  <c r="U465" i="24" s="1"/>
  <c r="U466" i="24" a="1"/>
  <c r="U466" i="24" s="1"/>
  <c r="U467" i="24" a="1"/>
  <c r="U467" i="24" s="1"/>
  <c r="U468" i="24" a="1"/>
  <c r="U468" i="24" s="1"/>
  <c r="U469" i="24" a="1"/>
  <c r="U469" i="24" s="1"/>
  <c r="U470" i="24" a="1"/>
  <c r="U470" i="24" s="1"/>
  <c r="U471" i="24" a="1"/>
  <c r="U471" i="24" s="1"/>
  <c r="U472" i="24" a="1"/>
  <c r="U472" i="24" s="1"/>
  <c r="U473" i="24" a="1"/>
  <c r="U473" i="24" s="1"/>
  <c r="U474" i="24" a="1"/>
  <c r="U474" i="24" s="1"/>
  <c r="U475" i="24" a="1"/>
  <c r="U475" i="24" s="1"/>
  <c r="U476" i="24" a="1"/>
  <c r="U476" i="24" s="1"/>
  <c r="U477" i="24" a="1"/>
  <c r="U477" i="24" s="1"/>
  <c r="U478" i="24" a="1"/>
  <c r="U478" i="24" s="1"/>
  <c r="U479" i="24" a="1"/>
  <c r="U479" i="24" s="1"/>
  <c r="U480" i="24" a="1"/>
  <c r="U480" i="24" s="1"/>
  <c r="U481" i="24" a="1"/>
  <c r="U481" i="24" s="1"/>
  <c r="U482" i="24" a="1"/>
  <c r="U482" i="24" s="1"/>
  <c r="U483" i="24" a="1"/>
  <c r="U483" i="24" s="1"/>
  <c r="U484" i="24" a="1"/>
  <c r="U484" i="24" s="1"/>
  <c r="U485" i="24" a="1"/>
  <c r="U485" i="24" s="1"/>
  <c r="U486" i="24" a="1"/>
  <c r="U486" i="24" s="1"/>
  <c r="U487" i="24" a="1"/>
  <c r="U487" i="24" s="1"/>
  <c r="U488" i="24" a="1"/>
  <c r="U488" i="24" s="1"/>
  <c r="U489" i="24" a="1"/>
  <c r="U489" i="24" s="1"/>
  <c r="U490" i="24" a="1"/>
  <c r="U490" i="24" s="1"/>
  <c r="U491" i="24" a="1"/>
  <c r="U491" i="24" s="1"/>
  <c r="U492" i="24" a="1"/>
  <c r="U492" i="24" s="1"/>
  <c r="U493" i="24" a="1"/>
  <c r="U493" i="24" s="1"/>
  <c r="U494" i="24" a="1"/>
  <c r="U494" i="24" s="1"/>
  <c r="U495" i="24" a="1"/>
  <c r="U495" i="24" s="1"/>
  <c r="U496" i="24" a="1"/>
  <c r="U496" i="24" s="1"/>
  <c r="U497" i="24" a="1"/>
  <c r="U497" i="24" s="1"/>
  <c r="U498" i="24" a="1"/>
  <c r="U498" i="24" s="1"/>
  <c r="U499" i="24" a="1"/>
  <c r="U499" i="24" s="1"/>
  <c r="U500" i="24" a="1"/>
  <c r="U500" i="24" s="1"/>
  <c r="U501" i="24" a="1"/>
  <c r="U501" i="24" s="1"/>
  <c r="U502" i="24" a="1"/>
  <c r="U502" i="24" s="1"/>
  <c r="U503" i="24" a="1"/>
  <c r="U503" i="24" s="1"/>
  <c r="U504" i="24" a="1"/>
  <c r="U504" i="24" s="1"/>
  <c r="U505" i="24" a="1"/>
  <c r="U505" i="24" s="1"/>
  <c r="U506" i="24" a="1"/>
  <c r="U506" i="24" s="1"/>
  <c r="U507" i="24" a="1"/>
  <c r="U507" i="24" s="1"/>
  <c r="U508" i="24" a="1"/>
  <c r="U508" i="24" s="1"/>
  <c r="U509" i="24" a="1"/>
  <c r="U509" i="24" s="1"/>
  <c r="U510" i="24" a="1"/>
  <c r="U510" i="24" s="1"/>
  <c r="U511" i="24" a="1"/>
  <c r="U511" i="24" s="1"/>
  <c r="U512" i="24" a="1"/>
  <c r="U512" i="24" s="1"/>
  <c r="U513" i="24" a="1"/>
  <c r="U513" i="24" s="1"/>
  <c r="U514" i="24" a="1"/>
  <c r="U514" i="24" s="1"/>
  <c r="U515" i="24" a="1"/>
  <c r="U515" i="24" s="1"/>
  <c r="U516" i="24" a="1"/>
  <c r="U516" i="24" s="1"/>
  <c r="U517" i="24" a="1"/>
  <c r="U517" i="24" s="1"/>
  <c r="U518" i="24" a="1"/>
  <c r="U518" i="24" s="1"/>
  <c r="U519" i="24" a="1"/>
  <c r="U519" i="24" s="1"/>
  <c r="U520" i="24" a="1"/>
  <c r="U520" i="24" s="1"/>
  <c r="U521" i="24" a="1"/>
  <c r="U521" i="24" s="1"/>
  <c r="U522" i="24" a="1"/>
  <c r="U522" i="24" s="1"/>
  <c r="U523" i="24" a="1"/>
  <c r="U523" i="24" s="1"/>
  <c r="U524" i="24" a="1"/>
  <c r="U524" i="24" s="1"/>
  <c r="U525" i="24" a="1"/>
  <c r="U525" i="24" s="1"/>
  <c r="U526" i="24" a="1"/>
  <c r="U526" i="24" s="1"/>
  <c r="U527" i="24" a="1"/>
  <c r="U527" i="24" s="1"/>
  <c r="U528" i="24" a="1"/>
  <c r="U528" i="24" s="1"/>
  <c r="U529" i="24" a="1"/>
  <c r="U529" i="24" s="1"/>
  <c r="U530" i="24" a="1"/>
  <c r="U530" i="24" s="1"/>
  <c r="U531" i="24" a="1"/>
  <c r="U531" i="24" s="1"/>
  <c r="U532" i="24" a="1"/>
  <c r="U532" i="24" s="1"/>
  <c r="U533" i="24" a="1"/>
  <c r="U533" i="24" s="1"/>
  <c r="U534" i="24" a="1"/>
  <c r="U534" i="24" s="1"/>
  <c r="U535" i="24" a="1"/>
  <c r="U535" i="24" s="1"/>
  <c r="U536" i="24" a="1"/>
  <c r="U536" i="24" s="1"/>
  <c r="U537" i="24" a="1"/>
  <c r="U537" i="24" s="1"/>
  <c r="U538" i="24" a="1"/>
  <c r="U538" i="24" s="1"/>
  <c r="U539" i="24" a="1"/>
  <c r="U539" i="24" s="1"/>
  <c r="U540" i="24" a="1"/>
  <c r="U540" i="24" s="1"/>
  <c r="U541" i="24" a="1"/>
  <c r="U541" i="24" s="1"/>
  <c r="U542" i="24" a="1"/>
  <c r="U542" i="24" s="1"/>
  <c r="U543" i="24" a="1"/>
  <c r="U543" i="24" s="1"/>
  <c r="U544" i="24" a="1"/>
  <c r="U544" i="24" s="1"/>
  <c r="U545" i="24" a="1"/>
  <c r="U545" i="24" s="1"/>
  <c r="U546" i="24" a="1"/>
  <c r="U546" i="24" s="1"/>
  <c r="U547" i="24" a="1"/>
  <c r="U547" i="24" s="1"/>
  <c r="U548" i="24" a="1"/>
  <c r="U548" i="24" s="1"/>
  <c r="U549" i="24" a="1"/>
  <c r="U549" i="24" s="1"/>
  <c r="U550" i="24" a="1"/>
  <c r="U550" i="24" s="1"/>
  <c r="U551" i="24" a="1"/>
  <c r="U551" i="24" s="1"/>
  <c r="U552" i="24" a="1"/>
  <c r="U552" i="24" s="1"/>
  <c r="U553" i="24" a="1"/>
  <c r="U553" i="24" s="1"/>
  <c r="U554" i="24" a="1"/>
  <c r="U554" i="24" s="1"/>
  <c r="U555" i="24" a="1"/>
  <c r="U555" i="24" s="1"/>
  <c r="U556" i="24" a="1"/>
  <c r="U556" i="24" s="1"/>
  <c r="U557" i="24" a="1"/>
  <c r="U557" i="24" s="1"/>
  <c r="U558" i="24" a="1"/>
  <c r="U558" i="24" s="1"/>
  <c r="U559" i="24" a="1"/>
  <c r="U559" i="24" s="1"/>
  <c r="U560" i="24" a="1"/>
  <c r="U560" i="24" s="1"/>
  <c r="U561" i="24" a="1"/>
  <c r="U561" i="24" s="1"/>
  <c r="U562" i="24" a="1"/>
  <c r="U562" i="24" s="1"/>
  <c r="U563" i="24" a="1"/>
  <c r="U563" i="24" s="1"/>
  <c r="U564" i="24" a="1"/>
  <c r="U564" i="24" s="1"/>
  <c r="U565" i="24" a="1"/>
  <c r="U565" i="24" s="1"/>
  <c r="U566" i="24" a="1"/>
  <c r="U566" i="24" s="1"/>
  <c r="U567" i="24" a="1"/>
  <c r="U567" i="24" s="1"/>
  <c r="U568" i="24" a="1"/>
  <c r="U568" i="24" s="1"/>
  <c r="U569" i="24" a="1"/>
  <c r="U569" i="24" s="1"/>
  <c r="U570" i="24" a="1"/>
  <c r="U570" i="24" s="1"/>
  <c r="U571" i="24" a="1"/>
  <c r="U571" i="24" s="1"/>
  <c r="U572" i="24" a="1"/>
  <c r="U572" i="24" s="1"/>
  <c r="U573" i="24" a="1"/>
  <c r="U573" i="24" s="1"/>
  <c r="U574" i="24" a="1"/>
  <c r="U574" i="24" s="1"/>
  <c r="U575" i="24" a="1"/>
  <c r="U575" i="24" s="1"/>
  <c r="U576" i="24" a="1"/>
  <c r="U576" i="24" s="1"/>
  <c r="U577" i="24" a="1"/>
  <c r="U577" i="24" s="1"/>
  <c r="U578" i="24" a="1"/>
  <c r="U578" i="24" s="1"/>
  <c r="U579" i="24" a="1"/>
  <c r="U579" i="24" s="1"/>
  <c r="U580" i="24" a="1"/>
  <c r="U580" i="24" s="1"/>
  <c r="U581" i="24" a="1"/>
  <c r="U581" i="24" s="1"/>
  <c r="U582" i="24" a="1"/>
  <c r="U582" i="24" s="1"/>
  <c r="U583" i="24" a="1"/>
  <c r="U583" i="24" s="1"/>
  <c r="U584" i="24" a="1"/>
  <c r="U584" i="24" s="1"/>
  <c r="U585" i="24" a="1"/>
  <c r="U585" i="24" s="1"/>
  <c r="U586" i="24" a="1"/>
  <c r="U586" i="24" s="1"/>
  <c r="U587" i="24" a="1"/>
  <c r="U587" i="24" s="1"/>
  <c r="U588" i="24" a="1"/>
  <c r="U588" i="24" s="1"/>
  <c r="U589" i="24" a="1"/>
  <c r="U589" i="24" s="1"/>
  <c r="U590" i="24" a="1"/>
  <c r="U590" i="24" s="1"/>
  <c r="U591" i="24" a="1"/>
  <c r="U591" i="24" s="1"/>
  <c r="U592" i="24" a="1"/>
  <c r="U592" i="24" s="1"/>
  <c r="U593" i="24" a="1"/>
  <c r="U593" i="24" s="1"/>
  <c r="U594" i="24" a="1"/>
  <c r="U594" i="24" s="1"/>
  <c r="U595" i="24" a="1"/>
  <c r="U595" i="24" s="1"/>
  <c r="U596" i="24" a="1"/>
  <c r="U596" i="24" s="1"/>
  <c r="U597" i="24" a="1"/>
  <c r="U597" i="24" s="1"/>
  <c r="U598" i="24" a="1"/>
  <c r="U598" i="24" s="1"/>
  <c r="U599" i="24" a="1"/>
  <c r="U599" i="24" s="1"/>
  <c r="U600" i="24" a="1"/>
  <c r="U600" i="24" s="1"/>
  <c r="U601" i="24" a="1"/>
  <c r="U601" i="24" s="1"/>
  <c r="U602" i="24" a="1"/>
  <c r="U602" i="24" s="1"/>
  <c r="U603" i="24" a="1"/>
  <c r="U603" i="24" s="1"/>
  <c r="U604" i="24" a="1"/>
  <c r="U604" i="24" s="1"/>
  <c r="U605" i="24" a="1"/>
  <c r="U605" i="24" s="1"/>
  <c r="U606" i="24" a="1"/>
  <c r="U606" i="24" s="1"/>
  <c r="U607" i="24" a="1"/>
  <c r="U607" i="24" s="1"/>
  <c r="U608" i="24" a="1"/>
  <c r="U608" i="24" s="1"/>
  <c r="U609" i="24" a="1"/>
  <c r="U609" i="24" s="1"/>
  <c r="U610" i="24" a="1"/>
  <c r="U610" i="24" s="1"/>
  <c r="U611" i="24" a="1"/>
  <c r="U611" i="24" s="1"/>
  <c r="U612" i="24" a="1"/>
  <c r="U612" i="24" s="1"/>
  <c r="U613" i="24" a="1"/>
  <c r="U613" i="24" s="1"/>
  <c r="U614" i="24" a="1"/>
  <c r="U614" i="24" s="1"/>
  <c r="U615" i="24" a="1"/>
  <c r="U615" i="24" s="1"/>
  <c r="U616" i="24" a="1"/>
  <c r="U616" i="24" s="1"/>
  <c r="U617" i="24" a="1"/>
  <c r="U617" i="24" s="1"/>
  <c r="U618" i="24" a="1"/>
  <c r="U618" i="24" s="1"/>
  <c r="U619" i="24" a="1"/>
  <c r="U619" i="24" s="1"/>
  <c r="U620" i="24" a="1"/>
  <c r="U620" i="24" s="1"/>
  <c r="U621" i="24" a="1"/>
  <c r="U621" i="24" s="1"/>
  <c r="U622" i="24" a="1"/>
  <c r="U622" i="24" s="1"/>
  <c r="U623" i="24" a="1"/>
  <c r="U623" i="24" s="1"/>
  <c r="U624" i="24" a="1"/>
  <c r="U624" i="24" s="1"/>
  <c r="U625" i="24" a="1"/>
  <c r="U625" i="24" s="1"/>
  <c r="U626" i="24" a="1"/>
  <c r="U626" i="24" s="1"/>
  <c r="U627" i="24" a="1"/>
  <c r="U627" i="24" s="1"/>
  <c r="U628" i="24" a="1"/>
  <c r="U628" i="24" s="1"/>
  <c r="U629" i="24" a="1"/>
  <c r="U629" i="24" s="1"/>
  <c r="U630" i="24" a="1"/>
  <c r="U630" i="24" s="1"/>
  <c r="U631" i="24" a="1"/>
  <c r="U631" i="24" s="1"/>
  <c r="U632" i="24" a="1"/>
  <c r="U632" i="24" s="1"/>
  <c r="U633" i="24" a="1"/>
  <c r="U633" i="24" s="1"/>
  <c r="U634" i="24" a="1"/>
  <c r="U634" i="24" s="1"/>
  <c r="U635" i="24" a="1"/>
  <c r="U635" i="24" s="1"/>
  <c r="U636" i="24" a="1"/>
  <c r="U636" i="24" s="1"/>
  <c r="U637" i="24" a="1"/>
  <c r="U637" i="24" s="1"/>
  <c r="U638" i="24" a="1"/>
  <c r="U638" i="24" s="1"/>
  <c r="U639" i="24" a="1"/>
  <c r="U639" i="24" s="1"/>
  <c r="U640" i="24" a="1"/>
  <c r="U640" i="24" s="1"/>
  <c r="U641" i="24" a="1"/>
  <c r="U641" i="24" s="1"/>
  <c r="U642" i="24" a="1"/>
  <c r="U642" i="24" s="1"/>
  <c r="U643" i="24" a="1"/>
  <c r="U643" i="24" s="1"/>
  <c r="U644" i="24" a="1"/>
  <c r="U644" i="24" s="1"/>
  <c r="U645" i="24" a="1"/>
  <c r="U645" i="24" s="1"/>
  <c r="U646" i="24" a="1"/>
  <c r="U646" i="24" s="1"/>
  <c r="U647" i="24" a="1"/>
  <c r="U647" i="24" s="1"/>
  <c r="U648" i="24" a="1"/>
  <c r="U648" i="24" s="1"/>
  <c r="U649" i="24" a="1"/>
  <c r="U649" i="24" s="1"/>
  <c r="U650" i="24" a="1"/>
  <c r="U650" i="24" s="1"/>
  <c r="U651" i="24" a="1"/>
  <c r="U651" i="24" s="1"/>
  <c r="U652" i="24" a="1"/>
  <c r="U652" i="24" s="1"/>
  <c r="U653" i="24" a="1"/>
  <c r="U653" i="24" s="1"/>
  <c r="U654" i="24" a="1"/>
  <c r="U654" i="24" s="1"/>
  <c r="U655" i="24" a="1"/>
  <c r="U655" i="24" s="1"/>
  <c r="U656" i="24" a="1"/>
  <c r="U656" i="24" s="1"/>
  <c r="U657" i="24" a="1"/>
  <c r="U657" i="24" s="1"/>
  <c r="U658" i="24" a="1"/>
  <c r="U658" i="24" s="1"/>
  <c r="U659" i="24" a="1"/>
  <c r="U659" i="24" s="1"/>
  <c r="U660" i="24" a="1"/>
  <c r="U660" i="24" s="1"/>
  <c r="U661" i="24" a="1"/>
  <c r="U661" i="24" s="1"/>
  <c r="U662" i="24" a="1"/>
  <c r="U662" i="24" s="1"/>
  <c r="U663" i="24" a="1"/>
  <c r="U663" i="24" s="1"/>
  <c r="U664" i="24" a="1"/>
  <c r="U664" i="24" s="1"/>
  <c r="U665" i="24" a="1"/>
  <c r="U665" i="24" s="1"/>
  <c r="U666" i="24" a="1"/>
  <c r="U666" i="24" s="1"/>
  <c r="U667" i="24" a="1"/>
  <c r="U667" i="24" s="1"/>
  <c r="U668" i="24" a="1"/>
  <c r="U668" i="24" s="1"/>
  <c r="U669" i="24" a="1"/>
  <c r="U669" i="24" s="1"/>
  <c r="U670" i="24" a="1"/>
  <c r="U670" i="24" s="1"/>
  <c r="U671" i="24" a="1"/>
  <c r="U671" i="24" s="1"/>
  <c r="U672" i="24" a="1"/>
  <c r="U672" i="24" s="1"/>
  <c r="U673" i="24" a="1"/>
  <c r="U673" i="24" s="1"/>
  <c r="U674" i="24" a="1"/>
  <c r="U674" i="24" s="1"/>
  <c r="U675" i="24" a="1"/>
  <c r="U675" i="24" s="1"/>
  <c r="U676" i="24" a="1"/>
  <c r="U676" i="24" s="1"/>
  <c r="U677" i="24" a="1"/>
  <c r="U677" i="24" s="1"/>
  <c r="U678" i="24" a="1"/>
  <c r="U678" i="24" s="1"/>
  <c r="U679" i="24" a="1"/>
  <c r="U679" i="24" s="1"/>
  <c r="U680" i="24" a="1"/>
  <c r="U680" i="24" s="1"/>
  <c r="U681" i="24" a="1"/>
  <c r="U681" i="24" s="1"/>
  <c r="U682" i="24" a="1"/>
  <c r="U682" i="24" s="1"/>
  <c r="U683" i="24" a="1"/>
  <c r="U683" i="24" s="1"/>
  <c r="U684" i="24" a="1"/>
  <c r="U684" i="24" s="1"/>
  <c r="U685" i="24" a="1"/>
  <c r="U685" i="24" s="1"/>
  <c r="U686" i="24" a="1"/>
  <c r="U686" i="24" s="1"/>
  <c r="U687" i="24" a="1"/>
  <c r="U687" i="24" s="1"/>
  <c r="U688" i="24" a="1"/>
  <c r="U688" i="24" s="1"/>
  <c r="U689" i="24" a="1"/>
  <c r="U689" i="24" s="1"/>
  <c r="U690" i="24" a="1"/>
  <c r="U690" i="24" s="1"/>
  <c r="U691" i="24" a="1"/>
  <c r="U691" i="24" s="1"/>
  <c r="U692" i="24" a="1"/>
  <c r="U692" i="24" s="1"/>
  <c r="U693" i="24" a="1"/>
  <c r="U693" i="24" s="1"/>
  <c r="U694" i="24" a="1"/>
  <c r="U694" i="24" s="1"/>
  <c r="U695" i="24" a="1"/>
  <c r="U695" i="24" s="1"/>
  <c r="U696" i="24" a="1"/>
  <c r="U696" i="24" s="1"/>
  <c r="U697" i="24" a="1"/>
  <c r="U697" i="24" s="1"/>
  <c r="U698" i="24" a="1"/>
  <c r="U698" i="24" s="1"/>
  <c r="U699" i="24" a="1"/>
  <c r="U699" i="24" s="1"/>
  <c r="U700" i="24" a="1"/>
  <c r="U700" i="24" s="1"/>
  <c r="U701" i="24" a="1"/>
  <c r="U701" i="24" s="1"/>
  <c r="U702" i="24" a="1"/>
  <c r="U702" i="24" s="1"/>
  <c r="U703" i="24" a="1"/>
  <c r="U703" i="24" s="1"/>
  <c r="U704" i="24" a="1"/>
  <c r="U704" i="24" s="1"/>
  <c r="U705" i="24" a="1"/>
  <c r="U705" i="24" s="1"/>
  <c r="U706" i="24" a="1"/>
  <c r="U706" i="24" s="1"/>
  <c r="U707" i="24" a="1"/>
  <c r="U707" i="24" s="1"/>
  <c r="U708" i="24" a="1"/>
  <c r="U708" i="24" s="1"/>
  <c r="U709" i="24" a="1"/>
  <c r="U709" i="24" s="1"/>
  <c r="U710" i="24" a="1"/>
  <c r="U710" i="24" s="1"/>
  <c r="U711" i="24" a="1"/>
  <c r="U711" i="24" s="1"/>
  <c r="U712" i="24" a="1"/>
  <c r="U712" i="24" s="1"/>
  <c r="U713" i="24" a="1"/>
  <c r="U713" i="24" s="1"/>
  <c r="U714" i="24" a="1"/>
  <c r="U714" i="24" s="1"/>
  <c r="U715" i="24" a="1"/>
  <c r="U715" i="24" s="1"/>
  <c r="U716" i="24" a="1"/>
  <c r="U716" i="24" s="1"/>
  <c r="U717" i="24" a="1"/>
  <c r="U717" i="24" s="1"/>
  <c r="U718" i="24" a="1"/>
  <c r="U718" i="24" s="1"/>
  <c r="U719" i="24" a="1"/>
  <c r="U719" i="24" s="1"/>
  <c r="U720" i="24" a="1"/>
  <c r="U720" i="24" s="1"/>
  <c r="U721" i="24" a="1"/>
  <c r="U721" i="24" s="1"/>
  <c r="U722" i="24" a="1"/>
  <c r="U722" i="24" s="1"/>
  <c r="U723" i="24" a="1"/>
  <c r="U723" i="24" s="1"/>
  <c r="U724" i="24" a="1"/>
  <c r="U724" i="24" s="1"/>
  <c r="U725" i="24" a="1"/>
  <c r="U725" i="24" s="1"/>
  <c r="U726" i="24" a="1"/>
  <c r="U726" i="24" s="1"/>
  <c r="U727" i="24" a="1"/>
  <c r="U727" i="24" s="1"/>
  <c r="U728" i="24" a="1"/>
  <c r="U728" i="24" s="1"/>
  <c r="U729" i="24" a="1"/>
  <c r="U729" i="24" s="1"/>
  <c r="U730" i="24" a="1"/>
  <c r="U730" i="24" s="1"/>
  <c r="U731" i="24" a="1"/>
  <c r="U731" i="24" s="1"/>
  <c r="U732" i="24" a="1"/>
  <c r="U732" i="24" s="1"/>
  <c r="U733" i="24" a="1"/>
  <c r="U733" i="24" s="1"/>
  <c r="U734" i="24" a="1"/>
  <c r="U734" i="24" s="1"/>
  <c r="U735" i="24" a="1"/>
  <c r="U735" i="24" s="1"/>
  <c r="U736" i="24" a="1"/>
  <c r="U736" i="24" s="1"/>
  <c r="U737" i="24" a="1"/>
  <c r="U737" i="24" s="1"/>
  <c r="U738" i="24" a="1"/>
  <c r="U738" i="24" s="1"/>
  <c r="U739" i="24" a="1"/>
  <c r="U739" i="24" s="1"/>
  <c r="U740" i="24" a="1"/>
  <c r="U740" i="24" s="1"/>
  <c r="U741" i="24" a="1"/>
  <c r="U741" i="24" s="1"/>
  <c r="U742" i="24" a="1"/>
  <c r="U742" i="24" s="1"/>
  <c r="U743" i="24" a="1"/>
  <c r="U743" i="24" s="1"/>
  <c r="U744" i="24" a="1"/>
  <c r="U744" i="24" s="1"/>
  <c r="U745" i="24" a="1"/>
  <c r="U745" i="24" s="1"/>
  <c r="U746" i="24" a="1"/>
  <c r="U746" i="24" s="1"/>
  <c r="U747" i="24" a="1"/>
  <c r="U747" i="24" s="1"/>
  <c r="U748" i="24" a="1"/>
  <c r="U748" i="24" s="1"/>
  <c r="U749" i="24" a="1"/>
  <c r="U749" i="24" s="1"/>
  <c r="U750" i="24" a="1"/>
  <c r="U750" i="24" s="1"/>
  <c r="U751" i="24" a="1"/>
  <c r="U751" i="24" s="1"/>
  <c r="U752" i="24" a="1"/>
  <c r="U752" i="24" s="1"/>
  <c r="U753" i="24" a="1"/>
  <c r="U753" i="24" s="1"/>
  <c r="U754" i="24" a="1"/>
  <c r="U754" i="24" s="1"/>
  <c r="U755" i="24" a="1"/>
  <c r="U755" i="24" s="1"/>
  <c r="U756" i="24" a="1"/>
  <c r="U756" i="24" s="1"/>
  <c r="U757" i="24" a="1"/>
  <c r="U757" i="24" s="1"/>
  <c r="U758" i="24" a="1"/>
  <c r="U758" i="24" s="1"/>
  <c r="U759" i="24" a="1"/>
  <c r="U759" i="24" s="1"/>
  <c r="U760" i="24" a="1"/>
  <c r="U760" i="24" s="1"/>
  <c r="U761" i="24" a="1"/>
  <c r="U761" i="24" s="1"/>
  <c r="U762" i="24" a="1"/>
  <c r="U762" i="24" s="1"/>
  <c r="U763" i="24" a="1"/>
  <c r="U763" i="24" s="1"/>
  <c r="U764" i="24" a="1"/>
  <c r="U764" i="24" s="1"/>
  <c r="U765" i="24" a="1"/>
  <c r="U765" i="24" s="1"/>
  <c r="U766" i="24" a="1"/>
  <c r="U766" i="24" s="1"/>
  <c r="U767" i="24" a="1"/>
  <c r="U767" i="24" s="1"/>
  <c r="U768" i="24" a="1"/>
  <c r="U768" i="24" s="1"/>
  <c r="U769" i="24" a="1"/>
  <c r="U769" i="24" s="1"/>
  <c r="U770" i="24" a="1"/>
  <c r="U770" i="24" s="1"/>
  <c r="U771" i="24" a="1"/>
  <c r="U771" i="24" s="1"/>
  <c r="U772" i="24" a="1"/>
  <c r="U772" i="24" s="1"/>
  <c r="U773" i="24" a="1"/>
  <c r="U773" i="24" s="1"/>
  <c r="U774" i="24" a="1"/>
  <c r="U774" i="24" s="1"/>
  <c r="U775" i="24" a="1"/>
  <c r="U775" i="24" s="1"/>
  <c r="U776" i="24" a="1"/>
  <c r="U776" i="24" s="1"/>
  <c r="U777" i="24" a="1"/>
  <c r="U777" i="24" s="1"/>
  <c r="U778" i="24" a="1"/>
  <c r="U778" i="24" s="1"/>
  <c r="U779" i="24" a="1"/>
  <c r="U779" i="24" s="1"/>
  <c r="U780" i="24" a="1"/>
  <c r="U780" i="24" s="1"/>
  <c r="U781" i="24" a="1"/>
  <c r="U781" i="24" s="1"/>
  <c r="U782" i="24" a="1"/>
  <c r="U782" i="24" s="1"/>
  <c r="U783" i="24" a="1"/>
  <c r="U783" i="24" s="1"/>
  <c r="U784" i="24" a="1"/>
  <c r="U784" i="24" s="1"/>
  <c r="U785" i="24" a="1"/>
  <c r="U785" i="24" s="1"/>
  <c r="U786" i="24" a="1"/>
  <c r="U786" i="24" s="1"/>
  <c r="U787" i="24" a="1"/>
  <c r="U787" i="24" s="1"/>
  <c r="U788" i="24" a="1"/>
  <c r="U788" i="24" s="1"/>
  <c r="U789" i="24" a="1"/>
  <c r="U789" i="24" s="1"/>
  <c r="U790" i="24" a="1"/>
  <c r="U790" i="24" s="1"/>
  <c r="U791" i="24" a="1"/>
  <c r="U791" i="24" s="1"/>
  <c r="U792" i="24" a="1"/>
  <c r="U792" i="24" s="1"/>
  <c r="U793" i="24" a="1"/>
  <c r="U793" i="24" s="1"/>
  <c r="U794" i="24" a="1"/>
  <c r="U794" i="24" s="1"/>
  <c r="U795" i="24" a="1"/>
  <c r="U795" i="24" s="1"/>
  <c r="U796" i="24" a="1"/>
  <c r="U796" i="24" s="1"/>
  <c r="U797" i="24" a="1"/>
  <c r="U797" i="24" s="1"/>
  <c r="U798" i="24" a="1"/>
  <c r="U798" i="24" s="1"/>
  <c r="U799" i="24" a="1"/>
  <c r="U799" i="24" s="1"/>
  <c r="U800" i="24" a="1"/>
  <c r="U800" i="24" s="1"/>
  <c r="U801" i="24" a="1"/>
  <c r="U801" i="24" s="1"/>
  <c r="U802" i="24" a="1"/>
  <c r="U802" i="24" s="1"/>
  <c r="U803" i="24" a="1"/>
  <c r="U803" i="24" s="1"/>
  <c r="U804" i="24" a="1"/>
  <c r="U804" i="24" s="1"/>
  <c r="U805" i="24" a="1"/>
  <c r="U805" i="24" s="1"/>
  <c r="U806" i="24" a="1"/>
  <c r="U806" i="24" s="1"/>
  <c r="U807" i="24" a="1"/>
  <c r="U807" i="24" s="1"/>
  <c r="U808" i="24" a="1"/>
  <c r="U808" i="24" s="1"/>
  <c r="U809" i="24" a="1"/>
  <c r="U809" i="24" s="1"/>
  <c r="U810" i="24" a="1"/>
  <c r="U810" i="24" s="1"/>
  <c r="U811" i="24" a="1"/>
  <c r="U811" i="24" s="1"/>
  <c r="U812" i="24" a="1"/>
  <c r="U812" i="24" s="1"/>
  <c r="U813" i="24" a="1"/>
  <c r="U813" i="24" s="1"/>
  <c r="U814" i="24" a="1"/>
  <c r="U814" i="24" s="1"/>
  <c r="U815" i="24" a="1"/>
  <c r="U815" i="24" s="1"/>
  <c r="U816" i="24" a="1"/>
  <c r="U816" i="24" s="1"/>
  <c r="U817" i="24" a="1"/>
  <c r="U817" i="24" s="1"/>
  <c r="U818" i="24" a="1"/>
  <c r="U818" i="24" s="1"/>
  <c r="U819" i="24" a="1"/>
  <c r="U819" i="24" s="1"/>
  <c r="U820" i="24" a="1"/>
  <c r="U820" i="24" s="1"/>
  <c r="U821" i="24" a="1"/>
  <c r="U821" i="24" s="1"/>
  <c r="U822" i="24" a="1"/>
  <c r="U822" i="24" s="1"/>
  <c r="U823" i="24" a="1"/>
  <c r="U823" i="24" s="1"/>
  <c r="U824" i="24" a="1"/>
  <c r="U824" i="24" s="1"/>
  <c r="U825" i="24" a="1"/>
  <c r="U825" i="24" s="1"/>
  <c r="U826" i="24" a="1"/>
  <c r="U826" i="24" s="1"/>
  <c r="U827" i="24" a="1"/>
  <c r="U827" i="24" s="1"/>
  <c r="U828" i="24" a="1"/>
  <c r="U828" i="24" s="1"/>
  <c r="U829" i="24" a="1"/>
  <c r="U829" i="24" s="1"/>
  <c r="U830" i="24" a="1"/>
  <c r="U830" i="24" s="1"/>
  <c r="U831" i="24" a="1"/>
  <c r="U831" i="24" s="1"/>
  <c r="U832" i="24" a="1"/>
  <c r="U832" i="24" s="1"/>
  <c r="U833" i="24" a="1"/>
  <c r="U833" i="24" s="1"/>
  <c r="U834" i="24" a="1"/>
  <c r="U834" i="24" s="1"/>
  <c r="U835" i="24" a="1"/>
  <c r="U835" i="24" s="1"/>
  <c r="U836" i="24" a="1"/>
  <c r="U836" i="24" s="1"/>
  <c r="U837" i="24" a="1"/>
  <c r="U837" i="24" s="1"/>
  <c r="U838" i="24" a="1"/>
  <c r="U838" i="24" s="1"/>
  <c r="U839" i="24" a="1"/>
  <c r="U839" i="24" s="1"/>
  <c r="U840" i="24" a="1"/>
  <c r="U840" i="24" s="1"/>
  <c r="U841" i="24" a="1"/>
  <c r="U841" i="24" s="1"/>
  <c r="U842" i="24" a="1"/>
  <c r="U842" i="24" s="1"/>
  <c r="U843" i="24" a="1"/>
  <c r="U843" i="24" s="1"/>
  <c r="U844" i="24" a="1"/>
  <c r="U844" i="24" s="1"/>
  <c r="U845" i="24" a="1"/>
  <c r="U845" i="24" s="1"/>
  <c r="U846" i="24" a="1"/>
  <c r="U846" i="24" s="1"/>
  <c r="U847" i="24" a="1"/>
  <c r="U847" i="24" s="1"/>
  <c r="U848" i="24" a="1"/>
  <c r="U848" i="24" s="1"/>
  <c r="U849" i="24" a="1"/>
  <c r="U849" i="24" s="1"/>
  <c r="U850" i="24" a="1"/>
  <c r="U850" i="24" s="1"/>
  <c r="U851" i="24" a="1"/>
  <c r="U851" i="24" s="1"/>
  <c r="U852" i="24" a="1"/>
  <c r="U852" i="24" s="1"/>
  <c r="U853" i="24" a="1"/>
  <c r="U853" i="24" s="1"/>
  <c r="U854" i="24" a="1"/>
  <c r="U854" i="24" s="1"/>
  <c r="U855" i="24" a="1"/>
  <c r="U855" i="24" s="1"/>
  <c r="U856" i="24" a="1"/>
  <c r="U856" i="24" s="1"/>
  <c r="U857" i="24" a="1"/>
  <c r="U857" i="24" s="1"/>
  <c r="U858" i="24" a="1"/>
  <c r="U858" i="24" s="1"/>
  <c r="U859" i="24" a="1"/>
  <c r="U859" i="24" s="1"/>
  <c r="U860" i="24" a="1"/>
  <c r="U860" i="24" s="1"/>
  <c r="U861" i="24" a="1"/>
  <c r="U861" i="24" s="1"/>
  <c r="U862" i="24" a="1"/>
  <c r="U862" i="24" s="1"/>
  <c r="U863" i="24" a="1"/>
  <c r="U863" i="24" s="1"/>
  <c r="U864" i="24" a="1"/>
  <c r="U864" i="24" s="1"/>
  <c r="U865" i="24" a="1"/>
  <c r="U865" i="24" s="1"/>
  <c r="U866" i="24" a="1"/>
  <c r="U866" i="24" s="1"/>
  <c r="U867" i="24" a="1"/>
  <c r="U867" i="24" s="1"/>
  <c r="U868" i="24" a="1"/>
  <c r="U868" i="24" s="1"/>
  <c r="U869" i="24" a="1"/>
  <c r="U869" i="24" s="1"/>
  <c r="U870" i="24" a="1"/>
  <c r="U870" i="24" s="1"/>
  <c r="U871" i="24" a="1"/>
  <c r="U871" i="24" s="1"/>
  <c r="U872" i="24" a="1"/>
  <c r="U872" i="24" s="1"/>
  <c r="U873" i="24" a="1"/>
  <c r="U873" i="24" s="1"/>
  <c r="U874" i="24" a="1"/>
  <c r="U874" i="24" s="1"/>
  <c r="U875" i="24" a="1"/>
  <c r="U875" i="24" s="1"/>
  <c r="U876" i="24" a="1"/>
  <c r="U876" i="24" s="1"/>
  <c r="U877" i="24" a="1"/>
  <c r="U877" i="24" s="1"/>
  <c r="U878" i="24" a="1"/>
  <c r="U878" i="24" s="1"/>
  <c r="U879" i="24" a="1"/>
  <c r="U879" i="24" s="1"/>
  <c r="U880" i="24" a="1"/>
  <c r="U880" i="24" s="1"/>
  <c r="U881" i="24" a="1"/>
  <c r="U881" i="24" s="1"/>
  <c r="U882" i="24" a="1"/>
  <c r="U882" i="24" s="1"/>
  <c r="U883" i="24" a="1"/>
  <c r="U883" i="24" s="1"/>
  <c r="U884" i="24" a="1"/>
  <c r="U884" i="24" s="1"/>
  <c r="U885" i="24" a="1"/>
  <c r="U885" i="24" s="1"/>
  <c r="U886" i="24" a="1"/>
  <c r="U886" i="24" s="1"/>
  <c r="U887" i="24" a="1"/>
  <c r="U887" i="24" s="1"/>
  <c r="U888" i="24" a="1"/>
  <c r="U888" i="24" s="1"/>
  <c r="U889" i="24" a="1"/>
  <c r="U889" i="24" s="1"/>
  <c r="U890" i="24" a="1"/>
  <c r="U890" i="24" s="1"/>
  <c r="U891" i="24" a="1"/>
  <c r="U891" i="24" s="1"/>
  <c r="U892" i="24" a="1"/>
  <c r="U892" i="24" s="1"/>
  <c r="U893" i="24" a="1"/>
  <c r="U893" i="24" s="1"/>
  <c r="U894" i="24" a="1"/>
  <c r="U894" i="24" s="1"/>
  <c r="U895" i="24" a="1"/>
  <c r="U895" i="24" s="1"/>
  <c r="U896" i="24" a="1"/>
  <c r="U896" i="24" s="1"/>
  <c r="U897" i="24" a="1"/>
  <c r="U897" i="24" s="1"/>
  <c r="U898" i="24" a="1"/>
  <c r="U898" i="24" s="1"/>
  <c r="U899" i="24" a="1"/>
  <c r="U899" i="24" s="1"/>
  <c r="U900" i="24" a="1"/>
  <c r="U900" i="24" s="1"/>
  <c r="U901" i="24" a="1"/>
  <c r="U901" i="24" s="1"/>
  <c r="U902" i="24" a="1"/>
  <c r="U902" i="24" s="1"/>
  <c r="U903" i="24" a="1"/>
  <c r="U903" i="24" s="1"/>
  <c r="U904" i="24" a="1"/>
  <c r="U904" i="24" s="1"/>
  <c r="U905" i="24" a="1"/>
  <c r="U905" i="24" s="1"/>
  <c r="U906" i="24" a="1"/>
  <c r="U906" i="24" s="1"/>
  <c r="U907" i="24" a="1"/>
  <c r="U907" i="24" s="1"/>
  <c r="U908" i="24" a="1"/>
  <c r="U908" i="24" s="1"/>
  <c r="U909" i="24" a="1"/>
  <c r="U909" i="24" s="1"/>
  <c r="U910" i="24" a="1"/>
  <c r="U910" i="24" s="1"/>
  <c r="U911" i="24" a="1"/>
  <c r="U911" i="24" s="1"/>
  <c r="U912" i="24" a="1"/>
  <c r="U912" i="24" s="1"/>
  <c r="U913" i="24" a="1"/>
  <c r="U913" i="24" s="1"/>
  <c r="U914" i="24" a="1"/>
  <c r="U914" i="24" s="1"/>
  <c r="U915" i="24" a="1"/>
  <c r="U915" i="24" s="1"/>
  <c r="U916" i="24" a="1"/>
  <c r="U916" i="24" s="1"/>
  <c r="U917" i="24" a="1"/>
  <c r="U917" i="24" s="1"/>
  <c r="U918" i="24" a="1"/>
  <c r="U918" i="24" s="1"/>
  <c r="U919" i="24" a="1"/>
  <c r="U919" i="24" s="1"/>
  <c r="U920" i="24" a="1"/>
  <c r="U920" i="24" s="1"/>
  <c r="U921" i="24" a="1"/>
  <c r="U921" i="24" s="1"/>
  <c r="U922" i="24" a="1"/>
  <c r="U922" i="24" s="1"/>
  <c r="U923" i="24" a="1"/>
  <c r="U923" i="24" s="1"/>
  <c r="U924" i="24" a="1"/>
  <c r="U924" i="24" s="1"/>
  <c r="U925" i="24" a="1"/>
  <c r="U925" i="24" s="1"/>
  <c r="U926" i="24" a="1"/>
  <c r="U926" i="24" s="1"/>
  <c r="U927" i="24" a="1"/>
  <c r="U927" i="24" s="1"/>
  <c r="U928" i="24" a="1"/>
  <c r="U928" i="24" s="1"/>
  <c r="U929" i="24" a="1"/>
  <c r="U929" i="24" s="1"/>
  <c r="U930" i="24" a="1"/>
  <c r="U930" i="24" s="1"/>
  <c r="U931" i="24" a="1"/>
  <c r="U931" i="24" s="1"/>
  <c r="U932" i="24" a="1"/>
  <c r="U932" i="24" s="1"/>
  <c r="U933" i="24" a="1"/>
  <c r="U933" i="24" s="1"/>
  <c r="U934" i="24" a="1"/>
  <c r="U934" i="24" s="1"/>
  <c r="U935" i="24" a="1"/>
  <c r="U935" i="24" s="1"/>
  <c r="U936" i="24" a="1"/>
  <c r="U936" i="24" s="1"/>
  <c r="U937" i="24" a="1"/>
  <c r="U937" i="24" s="1"/>
  <c r="U938" i="24" a="1"/>
  <c r="U938" i="24" s="1"/>
  <c r="U939" i="24" a="1"/>
  <c r="U939" i="24" s="1"/>
  <c r="U940" i="24" a="1"/>
  <c r="U940" i="24" s="1"/>
  <c r="U941" i="24" a="1"/>
  <c r="U941" i="24" s="1"/>
  <c r="U942" i="24" a="1"/>
  <c r="U942" i="24" s="1"/>
  <c r="U943" i="24" a="1"/>
  <c r="U943" i="24" s="1"/>
  <c r="U944" i="24" a="1"/>
  <c r="U944" i="24" s="1"/>
  <c r="U945" i="24" a="1"/>
  <c r="U945" i="24" s="1"/>
  <c r="U946" i="24" a="1"/>
  <c r="U946" i="24" s="1"/>
  <c r="U947" i="24" a="1"/>
  <c r="U947" i="24" s="1"/>
  <c r="U948" i="24" a="1"/>
  <c r="U948" i="24" s="1"/>
  <c r="U949" i="24" a="1"/>
  <c r="U949" i="24" s="1"/>
  <c r="U950" i="24" a="1"/>
  <c r="U950" i="24" s="1"/>
  <c r="U951" i="24" a="1"/>
  <c r="U951" i="24" s="1"/>
  <c r="U952" i="24" a="1"/>
  <c r="U952" i="24" s="1"/>
  <c r="U953" i="24" a="1"/>
  <c r="U953" i="24" s="1"/>
  <c r="U954" i="24" a="1"/>
  <c r="U954" i="24" s="1"/>
  <c r="U955" i="24" a="1"/>
  <c r="U955" i="24" s="1"/>
  <c r="U956" i="24" a="1"/>
  <c r="U956" i="24" s="1"/>
  <c r="U957" i="24" a="1"/>
  <c r="U957" i="24" s="1"/>
  <c r="U958" i="24" a="1"/>
  <c r="U958" i="24" s="1"/>
  <c r="U959" i="24" a="1"/>
  <c r="U959" i="24" s="1"/>
  <c r="U960" i="24" a="1"/>
  <c r="U960" i="24" s="1"/>
  <c r="U961" i="24" a="1"/>
  <c r="U961" i="24" s="1"/>
  <c r="U962" i="24" a="1"/>
  <c r="U962" i="24" s="1"/>
  <c r="U963" i="24" a="1"/>
  <c r="U963" i="24" s="1"/>
  <c r="U964" i="24" a="1"/>
  <c r="U964" i="24" s="1"/>
  <c r="U965" i="24" a="1"/>
  <c r="U965" i="24" s="1"/>
  <c r="U966" i="24" a="1"/>
  <c r="U966" i="24" s="1"/>
  <c r="U967" i="24" a="1"/>
  <c r="U967" i="24" s="1"/>
  <c r="U968" i="24" a="1"/>
  <c r="U968" i="24" s="1"/>
  <c r="U969" i="24" a="1"/>
  <c r="U969" i="24" s="1"/>
  <c r="U970" i="24" a="1"/>
  <c r="U970" i="24" s="1"/>
  <c r="U971" i="24" a="1"/>
  <c r="U971" i="24" s="1"/>
  <c r="U972" i="24" a="1"/>
  <c r="U972" i="24" s="1"/>
  <c r="U973" i="24" a="1"/>
  <c r="U973" i="24" s="1"/>
  <c r="U974" i="24" a="1"/>
  <c r="U974" i="24" s="1"/>
  <c r="U975" i="24" a="1"/>
  <c r="U975" i="24" s="1"/>
  <c r="U976" i="24" a="1"/>
  <c r="U976" i="24" s="1"/>
  <c r="U977" i="24" a="1"/>
  <c r="U977" i="24" s="1"/>
  <c r="U978" i="24" a="1"/>
  <c r="U978" i="24" s="1"/>
  <c r="U979" i="24" a="1"/>
  <c r="U979" i="24" s="1"/>
  <c r="U980" i="24" a="1"/>
  <c r="U980" i="24" s="1"/>
  <c r="U981" i="24" a="1"/>
  <c r="U981" i="24" s="1"/>
  <c r="U982" i="24" a="1"/>
  <c r="U982" i="24" s="1"/>
  <c r="U983" i="24" a="1"/>
  <c r="U983" i="24" s="1"/>
  <c r="U984" i="24" a="1"/>
  <c r="U984" i="24" s="1"/>
  <c r="U985" i="24" a="1"/>
  <c r="U985" i="24" s="1"/>
  <c r="U986" i="24" a="1"/>
  <c r="U986" i="24" s="1"/>
  <c r="U987" i="24" a="1"/>
  <c r="U987" i="24" s="1"/>
  <c r="U988" i="24" a="1"/>
  <c r="U988" i="24" s="1"/>
  <c r="U989" i="24" a="1"/>
  <c r="U989" i="24" s="1"/>
  <c r="U990" i="24" a="1"/>
  <c r="U990" i="24" s="1"/>
  <c r="U991" i="24" a="1"/>
  <c r="U991" i="24" s="1"/>
  <c r="U992" i="24" a="1"/>
  <c r="U992" i="24" s="1"/>
  <c r="U993" i="24" a="1"/>
  <c r="U993" i="24" s="1"/>
  <c r="U994" i="24" a="1"/>
  <c r="U994" i="24" s="1"/>
  <c r="U995" i="24" a="1"/>
  <c r="U995" i="24" s="1"/>
  <c r="U996" i="24" a="1"/>
  <c r="U996" i="24" s="1"/>
  <c r="U997" i="24" a="1"/>
  <c r="U997" i="24" s="1"/>
  <c r="U998" i="24" a="1"/>
  <c r="U998" i="24" s="1"/>
  <c r="U999" i="24" a="1"/>
  <c r="U999" i="24" s="1"/>
  <c r="U1000" i="24" a="1"/>
  <c r="U1000" i="24" s="1"/>
  <c r="U1001" i="24" a="1"/>
  <c r="U1001" i="24" s="1"/>
  <c r="U1002" i="24" a="1"/>
  <c r="U1002" i="24" s="1"/>
  <c r="U1003" i="24" a="1"/>
  <c r="U1003" i="24" s="1"/>
  <c r="W1004" i="24"/>
  <c r="Y1004" i="24" s="1"/>
  <c r="X1004" i="24" l="1"/>
  <c r="AC106" i="32"/>
  <c r="AB106" i="32"/>
  <c r="AA106" i="32"/>
  <c r="Z106" i="32"/>
  <c r="Y106" i="32"/>
  <c r="X106" i="32"/>
  <c r="W106" i="32"/>
  <c r="V106" i="32"/>
  <c r="U106" i="32"/>
  <c r="T106" i="32"/>
  <c r="S106" i="32"/>
  <c r="R106" i="32"/>
  <c r="Q106" i="32"/>
  <c r="P106" i="32"/>
  <c r="O106" i="32"/>
  <c r="N106" i="32"/>
  <c r="M106" i="32"/>
  <c r="L106" i="32"/>
  <c r="K106" i="32"/>
  <c r="J106" i="32"/>
  <c r="I106" i="32"/>
  <c r="H106" i="32"/>
  <c r="G106" i="32"/>
  <c r="F106"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AC103" i="32"/>
  <c r="AB103" i="32"/>
  <c r="AA103" i="32"/>
  <c r="Z103" i="32"/>
  <c r="Y103" i="32"/>
  <c r="X103" i="32"/>
  <c r="W103" i="32"/>
  <c r="V103" i="32"/>
  <c r="U103" i="32"/>
  <c r="T103" i="32"/>
  <c r="S103" i="32"/>
  <c r="R103" i="32"/>
  <c r="Q103" i="32"/>
  <c r="P103" i="32"/>
  <c r="O103" i="32"/>
  <c r="N103" i="32"/>
  <c r="M103" i="32"/>
  <c r="L103" i="32"/>
  <c r="K103" i="32"/>
  <c r="J103" i="32"/>
  <c r="I103" i="32"/>
  <c r="H103" i="32"/>
  <c r="G103" i="32"/>
  <c r="F103"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AC99" i="32"/>
  <c r="AB99" i="32"/>
  <c r="AA99" i="32"/>
  <c r="Z99" i="32"/>
  <c r="Y99" i="32"/>
  <c r="X99" i="32"/>
  <c r="W99" i="32"/>
  <c r="V99" i="32"/>
  <c r="U99" i="32"/>
  <c r="T99" i="32"/>
  <c r="S99" i="32"/>
  <c r="R99" i="32"/>
  <c r="Q99" i="32"/>
  <c r="P99" i="32"/>
  <c r="O99" i="32"/>
  <c r="N99" i="32"/>
  <c r="M99" i="32"/>
  <c r="L99" i="32"/>
  <c r="K99" i="32"/>
  <c r="J99" i="32"/>
  <c r="I99" i="32"/>
  <c r="H99" i="32"/>
  <c r="G99" i="32"/>
  <c r="F99" i="32"/>
  <c r="AC98" i="32"/>
  <c r="AB98" i="32"/>
  <c r="AA98" i="32"/>
  <c r="Z98" i="32"/>
  <c r="Y98" i="32"/>
  <c r="X98" i="32"/>
  <c r="W98" i="32"/>
  <c r="V98" i="32"/>
  <c r="U98" i="32"/>
  <c r="T98" i="32"/>
  <c r="S98" i="32"/>
  <c r="R98" i="32"/>
  <c r="Q98" i="32"/>
  <c r="P98" i="32"/>
  <c r="O98" i="32"/>
  <c r="N98" i="32"/>
  <c r="M98" i="32"/>
  <c r="L98" i="32"/>
  <c r="K98" i="32"/>
  <c r="J98" i="32"/>
  <c r="I98" i="32"/>
  <c r="H98" i="32"/>
  <c r="G98" i="32"/>
  <c r="F98" i="32"/>
  <c r="AC97" i="32"/>
  <c r="AB97" i="32"/>
  <c r="AA97" i="32"/>
  <c r="Z97" i="32"/>
  <c r="Y97" i="32"/>
  <c r="X97" i="32"/>
  <c r="W97" i="32"/>
  <c r="V97" i="32"/>
  <c r="U97" i="32"/>
  <c r="T97" i="32"/>
  <c r="S97" i="32"/>
  <c r="R97" i="32"/>
  <c r="Q97" i="32"/>
  <c r="P97" i="32"/>
  <c r="O97" i="32"/>
  <c r="N97" i="32"/>
  <c r="M97" i="32"/>
  <c r="L97" i="32"/>
  <c r="K97" i="32"/>
  <c r="J97" i="32"/>
  <c r="I97" i="32"/>
  <c r="H97" i="32"/>
  <c r="G97" i="32"/>
  <c r="F97" i="32"/>
  <c r="AC96" i="32"/>
  <c r="AB96" i="32"/>
  <c r="AA96" i="32"/>
  <c r="Z96" i="32"/>
  <c r="Y96" i="32"/>
  <c r="X96" i="32"/>
  <c r="W96" i="32"/>
  <c r="V96" i="32"/>
  <c r="U96" i="32"/>
  <c r="T96" i="32"/>
  <c r="S96" i="32"/>
  <c r="R96" i="32"/>
  <c r="Q96" i="32"/>
  <c r="P96" i="32"/>
  <c r="O96" i="32"/>
  <c r="N96" i="32"/>
  <c r="M96" i="32"/>
  <c r="L96" i="32"/>
  <c r="K96" i="32"/>
  <c r="J96" i="32"/>
  <c r="I96" i="32"/>
  <c r="H96" i="32"/>
  <c r="G96" i="32"/>
  <c r="F96" i="32"/>
  <c r="AC95" i="32"/>
  <c r="AB95" i="32"/>
  <c r="AA95" i="32"/>
  <c r="Z95" i="32"/>
  <c r="Y95" i="32"/>
  <c r="X95" i="32"/>
  <c r="W95" i="32"/>
  <c r="V95" i="32"/>
  <c r="U95" i="32"/>
  <c r="T95" i="32"/>
  <c r="S95" i="32"/>
  <c r="R95" i="32"/>
  <c r="Q95" i="32"/>
  <c r="P95" i="32"/>
  <c r="O95" i="32"/>
  <c r="N95" i="32"/>
  <c r="M95" i="32"/>
  <c r="L95" i="32"/>
  <c r="K95" i="32"/>
  <c r="J95" i="32"/>
  <c r="I95" i="32"/>
  <c r="H95" i="32"/>
  <c r="G95" i="32"/>
  <c r="F95" i="32"/>
  <c r="AC94" i="32"/>
  <c r="AB94" i="32"/>
  <c r="AA94" i="32"/>
  <c r="Z94" i="32"/>
  <c r="Y94" i="32"/>
  <c r="X94" i="32"/>
  <c r="W94" i="32"/>
  <c r="V94" i="32"/>
  <c r="U94" i="32"/>
  <c r="T94" i="32"/>
  <c r="S94" i="32"/>
  <c r="R94" i="32"/>
  <c r="Q94" i="32"/>
  <c r="P94" i="32"/>
  <c r="O94" i="32"/>
  <c r="N94" i="32"/>
  <c r="M94" i="32"/>
  <c r="L94" i="32"/>
  <c r="K94" i="32"/>
  <c r="J94" i="32"/>
  <c r="I94" i="32"/>
  <c r="H94" i="32"/>
  <c r="G94" i="32"/>
  <c r="F94" i="32"/>
  <c r="AC93" i="32"/>
  <c r="AB93" i="32"/>
  <c r="AA93" i="32"/>
  <c r="Z93" i="32"/>
  <c r="Y93" i="32"/>
  <c r="X93" i="32"/>
  <c r="W93" i="32"/>
  <c r="V93" i="32"/>
  <c r="U93" i="32"/>
  <c r="T93" i="32"/>
  <c r="S93" i="32"/>
  <c r="R93" i="32"/>
  <c r="Q93" i="32"/>
  <c r="P93" i="32"/>
  <c r="O93" i="32"/>
  <c r="N93" i="32"/>
  <c r="M93" i="32"/>
  <c r="L93" i="32"/>
  <c r="K93" i="32"/>
  <c r="J93" i="32"/>
  <c r="I93" i="32"/>
  <c r="H93" i="32"/>
  <c r="G93" i="32"/>
  <c r="F93" i="32"/>
  <c r="AC92" i="32"/>
  <c r="AB92" i="32"/>
  <c r="AA92" i="32"/>
  <c r="Z92" i="32"/>
  <c r="Y92" i="32"/>
  <c r="X92" i="32"/>
  <c r="W92" i="32"/>
  <c r="V92" i="32"/>
  <c r="U92" i="32"/>
  <c r="T92" i="32"/>
  <c r="S92" i="32"/>
  <c r="R92" i="32"/>
  <c r="Q92" i="32"/>
  <c r="P92" i="32"/>
  <c r="O92" i="32"/>
  <c r="N92" i="32"/>
  <c r="M92" i="32"/>
  <c r="L92" i="32"/>
  <c r="K92" i="32"/>
  <c r="J92" i="32"/>
  <c r="I92" i="32"/>
  <c r="H92" i="32"/>
  <c r="G92" i="32"/>
  <c r="F92" i="32"/>
  <c r="AC91" i="32"/>
  <c r="AB91" i="32"/>
  <c r="AA91" i="32"/>
  <c r="Z91" i="32"/>
  <c r="Y91" i="32"/>
  <c r="X91" i="32"/>
  <c r="W91" i="32"/>
  <c r="V91" i="32"/>
  <c r="U91" i="32"/>
  <c r="T91" i="32"/>
  <c r="S91" i="32"/>
  <c r="R91" i="32"/>
  <c r="Q91" i="32"/>
  <c r="P91" i="32"/>
  <c r="O91" i="32"/>
  <c r="N91" i="32"/>
  <c r="M91" i="32"/>
  <c r="L91" i="32"/>
  <c r="K91" i="32"/>
  <c r="J91" i="32"/>
  <c r="I91" i="32"/>
  <c r="H91" i="32"/>
  <c r="G91" i="32"/>
  <c r="F91" i="32"/>
  <c r="AC90" i="32"/>
  <c r="AB90" i="32"/>
  <c r="AA90" i="32"/>
  <c r="Z90" i="32"/>
  <c r="Y90" i="32"/>
  <c r="X90" i="32"/>
  <c r="W90" i="32"/>
  <c r="V90" i="32"/>
  <c r="U90" i="32"/>
  <c r="T90" i="32"/>
  <c r="S90" i="32"/>
  <c r="R90" i="32"/>
  <c r="Q90" i="32"/>
  <c r="P90" i="32"/>
  <c r="O90" i="32"/>
  <c r="N90" i="32"/>
  <c r="M90" i="32"/>
  <c r="L90" i="32"/>
  <c r="K90" i="32"/>
  <c r="J90" i="32"/>
  <c r="I90" i="32"/>
  <c r="H90" i="32"/>
  <c r="G90" i="32"/>
  <c r="F90" i="32"/>
  <c r="AC89" i="32"/>
  <c r="AB89" i="32"/>
  <c r="AA89" i="32"/>
  <c r="Z89" i="32"/>
  <c r="Y89" i="32"/>
  <c r="X89" i="32"/>
  <c r="W89" i="32"/>
  <c r="V89" i="32"/>
  <c r="U89" i="32"/>
  <c r="T89" i="32"/>
  <c r="S89" i="32"/>
  <c r="R89" i="32"/>
  <c r="Q89" i="32"/>
  <c r="P89" i="32"/>
  <c r="O89" i="32"/>
  <c r="N89" i="32"/>
  <c r="M89" i="32"/>
  <c r="L89" i="32"/>
  <c r="K89" i="32"/>
  <c r="J89" i="32"/>
  <c r="I89" i="32"/>
  <c r="H89" i="32"/>
  <c r="G89" i="32"/>
  <c r="F89" i="32"/>
  <c r="AC88" i="32"/>
  <c r="AB88" i="32"/>
  <c r="AA88" i="32"/>
  <c r="Z88" i="32"/>
  <c r="Y88" i="32"/>
  <c r="X88" i="32"/>
  <c r="W88" i="32"/>
  <c r="V88" i="32"/>
  <c r="U88" i="32"/>
  <c r="T88" i="32"/>
  <c r="S88" i="32"/>
  <c r="R88" i="32"/>
  <c r="Q88" i="32"/>
  <c r="P88" i="32"/>
  <c r="O88" i="32"/>
  <c r="N88" i="32"/>
  <c r="M88" i="32"/>
  <c r="L88" i="32"/>
  <c r="K88" i="32"/>
  <c r="J88" i="32"/>
  <c r="I88" i="32"/>
  <c r="H88" i="32"/>
  <c r="G88" i="32"/>
  <c r="F88" i="32"/>
  <c r="AC87" i="32"/>
  <c r="AB87" i="32"/>
  <c r="AA87" i="32"/>
  <c r="Z87" i="32"/>
  <c r="Y87" i="32"/>
  <c r="X87" i="32"/>
  <c r="W87" i="32"/>
  <c r="V87" i="32"/>
  <c r="U87" i="32"/>
  <c r="T87" i="32"/>
  <c r="S87" i="32"/>
  <c r="R87" i="32"/>
  <c r="Q87" i="32"/>
  <c r="P87" i="32"/>
  <c r="O87" i="32"/>
  <c r="N87" i="32"/>
  <c r="M87" i="32"/>
  <c r="L87" i="32"/>
  <c r="K87" i="32"/>
  <c r="J87" i="32"/>
  <c r="I87" i="32"/>
  <c r="H87" i="32"/>
  <c r="G87" i="32"/>
  <c r="F87" i="32"/>
  <c r="AC86" i="32"/>
  <c r="AB86" i="32"/>
  <c r="AA86" i="32"/>
  <c r="Z86" i="32"/>
  <c r="Y86" i="32"/>
  <c r="X86" i="32"/>
  <c r="W86" i="32"/>
  <c r="V86" i="32"/>
  <c r="U86" i="32"/>
  <c r="T86" i="32"/>
  <c r="S86" i="32"/>
  <c r="R86" i="32"/>
  <c r="Q86" i="32"/>
  <c r="P86" i="32"/>
  <c r="O86" i="32"/>
  <c r="N86" i="32"/>
  <c r="M86" i="32"/>
  <c r="L86" i="32"/>
  <c r="K86" i="32"/>
  <c r="J86" i="32"/>
  <c r="I86" i="32"/>
  <c r="H86" i="32"/>
  <c r="G86" i="32"/>
  <c r="F86" i="32"/>
  <c r="AC85" i="32"/>
  <c r="AB85" i="32"/>
  <c r="AA85" i="32"/>
  <c r="Z85" i="32"/>
  <c r="Y85" i="32"/>
  <c r="X85" i="32"/>
  <c r="W85" i="32"/>
  <c r="V85" i="32"/>
  <c r="U85" i="32"/>
  <c r="T85" i="32"/>
  <c r="S85" i="32"/>
  <c r="R85" i="32"/>
  <c r="Q85" i="32"/>
  <c r="P85" i="32"/>
  <c r="O85" i="32"/>
  <c r="N85" i="32"/>
  <c r="M85" i="32"/>
  <c r="L85" i="32"/>
  <c r="K85" i="32"/>
  <c r="J85" i="32"/>
  <c r="I85" i="32"/>
  <c r="H85" i="32"/>
  <c r="G85" i="32"/>
  <c r="F85" i="32"/>
  <c r="AC84" i="32"/>
  <c r="AB84" i="32"/>
  <c r="AA84" i="32"/>
  <c r="Z84" i="32"/>
  <c r="Y84" i="32"/>
  <c r="X84" i="32"/>
  <c r="W84" i="32"/>
  <c r="V84" i="32"/>
  <c r="U84" i="32"/>
  <c r="T84" i="32"/>
  <c r="S84" i="32"/>
  <c r="R84" i="32"/>
  <c r="Q84" i="32"/>
  <c r="P84" i="32"/>
  <c r="O84" i="32"/>
  <c r="N84" i="32"/>
  <c r="M84" i="32"/>
  <c r="L84" i="32"/>
  <c r="K84" i="32"/>
  <c r="J84" i="32"/>
  <c r="I84" i="32"/>
  <c r="H84" i="32"/>
  <c r="G84" i="32"/>
  <c r="F84" i="32"/>
  <c r="AC83" i="32"/>
  <c r="AB83" i="32"/>
  <c r="AA83" i="32"/>
  <c r="Z83" i="32"/>
  <c r="Y83" i="32"/>
  <c r="X83" i="32"/>
  <c r="W83" i="32"/>
  <c r="V83" i="32"/>
  <c r="U83" i="32"/>
  <c r="T83" i="32"/>
  <c r="S83" i="32"/>
  <c r="R83" i="32"/>
  <c r="Q83" i="32"/>
  <c r="P83" i="32"/>
  <c r="O83" i="32"/>
  <c r="N83" i="32"/>
  <c r="M83" i="32"/>
  <c r="L83" i="32"/>
  <c r="K83" i="32"/>
  <c r="J83" i="32"/>
  <c r="I83" i="32"/>
  <c r="H83" i="32"/>
  <c r="G83" i="32"/>
  <c r="F83" i="32"/>
  <c r="AC82" i="32"/>
  <c r="AB82" i="32"/>
  <c r="AA82" i="32"/>
  <c r="Z82" i="32"/>
  <c r="Y82" i="32"/>
  <c r="X82" i="32"/>
  <c r="W82" i="32"/>
  <c r="V82" i="32"/>
  <c r="U82" i="32"/>
  <c r="T82" i="32"/>
  <c r="S82" i="32"/>
  <c r="R82" i="32"/>
  <c r="Q82" i="32"/>
  <c r="P82" i="32"/>
  <c r="O82" i="32"/>
  <c r="N82" i="32"/>
  <c r="M82" i="32"/>
  <c r="L82" i="32"/>
  <c r="K82" i="32"/>
  <c r="J82" i="32"/>
  <c r="I82" i="32"/>
  <c r="H82" i="32"/>
  <c r="G82" i="32"/>
  <c r="F82" i="32"/>
  <c r="AC81" i="32"/>
  <c r="AB81" i="32"/>
  <c r="AA81" i="32"/>
  <c r="Z81" i="32"/>
  <c r="Y81" i="32"/>
  <c r="X81" i="32"/>
  <c r="W81" i="32"/>
  <c r="V81" i="32"/>
  <c r="U81" i="32"/>
  <c r="T81" i="32"/>
  <c r="S81" i="32"/>
  <c r="R81" i="32"/>
  <c r="Q81" i="32"/>
  <c r="P81" i="32"/>
  <c r="O81" i="32"/>
  <c r="N81" i="32"/>
  <c r="M81" i="32"/>
  <c r="L81" i="32"/>
  <c r="K81" i="32"/>
  <c r="J81" i="32"/>
  <c r="I81" i="32"/>
  <c r="H81" i="32"/>
  <c r="G81" i="32"/>
  <c r="F81" i="32"/>
  <c r="AC80" i="32"/>
  <c r="AB80" i="32"/>
  <c r="AA80" i="32"/>
  <c r="Z80" i="32"/>
  <c r="Y80" i="32"/>
  <c r="X80" i="32"/>
  <c r="W80" i="32"/>
  <c r="V80" i="32"/>
  <c r="U80" i="32"/>
  <c r="T80" i="32"/>
  <c r="S80" i="32"/>
  <c r="R80" i="32"/>
  <c r="Q80" i="32"/>
  <c r="P80" i="32"/>
  <c r="O80" i="32"/>
  <c r="N80" i="32"/>
  <c r="M80" i="32"/>
  <c r="L80" i="32"/>
  <c r="K80" i="32"/>
  <c r="J80" i="32"/>
  <c r="I80" i="32"/>
  <c r="H80" i="32"/>
  <c r="G80" i="32"/>
  <c r="F80" i="32"/>
  <c r="AC79" i="32"/>
  <c r="AB79" i="32"/>
  <c r="AA79" i="32"/>
  <c r="Z79" i="32"/>
  <c r="Y79" i="32"/>
  <c r="X79" i="32"/>
  <c r="W79" i="32"/>
  <c r="V79" i="32"/>
  <c r="U79" i="32"/>
  <c r="T79" i="32"/>
  <c r="S79" i="32"/>
  <c r="R79" i="32"/>
  <c r="Q79" i="32"/>
  <c r="P79" i="32"/>
  <c r="O79" i="32"/>
  <c r="N79" i="32"/>
  <c r="M79" i="32"/>
  <c r="L79" i="32"/>
  <c r="K79" i="32"/>
  <c r="J79" i="32"/>
  <c r="I79" i="32"/>
  <c r="H79" i="32"/>
  <c r="G79" i="32"/>
  <c r="F79" i="32"/>
  <c r="AC78" i="32"/>
  <c r="AB78" i="32"/>
  <c r="AA78" i="32"/>
  <c r="Z78" i="32"/>
  <c r="Y78" i="32"/>
  <c r="X78" i="32"/>
  <c r="W78" i="32"/>
  <c r="V78" i="32"/>
  <c r="U78" i="32"/>
  <c r="T78" i="32"/>
  <c r="S78" i="32"/>
  <c r="R78" i="32"/>
  <c r="Q78" i="32"/>
  <c r="P78" i="32"/>
  <c r="O78" i="32"/>
  <c r="N78" i="32"/>
  <c r="M78" i="32"/>
  <c r="L78" i="32"/>
  <c r="K78" i="32"/>
  <c r="J78" i="32"/>
  <c r="I78" i="32"/>
  <c r="H78" i="32"/>
  <c r="G78" i="32"/>
  <c r="F78" i="32"/>
  <c r="AC77" i="32"/>
  <c r="AB77" i="32"/>
  <c r="AA77" i="32"/>
  <c r="Z77" i="32"/>
  <c r="Y77" i="32"/>
  <c r="X77" i="32"/>
  <c r="W77" i="32"/>
  <c r="V77" i="32"/>
  <c r="U77" i="32"/>
  <c r="T77" i="32"/>
  <c r="S77" i="32"/>
  <c r="R77" i="32"/>
  <c r="Q77" i="32"/>
  <c r="P77" i="32"/>
  <c r="O77" i="32"/>
  <c r="N77" i="32"/>
  <c r="M77" i="32"/>
  <c r="L77" i="32"/>
  <c r="K77" i="32"/>
  <c r="J77" i="32"/>
  <c r="I77" i="32"/>
  <c r="H77" i="32"/>
  <c r="G77" i="32"/>
  <c r="F77" i="32"/>
  <c r="AC76" i="32"/>
  <c r="AB76" i="32"/>
  <c r="AA76" i="32"/>
  <c r="Z76" i="32"/>
  <c r="Y76" i="32"/>
  <c r="X76" i="32"/>
  <c r="W76" i="32"/>
  <c r="V76" i="32"/>
  <c r="U76" i="32"/>
  <c r="T76" i="32"/>
  <c r="S76" i="32"/>
  <c r="R76" i="32"/>
  <c r="Q76" i="32"/>
  <c r="P76" i="32"/>
  <c r="O76" i="32"/>
  <c r="N76" i="32"/>
  <c r="M76" i="32"/>
  <c r="L76" i="32"/>
  <c r="K76" i="32"/>
  <c r="J76" i="32"/>
  <c r="I76" i="32"/>
  <c r="H76" i="32"/>
  <c r="G76" i="32"/>
  <c r="F76" i="32"/>
  <c r="AC75" i="32"/>
  <c r="AB75" i="32"/>
  <c r="AA75" i="32"/>
  <c r="Z75" i="32"/>
  <c r="Y75" i="32"/>
  <c r="X75" i="32"/>
  <c r="W75" i="32"/>
  <c r="V75" i="32"/>
  <c r="U75" i="32"/>
  <c r="T75" i="32"/>
  <c r="S75" i="32"/>
  <c r="R75" i="32"/>
  <c r="Q75" i="32"/>
  <c r="P75" i="32"/>
  <c r="O75" i="32"/>
  <c r="N75" i="32"/>
  <c r="M75" i="32"/>
  <c r="L75" i="32"/>
  <c r="K75" i="32"/>
  <c r="J75" i="32"/>
  <c r="I75" i="32"/>
  <c r="H75" i="32"/>
  <c r="G75" i="32"/>
  <c r="F75" i="32"/>
  <c r="AC74" i="32"/>
  <c r="AB74" i="32"/>
  <c r="AA74" i="32"/>
  <c r="Z74" i="32"/>
  <c r="Y74" i="32"/>
  <c r="X74" i="32"/>
  <c r="W74" i="32"/>
  <c r="V74" i="32"/>
  <c r="U74" i="32"/>
  <c r="T74" i="32"/>
  <c r="S74" i="32"/>
  <c r="R74" i="32"/>
  <c r="Q74" i="32"/>
  <c r="P74" i="32"/>
  <c r="O74" i="32"/>
  <c r="N74" i="32"/>
  <c r="M74" i="32"/>
  <c r="L74" i="32"/>
  <c r="K74" i="32"/>
  <c r="J74" i="32"/>
  <c r="I74" i="32"/>
  <c r="H74" i="32"/>
  <c r="G74" i="32"/>
  <c r="F74" i="32"/>
  <c r="AC73" i="32"/>
  <c r="AB73" i="32"/>
  <c r="AA73" i="32"/>
  <c r="Z73" i="32"/>
  <c r="Y73" i="32"/>
  <c r="X73" i="32"/>
  <c r="W73" i="32"/>
  <c r="V73" i="32"/>
  <c r="U73" i="32"/>
  <c r="T73" i="32"/>
  <c r="S73" i="32"/>
  <c r="R73" i="32"/>
  <c r="Q73" i="32"/>
  <c r="P73" i="32"/>
  <c r="O73" i="32"/>
  <c r="N73" i="32"/>
  <c r="M73" i="32"/>
  <c r="L73" i="32"/>
  <c r="K73" i="32"/>
  <c r="J73" i="32"/>
  <c r="I73" i="32"/>
  <c r="H73" i="32"/>
  <c r="G73" i="32"/>
  <c r="F73" i="32"/>
  <c r="AC72" i="32"/>
  <c r="AB72" i="32"/>
  <c r="AA72" i="32"/>
  <c r="Z72" i="32"/>
  <c r="Y72" i="32"/>
  <c r="X72" i="32"/>
  <c r="W72" i="32"/>
  <c r="V72" i="32"/>
  <c r="U72" i="32"/>
  <c r="T72" i="32"/>
  <c r="S72" i="32"/>
  <c r="R72" i="32"/>
  <c r="Q72" i="32"/>
  <c r="P72" i="32"/>
  <c r="O72" i="32"/>
  <c r="N72" i="32"/>
  <c r="M72" i="32"/>
  <c r="L72" i="32"/>
  <c r="K72" i="32"/>
  <c r="J72" i="32"/>
  <c r="I72" i="32"/>
  <c r="H72" i="32"/>
  <c r="G72" i="32"/>
  <c r="F72" i="32"/>
  <c r="AC71" i="32"/>
  <c r="AB71" i="32"/>
  <c r="AA71" i="32"/>
  <c r="Z71" i="32"/>
  <c r="Y71" i="32"/>
  <c r="X71" i="32"/>
  <c r="W71" i="32"/>
  <c r="V71" i="32"/>
  <c r="U71" i="32"/>
  <c r="T71" i="32"/>
  <c r="S71" i="32"/>
  <c r="R71" i="32"/>
  <c r="Q71" i="32"/>
  <c r="P71" i="32"/>
  <c r="O71" i="32"/>
  <c r="N71" i="32"/>
  <c r="M71" i="32"/>
  <c r="L71" i="32"/>
  <c r="K71" i="32"/>
  <c r="J71" i="32"/>
  <c r="I71" i="32"/>
  <c r="H71" i="32"/>
  <c r="G71" i="32"/>
  <c r="F71" i="32"/>
  <c r="AC70" i="32"/>
  <c r="AB70" i="32"/>
  <c r="AA70" i="32"/>
  <c r="Z70" i="32"/>
  <c r="Y70" i="32"/>
  <c r="X70" i="32"/>
  <c r="W70" i="32"/>
  <c r="V70" i="32"/>
  <c r="U70" i="32"/>
  <c r="T70" i="32"/>
  <c r="S70" i="32"/>
  <c r="R70" i="32"/>
  <c r="Q70" i="32"/>
  <c r="P70" i="32"/>
  <c r="O70" i="32"/>
  <c r="N70" i="32"/>
  <c r="M70" i="32"/>
  <c r="L70" i="32"/>
  <c r="K70" i="32"/>
  <c r="J70" i="32"/>
  <c r="I70" i="32"/>
  <c r="H70" i="32"/>
  <c r="G70" i="32"/>
  <c r="F70" i="32"/>
  <c r="AC69" i="32"/>
  <c r="AB69" i="32"/>
  <c r="AA69" i="32"/>
  <c r="Z69" i="32"/>
  <c r="Y69" i="32"/>
  <c r="X69" i="32"/>
  <c r="W69" i="32"/>
  <c r="V69" i="32"/>
  <c r="U69" i="32"/>
  <c r="T69" i="32"/>
  <c r="S69" i="32"/>
  <c r="R69" i="32"/>
  <c r="Q69" i="32"/>
  <c r="P69" i="32"/>
  <c r="O69" i="32"/>
  <c r="N69" i="32"/>
  <c r="M69" i="32"/>
  <c r="L69" i="32"/>
  <c r="K69" i="32"/>
  <c r="J69" i="32"/>
  <c r="I69" i="32"/>
  <c r="H69" i="32"/>
  <c r="G69" i="32"/>
  <c r="F69" i="32"/>
  <c r="AC68" i="32"/>
  <c r="AB68" i="32"/>
  <c r="AA68" i="32"/>
  <c r="Z68" i="32"/>
  <c r="Y68" i="32"/>
  <c r="X68" i="32"/>
  <c r="W68" i="32"/>
  <c r="V68" i="32"/>
  <c r="U68" i="32"/>
  <c r="T68" i="32"/>
  <c r="S68" i="32"/>
  <c r="R68" i="32"/>
  <c r="Q68" i="32"/>
  <c r="P68" i="32"/>
  <c r="O68" i="32"/>
  <c r="N68" i="32"/>
  <c r="M68" i="32"/>
  <c r="L68" i="32"/>
  <c r="K68" i="32"/>
  <c r="J68" i="32"/>
  <c r="I68" i="32"/>
  <c r="H68" i="32"/>
  <c r="G68" i="32"/>
  <c r="F68" i="32"/>
  <c r="AC67" i="32"/>
  <c r="AB67" i="32"/>
  <c r="AA67" i="32"/>
  <c r="Z67" i="32"/>
  <c r="Y67" i="32"/>
  <c r="X67" i="32"/>
  <c r="W67" i="32"/>
  <c r="V67" i="32"/>
  <c r="U67" i="32"/>
  <c r="T67" i="32"/>
  <c r="S67" i="32"/>
  <c r="R67" i="32"/>
  <c r="Q67" i="32"/>
  <c r="P67" i="32"/>
  <c r="O67" i="32"/>
  <c r="N67" i="32"/>
  <c r="M67" i="32"/>
  <c r="L67" i="32"/>
  <c r="K67" i="32"/>
  <c r="J67" i="32"/>
  <c r="I67" i="32"/>
  <c r="H67" i="32"/>
  <c r="G67" i="32"/>
  <c r="F67" i="32"/>
  <c r="AC66" i="32"/>
  <c r="AB66" i="32"/>
  <c r="AA66" i="32"/>
  <c r="Z66" i="32"/>
  <c r="Y66" i="32"/>
  <c r="X66" i="32"/>
  <c r="W66" i="32"/>
  <c r="V66" i="32"/>
  <c r="U66" i="32"/>
  <c r="T66" i="32"/>
  <c r="S66" i="32"/>
  <c r="R66" i="32"/>
  <c r="Q66" i="32"/>
  <c r="P66" i="32"/>
  <c r="O66" i="32"/>
  <c r="N66" i="32"/>
  <c r="M66" i="32"/>
  <c r="L66" i="32"/>
  <c r="K66" i="32"/>
  <c r="J66" i="32"/>
  <c r="I66" i="32"/>
  <c r="H66" i="32"/>
  <c r="G66" i="32"/>
  <c r="F66" i="32"/>
  <c r="AC65" i="32"/>
  <c r="AB65" i="32"/>
  <c r="AA65" i="32"/>
  <c r="Z65" i="32"/>
  <c r="Y65" i="32"/>
  <c r="X65" i="32"/>
  <c r="W65" i="32"/>
  <c r="V65" i="32"/>
  <c r="U65" i="32"/>
  <c r="T65" i="32"/>
  <c r="S65" i="32"/>
  <c r="R65" i="32"/>
  <c r="Q65" i="32"/>
  <c r="P65" i="32"/>
  <c r="O65" i="32"/>
  <c r="N65" i="32"/>
  <c r="M65" i="32"/>
  <c r="L65" i="32"/>
  <c r="K65" i="32"/>
  <c r="J65" i="32"/>
  <c r="I65" i="32"/>
  <c r="H65" i="32"/>
  <c r="G65" i="32"/>
  <c r="F65" i="32"/>
  <c r="AC64" i="32"/>
  <c r="AB64" i="32"/>
  <c r="AA64" i="32"/>
  <c r="Z64" i="32"/>
  <c r="Y64" i="32"/>
  <c r="X64" i="32"/>
  <c r="W64" i="32"/>
  <c r="V64" i="32"/>
  <c r="U64" i="32"/>
  <c r="T64" i="32"/>
  <c r="S64" i="32"/>
  <c r="R64" i="32"/>
  <c r="Q64" i="32"/>
  <c r="P64" i="32"/>
  <c r="O64" i="32"/>
  <c r="N64" i="32"/>
  <c r="M64" i="32"/>
  <c r="L64" i="32"/>
  <c r="K64" i="32"/>
  <c r="J64" i="32"/>
  <c r="I64" i="32"/>
  <c r="H64" i="32"/>
  <c r="G64" i="32"/>
  <c r="F64" i="32"/>
  <c r="AC63" i="32"/>
  <c r="AB63" i="32"/>
  <c r="AA63" i="32"/>
  <c r="Z63" i="32"/>
  <c r="Y63" i="32"/>
  <c r="X63" i="32"/>
  <c r="W63" i="32"/>
  <c r="V63" i="32"/>
  <c r="U63" i="32"/>
  <c r="T63" i="32"/>
  <c r="S63" i="32"/>
  <c r="R63" i="32"/>
  <c r="Q63" i="32"/>
  <c r="P63" i="32"/>
  <c r="O63" i="32"/>
  <c r="N63" i="32"/>
  <c r="M63" i="32"/>
  <c r="L63" i="32"/>
  <c r="K63" i="32"/>
  <c r="J63" i="32"/>
  <c r="I63" i="32"/>
  <c r="H63" i="32"/>
  <c r="G63" i="32"/>
  <c r="F63" i="32"/>
  <c r="AC62" i="32"/>
  <c r="AB62" i="32"/>
  <c r="AA62" i="32"/>
  <c r="Z62" i="32"/>
  <c r="Y62" i="32"/>
  <c r="X62" i="32"/>
  <c r="W62" i="32"/>
  <c r="V62" i="32"/>
  <c r="U62" i="32"/>
  <c r="T62" i="32"/>
  <c r="S62" i="32"/>
  <c r="R62" i="32"/>
  <c r="Q62" i="32"/>
  <c r="P62" i="32"/>
  <c r="O62" i="32"/>
  <c r="N62" i="32"/>
  <c r="M62" i="32"/>
  <c r="L62" i="32"/>
  <c r="K62" i="32"/>
  <c r="J62" i="32"/>
  <c r="I62" i="32"/>
  <c r="H62" i="32"/>
  <c r="G62" i="32"/>
  <c r="F62" i="32"/>
  <c r="AC61" i="32"/>
  <c r="AB61" i="32"/>
  <c r="AA61" i="32"/>
  <c r="Z61" i="32"/>
  <c r="Y61" i="32"/>
  <c r="X61" i="32"/>
  <c r="W61" i="32"/>
  <c r="V61" i="32"/>
  <c r="U61" i="32"/>
  <c r="T61" i="32"/>
  <c r="S61" i="32"/>
  <c r="R61" i="32"/>
  <c r="Q61" i="32"/>
  <c r="P61" i="32"/>
  <c r="O61" i="32"/>
  <c r="N61" i="32"/>
  <c r="M61" i="32"/>
  <c r="L61" i="32"/>
  <c r="K61" i="32"/>
  <c r="J61" i="32"/>
  <c r="I61" i="32"/>
  <c r="H61" i="32"/>
  <c r="G61" i="32"/>
  <c r="F61" i="32"/>
  <c r="AC60" i="32"/>
  <c r="AB60" i="32"/>
  <c r="AA60" i="32"/>
  <c r="Z60" i="32"/>
  <c r="Y60" i="32"/>
  <c r="X60" i="32"/>
  <c r="W60" i="32"/>
  <c r="V60" i="32"/>
  <c r="U60" i="32"/>
  <c r="T60" i="32"/>
  <c r="S60" i="32"/>
  <c r="R60" i="32"/>
  <c r="Q60" i="32"/>
  <c r="P60" i="32"/>
  <c r="O60" i="32"/>
  <c r="N60" i="32"/>
  <c r="M60" i="32"/>
  <c r="L60" i="32"/>
  <c r="K60" i="32"/>
  <c r="J60" i="32"/>
  <c r="I60" i="32"/>
  <c r="H60" i="32"/>
  <c r="G60" i="32"/>
  <c r="F60" i="32"/>
  <c r="AC59" i="32"/>
  <c r="AB59" i="32"/>
  <c r="AA59" i="32"/>
  <c r="Z59" i="32"/>
  <c r="Y59" i="32"/>
  <c r="X59" i="32"/>
  <c r="W59" i="32"/>
  <c r="V59" i="32"/>
  <c r="U59" i="32"/>
  <c r="T59" i="32"/>
  <c r="S59" i="32"/>
  <c r="R59" i="32"/>
  <c r="Q59" i="32"/>
  <c r="P59" i="32"/>
  <c r="O59" i="32"/>
  <c r="N59" i="32"/>
  <c r="M59" i="32"/>
  <c r="L59" i="32"/>
  <c r="K59" i="32"/>
  <c r="J59" i="32"/>
  <c r="I59" i="32"/>
  <c r="H59" i="32"/>
  <c r="G59" i="32"/>
  <c r="F59" i="32"/>
  <c r="AC58" i="32"/>
  <c r="AB58" i="32"/>
  <c r="AA58" i="32"/>
  <c r="Z58" i="32"/>
  <c r="Y58" i="32"/>
  <c r="X58" i="32"/>
  <c r="W58" i="32"/>
  <c r="V58" i="32"/>
  <c r="U58" i="32"/>
  <c r="T58" i="32"/>
  <c r="S58" i="32"/>
  <c r="R58" i="32"/>
  <c r="Q58" i="32"/>
  <c r="P58" i="32"/>
  <c r="O58" i="32"/>
  <c r="N58" i="32"/>
  <c r="M58" i="32"/>
  <c r="L58" i="32"/>
  <c r="K58" i="32"/>
  <c r="J58" i="32"/>
  <c r="I58" i="32"/>
  <c r="H58" i="32"/>
  <c r="G58" i="32"/>
  <c r="F58" i="32"/>
  <c r="AC57" i="32"/>
  <c r="AB57" i="32"/>
  <c r="AA57" i="32"/>
  <c r="Z57" i="32"/>
  <c r="Y57" i="32"/>
  <c r="X57" i="32"/>
  <c r="W57" i="32"/>
  <c r="V57" i="32"/>
  <c r="U57" i="32"/>
  <c r="T57" i="32"/>
  <c r="S57" i="32"/>
  <c r="R57" i="32"/>
  <c r="Q57" i="32"/>
  <c r="P57" i="32"/>
  <c r="O57" i="32"/>
  <c r="N57" i="32"/>
  <c r="M57" i="32"/>
  <c r="L57" i="32"/>
  <c r="K57" i="32"/>
  <c r="J57" i="32"/>
  <c r="I57" i="32"/>
  <c r="H57" i="32"/>
  <c r="G57" i="32"/>
  <c r="F57" i="32"/>
  <c r="AC56" i="32"/>
  <c r="AB56" i="32"/>
  <c r="AA56" i="32"/>
  <c r="Z56" i="32"/>
  <c r="Y56" i="32"/>
  <c r="X56" i="32"/>
  <c r="W56" i="32"/>
  <c r="V56" i="32"/>
  <c r="U56" i="32"/>
  <c r="T56" i="32"/>
  <c r="S56" i="32"/>
  <c r="R56" i="32"/>
  <c r="Q56" i="32"/>
  <c r="P56" i="32"/>
  <c r="O56" i="32"/>
  <c r="N56" i="32"/>
  <c r="M56" i="32"/>
  <c r="L56" i="32"/>
  <c r="K56" i="32"/>
  <c r="J56" i="32"/>
  <c r="I56" i="32"/>
  <c r="H56" i="32"/>
  <c r="G56" i="32"/>
  <c r="F56" i="32"/>
  <c r="AC55" i="32"/>
  <c r="AB55" i="32"/>
  <c r="AA55" i="32"/>
  <c r="Z55" i="32"/>
  <c r="Y55" i="32"/>
  <c r="X55" i="32"/>
  <c r="W55" i="32"/>
  <c r="V55" i="32"/>
  <c r="U55" i="32"/>
  <c r="T55" i="32"/>
  <c r="S55" i="32"/>
  <c r="R55" i="32"/>
  <c r="Q55" i="32"/>
  <c r="P55" i="32"/>
  <c r="O55" i="32"/>
  <c r="N55" i="32"/>
  <c r="M55" i="32"/>
  <c r="L55" i="32"/>
  <c r="K55" i="32"/>
  <c r="J55" i="32"/>
  <c r="I55" i="32"/>
  <c r="H55" i="32"/>
  <c r="G55" i="32"/>
  <c r="F55" i="32"/>
  <c r="AC54" i="32"/>
  <c r="AB54" i="32"/>
  <c r="AA54" i="32"/>
  <c r="Z54" i="32"/>
  <c r="Y54" i="32"/>
  <c r="X54" i="32"/>
  <c r="W54" i="32"/>
  <c r="V54" i="32"/>
  <c r="U54" i="32"/>
  <c r="T54" i="32"/>
  <c r="S54" i="32"/>
  <c r="R54" i="32"/>
  <c r="Q54" i="32"/>
  <c r="P54" i="32"/>
  <c r="O54" i="32"/>
  <c r="N54" i="32"/>
  <c r="M54" i="32"/>
  <c r="L54" i="32"/>
  <c r="K54" i="32"/>
  <c r="J54" i="32"/>
  <c r="I54" i="32"/>
  <c r="H54" i="32"/>
  <c r="G54" i="32"/>
  <c r="F54" i="32"/>
  <c r="AC53" i="32"/>
  <c r="AB53" i="32"/>
  <c r="AA53" i="32"/>
  <c r="Z53" i="32"/>
  <c r="Y53" i="32"/>
  <c r="X53" i="32"/>
  <c r="W53" i="32"/>
  <c r="V53" i="32"/>
  <c r="U53" i="32"/>
  <c r="T53" i="32"/>
  <c r="S53" i="32"/>
  <c r="R53" i="32"/>
  <c r="Q53" i="32"/>
  <c r="P53" i="32"/>
  <c r="O53" i="32"/>
  <c r="N53" i="32"/>
  <c r="M53" i="32"/>
  <c r="L53" i="32"/>
  <c r="K53" i="32"/>
  <c r="J53" i="32"/>
  <c r="I53" i="32"/>
  <c r="H53" i="32"/>
  <c r="G53" i="32"/>
  <c r="F53" i="32"/>
  <c r="AC52" i="32"/>
  <c r="AB52" i="32"/>
  <c r="AA52" i="32"/>
  <c r="Z52" i="32"/>
  <c r="Y52" i="32"/>
  <c r="X52" i="32"/>
  <c r="W52" i="32"/>
  <c r="V52" i="32"/>
  <c r="U52" i="32"/>
  <c r="T52" i="32"/>
  <c r="S52" i="32"/>
  <c r="R52" i="32"/>
  <c r="Q52" i="32"/>
  <c r="P52" i="32"/>
  <c r="O52" i="32"/>
  <c r="N52" i="32"/>
  <c r="M52" i="32"/>
  <c r="L52" i="32"/>
  <c r="K52" i="32"/>
  <c r="J52" i="32"/>
  <c r="I52" i="32"/>
  <c r="H52" i="32"/>
  <c r="G52" i="32"/>
  <c r="F52" i="32"/>
  <c r="AC51" i="32"/>
  <c r="AB51" i="32"/>
  <c r="AA51" i="32"/>
  <c r="Z51" i="32"/>
  <c r="Y51" i="32"/>
  <c r="X51" i="32"/>
  <c r="W51" i="32"/>
  <c r="V51" i="32"/>
  <c r="U51" i="32"/>
  <c r="T51" i="32"/>
  <c r="S51" i="32"/>
  <c r="R51" i="32"/>
  <c r="Q51" i="32"/>
  <c r="P51" i="32"/>
  <c r="O51" i="32"/>
  <c r="N51" i="32"/>
  <c r="M51" i="32"/>
  <c r="L51" i="32"/>
  <c r="K51" i="32"/>
  <c r="J51" i="32"/>
  <c r="I51" i="32"/>
  <c r="H51" i="32"/>
  <c r="G51" i="32"/>
  <c r="F51" i="32"/>
  <c r="AC50" i="32"/>
  <c r="AB50" i="32"/>
  <c r="AA50" i="32"/>
  <c r="Z50" i="32"/>
  <c r="Y50" i="32"/>
  <c r="X50" i="32"/>
  <c r="W50" i="32"/>
  <c r="V50" i="32"/>
  <c r="U50" i="32"/>
  <c r="T50" i="32"/>
  <c r="S50" i="32"/>
  <c r="R50" i="32"/>
  <c r="Q50" i="32"/>
  <c r="P50" i="32"/>
  <c r="O50" i="32"/>
  <c r="N50" i="32"/>
  <c r="M50" i="32"/>
  <c r="L50" i="32"/>
  <c r="K50" i="32"/>
  <c r="J50" i="32"/>
  <c r="I50" i="32"/>
  <c r="H50" i="32"/>
  <c r="G50" i="32"/>
  <c r="F50" i="32"/>
  <c r="AC49" i="32"/>
  <c r="AB49" i="32"/>
  <c r="AA49" i="32"/>
  <c r="Z49" i="32"/>
  <c r="Y49" i="32"/>
  <c r="X49" i="32"/>
  <c r="W49" i="32"/>
  <c r="V49" i="32"/>
  <c r="U49" i="32"/>
  <c r="T49" i="32"/>
  <c r="S49" i="32"/>
  <c r="R49" i="32"/>
  <c r="Q49" i="32"/>
  <c r="P49" i="32"/>
  <c r="O49" i="32"/>
  <c r="N49" i="32"/>
  <c r="M49" i="32"/>
  <c r="L49" i="32"/>
  <c r="K49" i="32"/>
  <c r="J49" i="32"/>
  <c r="I49" i="32"/>
  <c r="H49" i="32"/>
  <c r="G49" i="32"/>
  <c r="F49" i="32"/>
  <c r="AC48" i="32"/>
  <c r="AB48" i="32"/>
  <c r="AA48" i="32"/>
  <c r="Z48" i="32"/>
  <c r="Y48" i="32"/>
  <c r="X48" i="32"/>
  <c r="W48" i="32"/>
  <c r="V48" i="32"/>
  <c r="U48" i="32"/>
  <c r="T48" i="32"/>
  <c r="S48" i="32"/>
  <c r="R48" i="32"/>
  <c r="Q48" i="32"/>
  <c r="P48" i="32"/>
  <c r="O48" i="32"/>
  <c r="N48" i="32"/>
  <c r="M48" i="32"/>
  <c r="L48" i="32"/>
  <c r="K48" i="32"/>
  <c r="J48" i="32"/>
  <c r="I48" i="32"/>
  <c r="H48" i="32"/>
  <c r="G48" i="32"/>
  <c r="F48" i="32"/>
  <c r="AC47" i="32"/>
  <c r="AB47" i="32"/>
  <c r="AA47" i="32"/>
  <c r="Z47" i="32"/>
  <c r="Y47" i="32"/>
  <c r="X47" i="32"/>
  <c r="W47" i="32"/>
  <c r="V47" i="32"/>
  <c r="U47" i="32"/>
  <c r="T47" i="32"/>
  <c r="S47" i="32"/>
  <c r="R47" i="32"/>
  <c r="Q47" i="32"/>
  <c r="P47" i="32"/>
  <c r="O47" i="32"/>
  <c r="N47" i="32"/>
  <c r="M47" i="32"/>
  <c r="L47" i="32"/>
  <c r="K47" i="32"/>
  <c r="J47" i="32"/>
  <c r="I47" i="32"/>
  <c r="H47" i="32"/>
  <c r="G47" i="32"/>
  <c r="F47" i="32"/>
  <c r="AC46" i="32"/>
  <c r="AB46" i="32"/>
  <c r="AA46" i="32"/>
  <c r="Z46" i="32"/>
  <c r="Y46" i="32"/>
  <c r="X46" i="32"/>
  <c r="W46" i="32"/>
  <c r="V46" i="32"/>
  <c r="U46" i="32"/>
  <c r="T46" i="32"/>
  <c r="S46" i="32"/>
  <c r="R46" i="32"/>
  <c r="Q46" i="32"/>
  <c r="P46" i="32"/>
  <c r="O46" i="32"/>
  <c r="N46" i="32"/>
  <c r="M46" i="32"/>
  <c r="L46" i="32"/>
  <c r="K46" i="32"/>
  <c r="J46" i="32"/>
  <c r="I46" i="32"/>
  <c r="H46" i="32"/>
  <c r="G46" i="32"/>
  <c r="F46" i="32"/>
  <c r="AC45" i="32"/>
  <c r="AB45" i="32"/>
  <c r="AA45" i="32"/>
  <c r="Z45" i="32"/>
  <c r="Y45" i="32"/>
  <c r="X45" i="32"/>
  <c r="W45" i="32"/>
  <c r="V45" i="32"/>
  <c r="U45" i="32"/>
  <c r="T45" i="32"/>
  <c r="S45" i="32"/>
  <c r="R45" i="32"/>
  <c r="Q45" i="32"/>
  <c r="P45" i="32"/>
  <c r="O45" i="32"/>
  <c r="N45" i="32"/>
  <c r="M45" i="32"/>
  <c r="L45" i="32"/>
  <c r="K45" i="32"/>
  <c r="J45" i="32"/>
  <c r="I45" i="32"/>
  <c r="H45" i="32"/>
  <c r="G45" i="32"/>
  <c r="F45" i="32"/>
  <c r="AC44" i="32"/>
  <c r="AB44" i="32"/>
  <c r="AA44" i="32"/>
  <c r="Z44" i="32"/>
  <c r="Y44" i="32"/>
  <c r="X44" i="32"/>
  <c r="W44" i="32"/>
  <c r="V44" i="32"/>
  <c r="U44" i="32"/>
  <c r="T44" i="32"/>
  <c r="S44" i="32"/>
  <c r="R44" i="32"/>
  <c r="Q44" i="32"/>
  <c r="P44" i="32"/>
  <c r="O44" i="32"/>
  <c r="N44" i="32"/>
  <c r="M44" i="32"/>
  <c r="L44" i="32"/>
  <c r="K44" i="32"/>
  <c r="J44" i="32"/>
  <c r="I44" i="32"/>
  <c r="H44" i="32"/>
  <c r="G44" i="32"/>
  <c r="F44" i="32"/>
  <c r="AC43" i="32"/>
  <c r="AB43" i="32"/>
  <c r="AA43" i="32"/>
  <c r="Z43" i="32"/>
  <c r="Y43" i="32"/>
  <c r="X43" i="32"/>
  <c r="W43" i="32"/>
  <c r="V43" i="32"/>
  <c r="U43" i="32"/>
  <c r="T43" i="32"/>
  <c r="S43" i="32"/>
  <c r="R43" i="32"/>
  <c r="Q43" i="32"/>
  <c r="P43" i="32"/>
  <c r="O43" i="32"/>
  <c r="N43" i="32"/>
  <c r="M43" i="32"/>
  <c r="L43" i="32"/>
  <c r="K43" i="32"/>
  <c r="J43" i="32"/>
  <c r="I43" i="32"/>
  <c r="H43" i="32"/>
  <c r="G43" i="32"/>
  <c r="F43" i="32"/>
  <c r="AC42" i="32"/>
  <c r="AB42" i="32"/>
  <c r="AA42" i="32"/>
  <c r="Z42" i="32"/>
  <c r="Y42" i="32"/>
  <c r="X42" i="32"/>
  <c r="W42" i="32"/>
  <c r="V42" i="32"/>
  <c r="U42" i="32"/>
  <c r="T42" i="32"/>
  <c r="S42" i="32"/>
  <c r="R42" i="32"/>
  <c r="Q42" i="32"/>
  <c r="P42" i="32"/>
  <c r="O42" i="32"/>
  <c r="N42" i="32"/>
  <c r="M42" i="32"/>
  <c r="L42" i="32"/>
  <c r="K42" i="32"/>
  <c r="J42" i="32"/>
  <c r="I42" i="32"/>
  <c r="H42" i="32"/>
  <c r="G42" i="32"/>
  <c r="F42" i="32"/>
  <c r="AC41" i="32"/>
  <c r="AB41" i="32"/>
  <c r="AA41" i="32"/>
  <c r="Z41" i="32"/>
  <c r="Y41" i="32"/>
  <c r="X41" i="32"/>
  <c r="W41" i="32"/>
  <c r="V41" i="32"/>
  <c r="U41" i="32"/>
  <c r="T41" i="32"/>
  <c r="S41" i="32"/>
  <c r="R41" i="32"/>
  <c r="Q41" i="32"/>
  <c r="P41" i="32"/>
  <c r="O41" i="32"/>
  <c r="N41" i="32"/>
  <c r="M41" i="32"/>
  <c r="L41" i="32"/>
  <c r="K41" i="32"/>
  <c r="J41" i="32"/>
  <c r="I41" i="32"/>
  <c r="H41" i="32"/>
  <c r="G41" i="32"/>
  <c r="F41" i="32"/>
  <c r="AC40" i="32"/>
  <c r="AB40" i="32"/>
  <c r="AA40" i="32"/>
  <c r="Z40" i="32"/>
  <c r="Y40" i="32"/>
  <c r="X40" i="32"/>
  <c r="W40" i="32"/>
  <c r="V40" i="32"/>
  <c r="U40" i="32"/>
  <c r="T40" i="32"/>
  <c r="S40" i="32"/>
  <c r="R40" i="32"/>
  <c r="Q40" i="32"/>
  <c r="P40" i="32"/>
  <c r="O40" i="32"/>
  <c r="N40" i="32"/>
  <c r="M40" i="32"/>
  <c r="L40" i="32"/>
  <c r="K40" i="32"/>
  <c r="J40" i="32"/>
  <c r="I40" i="32"/>
  <c r="H40" i="32"/>
  <c r="G40" i="32"/>
  <c r="F40" i="32"/>
  <c r="AC39" i="32"/>
  <c r="AB39" i="32"/>
  <c r="AA39" i="32"/>
  <c r="Z39" i="32"/>
  <c r="Y39" i="32"/>
  <c r="X39" i="32"/>
  <c r="W39" i="32"/>
  <c r="V39" i="32"/>
  <c r="U39" i="32"/>
  <c r="T39" i="32"/>
  <c r="S39" i="32"/>
  <c r="R39" i="32"/>
  <c r="Q39" i="32"/>
  <c r="P39" i="32"/>
  <c r="O39" i="32"/>
  <c r="N39" i="32"/>
  <c r="M39" i="32"/>
  <c r="L39" i="32"/>
  <c r="K39" i="32"/>
  <c r="J39" i="32"/>
  <c r="I39" i="32"/>
  <c r="H39" i="32"/>
  <c r="G39" i="32"/>
  <c r="F39" i="32"/>
  <c r="AC38" i="32"/>
  <c r="AB38" i="32"/>
  <c r="AA38" i="32"/>
  <c r="Z38" i="32"/>
  <c r="Y38" i="32"/>
  <c r="X38" i="32"/>
  <c r="W38" i="32"/>
  <c r="V38" i="32"/>
  <c r="U38" i="32"/>
  <c r="T38" i="32"/>
  <c r="S38" i="32"/>
  <c r="R38" i="32"/>
  <c r="Q38" i="32"/>
  <c r="P38" i="32"/>
  <c r="O38" i="32"/>
  <c r="N38" i="32"/>
  <c r="M38" i="32"/>
  <c r="L38" i="32"/>
  <c r="K38" i="32"/>
  <c r="J38" i="32"/>
  <c r="I38" i="32"/>
  <c r="H38" i="32"/>
  <c r="G38" i="32"/>
  <c r="F38" i="32"/>
  <c r="AC37" i="32"/>
  <c r="AB37" i="32"/>
  <c r="AA37" i="32"/>
  <c r="Z37" i="32"/>
  <c r="Y37" i="32"/>
  <c r="X37" i="32"/>
  <c r="W37" i="32"/>
  <c r="V37" i="32"/>
  <c r="U37" i="32"/>
  <c r="T37" i="32"/>
  <c r="S37" i="32"/>
  <c r="R37" i="32"/>
  <c r="Q37" i="32"/>
  <c r="P37" i="32"/>
  <c r="O37" i="32"/>
  <c r="N37" i="32"/>
  <c r="M37" i="32"/>
  <c r="L37" i="32"/>
  <c r="K37" i="32"/>
  <c r="J37" i="32"/>
  <c r="I37" i="32"/>
  <c r="H37" i="32"/>
  <c r="G37" i="32"/>
  <c r="F37" i="32"/>
  <c r="AC36" i="32"/>
  <c r="AB36" i="32"/>
  <c r="AA36" i="32"/>
  <c r="Z36" i="32"/>
  <c r="Y36" i="32"/>
  <c r="X36" i="32"/>
  <c r="W36" i="32"/>
  <c r="V36" i="32"/>
  <c r="U36" i="32"/>
  <c r="T36" i="32"/>
  <c r="S36" i="32"/>
  <c r="R36" i="32"/>
  <c r="Q36" i="32"/>
  <c r="P36" i="32"/>
  <c r="O36" i="32"/>
  <c r="N36" i="32"/>
  <c r="M36" i="32"/>
  <c r="L36" i="32"/>
  <c r="K36" i="32"/>
  <c r="J36" i="32"/>
  <c r="I36" i="32"/>
  <c r="H36" i="32"/>
  <c r="G36" i="32"/>
  <c r="F36" i="32"/>
  <c r="AC35" i="32"/>
  <c r="AB35" i="32"/>
  <c r="AA35" i="32"/>
  <c r="Z35" i="32"/>
  <c r="Y35" i="32"/>
  <c r="X35" i="32"/>
  <c r="W35" i="32"/>
  <c r="V35" i="32"/>
  <c r="U35" i="32"/>
  <c r="T35" i="32"/>
  <c r="S35" i="32"/>
  <c r="R35" i="32"/>
  <c r="Q35" i="32"/>
  <c r="P35" i="32"/>
  <c r="O35" i="32"/>
  <c r="N35" i="32"/>
  <c r="M35" i="32"/>
  <c r="L35" i="32"/>
  <c r="K35" i="32"/>
  <c r="J35" i="32"/>
  <c r="I35" i="32"/>
  <c r="H35" i="32"/>
  <c r="G35" i="32"/>
  <c r="F35" i="32"/>
  <c r="AC34" i="32"/>
  <c r="AB34" i="32"/>
  <c r="AA34" i="32"/>
  <c r="Z34" i="32"/>
  <c r="Y34" i="32"/>
  <c r="X34" i="32"/>
  <c r="W34" i="32"/>
  <c r="V34" i="32"/>
  <c r="U34" i="32"/>
  <c r="T34" i="32"/>
  <c r="S34" i="32"/>
  <c r="R34" i="32"/>
  <c r="Q34" i="32"/>
  <c r="P34" i="32"/>
  <c r="O34" i="32"/>
  <c r="N34" i="32"/>
  <c r="M34" i="32"/>
  <c r="L34" i="32"/>
  <c r="K34" i="32"/>
  <c r="J34" i="32"/>
  <c r="I34" i="32"/>
  <c r="H34" i="32"/>
  <c r="G34" i="32"/>
  <c r="F34" i="32"/>
  <c r="AC33" i="32"/>
  <c r="AB33" i="32"/>
  <c r="AA33" i="32"/>
  <c r="Z33" i="32"/>
  <c r="Y33" i="32"/>
  <c r="X33" i="32"/>
  <c r="W33" i="32"/>
  <c r="V33" i="32"/>
  <c r="U33" i="32"/>
  <c r="T33" i="32"/>
  <c r="S33" i="32"/>
  <c r="R33" i="32"/>
  <c r="Q33" i="32"/>
  <c r="P33" i="32"/>
  <c r="O33" i="32"/>
  <c r="N33" i="32"/>
  <c r="M33" i="32"/>
  <c r="L33" i="32"/>
  <c r="K33" i="32"/>
  <c r="J33" i="32"/>
  <c r="I33" i="32"/>
  <c r="H33" i="32"/>
  <c r="G33" i="32"/>
  <c r="F33" i="32"/>
  <c r="AC32" i="32"/>
  <c r="AB32" i="32"/>
  <c r="AA32" i="32"/>
  <c r="Z32" i="32"/>
  <c r="Y32" i="32"/>
  <c r="X32" i="32"/>
  <c r="W32" i="32"/>
  <c r="V32" i="32"/>
  <c r="U32" i="32"/>
  <c r="T32" i="32"/>
  <c r="S32" i="32"/>
  <c r="R32" i="32"/>
  <c r="Q32" i="32"/>
  <c r="P32" i="32"/>
  <c r="O32" i="32"/>
  <c r="N32" i="32"/>
  <c r="M32" i="32"/>
  <c r="L32" i="32"/>
  <c r="K32" i="32"/>
  <c r="J32" i="32"/>
  <c r="I32" i="32"/>
  <c r="H32" i="32"/>
  <c r="G32" i="32"/>
  <c r="F32" i="32"/>
  <c r="AC31" i="32"/>
  <c r="AB31" i="32"/>
  <c r="AA31" i="32"/>
  <c r="Z31" i="32"/>
  <c r="Y31" i="32"/>
  <c r="X31" i="32"/>
  <c r="W31" i="32"/>
  <c r="V31" i="32"/>
  <c r="U31" i="32"/>
  <c r="T31" i="32"/>
  <c r="S31" i="32"/>
  <c r="R31" i="32"/>
  <c r="Q31" i="32"/>
  <c r="P31" i="32"/>
  <c r="O31" i="32"/>
  <c r="N31" i="32"/>
  <c r="M31" i="32"/>
  <c r="L31" i="32"/>
  <c r="K31" i="32"/>
  <c r="J31" i="32"/>
  <c r="I31" i="32"/>
  <c r="H31" i="32"/>
  <c r="G31" i="32"/>
  <c r="F31" i="32"/>
  <c r="AC30" i="32"/>
  <c r="AB30" i="32"/>
  <c r="AA30" i="32"/>
  <c r="Z30" i="32"/>
  <c r="Y30" i="32"/>
  <c r="X30" i="32"/>
  <c r="W30" i="32"/>
  <c r="V30" i="32"/>
  <c r="U30" i="32"/>
  <c r="T30" i="32"/>
  <c r="S30" i="32"/>
  <c r="R30" i="32"/>
  <c r="Q30" i="32"/>
  <c r="P30" i="32"/>
  <c r="O30" i="32"/>
  <c r="N30" i="32"/>
  <c r="M30" i="32"/>
  <c r="L30" i="32"/>
  <c r="K30" i="32"/>
  <c r="J30" i="32"/>
  <c r="I30" i="32"/>
  <c r="H30" i="32"/>
  <c r="G30" i="32"/>
  <c r="F30" i="32"/>
  <c r="AC29" i="32"/>
  <c r="AB29" i="32"/>
  <c r="AA29" i="32"/>
  <c r="Z29" i="32"/>
  <c r="Y29" i="32"/>
  <c r="X29" i="32"/>
  <c r="W29" i="32"/>
  <c r="V29" i="32"/>
  <c r="U29" i="32"/>
  <c r="T29" i="32"/>
  <c r="S29" i="32"/>
  <c r="R29" i="32"/>
  <c r="Q29" i="32"/>
  <c r="P29" i="32"/>
  <c r="O29" i="32"/>
  <c r="N29" i="32"/>
  <c r="M29" i="32"/>
  <c r="L29" i="32"/>
  <c r="K29" i="32"/>
  <c r="J29" i="32"/>
  <c r="I29" i="32"/>
  <c r="H29" i="32"/>
  <c r="G29" i="32"/>
  <c r="F29" i="32"/>
  <c r="AC28" i="32"/>
  <c r="AB28" i="32"/>
  <c r="AA28" i="32"/>
  <c r="Z28" i="32"/>
  <c r="Y28" i="32"/>
  <c r="X28" i="32"/>
  <c r="W28" i="32"/>
  <c r="V28" i="32"/>
  <c r="U28" i="32"/>
  <c r="T28" i="32"/>
  <c r="S28" i="32"/>
  <c r="R28" i="32"/>
  <c r="Q28" i="32"/>
  <c r="P28" i="32"/>
  <c r="O28" i="32"/>
  <c r="N28" i="32"/>
  <c r="M28" i="32"/>
  <c r="L28" i="32"/>
  <c r="K28" i="32"/>
  <c r="J28" i="32"/>
  <c r="I28" i="32"/>
  <c r="H28" i="32"/>
  <c r="G28" i="32"/>
  <c r="F28" i="32"/>
  <c r="AC27" i="32"/>
  <c r="AB27" i="32"/>
  <c r="AA27" i="32"/>
  <c r="Z27" i="32"/>
  <c r="Y27" i="32"/>
  <c r="X27" i="32"/>
  <c r="W27" i="32"/>
  <c r="V27" i="32"/>
  <c r="U27" i="32"/>
  <c r="T27" i="32"/>
  <c r="S27" i="32"/>
  <c r="R27" i="32"/>
  <c r="Q27" i="32"/>
  <c r="P27" i="32"/>
  <c r="O27" i="32"/>
  <c r="N27" i="32"/>
  <c r="M27" i="32"/>
  <c r="L27" i="32"/>
  <c r="K27" i="32"/>
  <c r="J27" i="32"/>
  <c r="I27" i="32"/>
  <c r="H27" i="32"/>
  <c r="G27" i="32"/>
  <c r="F27" i="32"/>
  <c r="AC26" i="32"/>
  <c r="AB26" i="32"/>
  <c r="AA26" i="32"/>
  <c r="Z26" i="32"/>
  <c r="Y26" i="32"/>
  <c r="X26" i="32"/>
  <c r="W26" i="32"/>
  <c r="V26" i="32"/>
  <c r="U26" i="32"/>
  <c r="T26" i="32"/>
  <c r="S26" i="32"/>
  <c r="R26" i="32"/>
  <c r="Q26" i="32"/>
  <c r="P26" i="32"/>
  <c r="O26" i="32"/>
  <c r="N26" i="32"/>
  <c r="M26" i="32"/>
  <c r="L26" i="32"/>
  <c r="K26" i="32"/>
  <c r="J26" i="32"/>
  <c r="I26" i="32"/>
  <c r="H26" i="32"/>
  <c r="G26" i="32"/>
  <c r="F26" i="32"/>
  <c r="AC25" i="32"/>
  <c r="AB25" i="32"/>
  <c r="AA25" i="32"/>
  <c r="Z25" i="32"/>
  <c r="Y25" i="32"/>
  <c r="X25" i="32"/>
  <c r="W25" i="32"/>
  <c r="V25" i="32"/>
  <c r="U25" i="32"/>
  <c r="T25" i="32"/>
  <c r="S25" i="32"/>
  <c r="R25" i="32"/>
  <c r="Q25" i="32"/>
  <c r="P25" i="32"/>
  <c r="O25" i="32"/>
  <c r="N25" i="32"/>
  <c r="M25" i="32"/>
  <c r="L25" i="32"/>
  <c r="K25" i="32"/>
  <c r="J25" i="32"/>
  <c r="I25" i="32"/>
  <c r="H25" i="32"/>
  <c r="G25" i="32"/>
  <c r="F25" i="32"/>
  <c r="AC24" i="32"/>
  <c r="AB24" i="32"/>
  <c r="AA24" i="32"/>
  <c r="Z24" i="32"/>
  <c r="Y24" i="32"/>
  <c r="X24" i="32"/>
  <c r="W24" i="32"/>
  <c r="V24" i="32"/>
  <c r="U24" i="32"/>
  <c r="T24" i="32"/>
  <c r="S24" i="32"/>
  <c r="R24" i="32"/>
  <c r="Q24" i="32"/>
  <c r="P24" i="32"/>
  <c r="O24" i="32"/>
  <c r="N24" i="32"/>
  <c r="M24" i="32"/>
  <c r="L24" i="32"/>
  <c r="K24" i="32"/>
  <c r="J24" i="32"/>
  <c r="I24" i="32"/>
  <c r="H24" i="32"/>
  <c r="G24" i="32"/>
  <c r="F24" i="32"/>
  <c r="AC23" i="32"/>
  <c r="AB23" i="32"/>
  <c r="AA23" i="32"/>
  <c r="Z23" i="32"/>
  <c r="Y23" i="32"/>
  <c r="X23" i="32"/>
  <c r="W23" i="32"/>
  <c r="V23" i="32"/>
  <c r="U23" i="32"/>
  <c r="T23" i="32"/>
  <c r="S23" i="32"/>
  <c r="R23" i="32"/>
  <c r="Q23" i="32"/>
  <c r="P23" i="32"/>
  <c r="O23" i="32"/>
  <c r="N23" i="32"/>
  <c r="M23" i="32"/>
  <c r="L23" i="32"/>
  <c r="K23" i="32"/>
  <c r="J23" i="32"/>
  <c r="I23" i="32"/>
  <c r="H23" i="32"/>
  <c r="G23" i="32"/>
  <c r="F23" i="32"/>
  <c r="AC22" i="32"/>
  <c r="AB22" i="32"/>
  <c r="AA22" i="32"/>
  <c r="Z22" i="32"/>
  <c r="Y22" i="32"/>
  <c r="X22" i="32"/>
  <c r="W22" i="32"/>
  <c r="V22" i="32"/>
  <c r="U22" i="32"/>
  <c r="T22" i="32"/>
  <c r="S22" i="32"/>
  <c r="R22" i="32"/>
  <c r="Q22" i="32"/>
  <c r="P22" i="32"/>
  <c r="O22" i="32"/>
  <c r="N22" i="32"/>
  <c r="M22" i="32"/>
  <c r="L22" i="32"/>
  <c r="K22" i="32"/>
  <c r="J22" i="32"/>
  <c r="I22" i="32"/>
  <c r="H22" i="32"/>
  <c r="G22" i="32"/>
  <c r="F22" i="32"/>
  <c r="AC21" i="32"/>
  <c r="AB21" i="32"/>
  <c r="AA21" i="32"/>
  <c r="Z21" i="32"/>
  <c r="Y21" i="32"/>
  <c r="X21" i="32"/>
  <c r="W21" i="32"/>
  <c r="V21" i="32"/>
  <c r="U21" i="32"/>
  <c r="T21" i="32"/>
  <c r="S21" i="32"/>
  <c r="R21" i="32"/>
  <c r="Q21" i="32"/>
  <c r="P21" i="32"/>
  <c r="O21" i="32"/>
  <c r="N21" i="32"/>
  <c r="M21" i="32"/>
  <c r="L21" i="32"/>
  <c r="K21" i="32"/>
  <c r="J21" i="32"/>
  <c r="I21" i="32"/>
  <c r="H21" i="32"/>
  <c r="G21" i="32"/>
  <c r="F21" i="32"/>
  <c r="AC20" i="32"/>
  <c r="AB20" i="32"/>
  <c r="AA20" i="32"/>
  <c r="Z20" i="32"/>
  <c r="Y20" i="32"/>
  <c r="X20" i="32"/>
  <c r="W20" i="32"/>
  <c r="V20" i="32"/>
  <c r="U20" i="32"/>
  <c r="T20" i="32"/>
  <c r="S20" i="32"/>
  <c r="R20" i="32"/>
  <c r="Q20" i="32"/>
  <c r="P20" i="32"/>
  <c r="O20" i="32"/>
  <c r="N20" i="32"/>
  <c r="M20" i="32"/>
  <c r="L20" i="32"/>
  <c r="K20" i="32"/>
  <c r="J20" i="32"/>
  <c r="I20" i="32"/>
  <c r="H20" i="32"/>
  <c r="G20" i="32"/>
  <c r="F20" i="32"/>
  <c r="AC19" i="32"/>
  <c r="AB19" i="32"/>
  <c r="AA19" i="32"/>
  <c r="Z19" i="32"/>
  <c r="Y19" i="32"/>
  <c r="X19" i="32"/>
  <c r="W19" i="32"/>
  <c r="V19" i="32"/>
  <c r="U19" i="32"/>
  <c r="T19" i="32"/>
  <c r="S19" i="32"/>
  <c r="R19" i="32"/>
  <c r="Q19" i="32"/>
  <c r="P19" i="32"/>
  <c r="O19" i="32"/>
  <c r="N19" i="32"/>
  <c r="M19" i="32"/>
  <c r="L19" i="32"/>
  <c r="K19" i="32"/>
  <c r="J19" i="32"/>
  <c r="I19" i="32"/>
  <c r="H19" i="32"/>
  <c r="G19" i="32"/>
  <c r="F19" i="32"/>
  <c r="AC18" i="32"/>
  <c r="AB18" i="32"/>
  <c r="AA18" i="32"/>
  <c r="Z18" i="32"/>
  <c r="Y18" i="32"/>
  <c r="X18" i="32"/>
  <c r="W18" i="32"/>
  <c r="V18" i="32"/>
  <c r="U18" i="32"/>
  <c r="T18" i="32"/>
  <c r="S18" i="32"/>
  <c r="R18" i="32"/>
  <c r="Q18" i="32"/>
  <c r="P18" i="32"/>
  <c r="O18" i="32"/>
  <c r="N18" i="32"/>
  <c r="M18" i="32"/>
  <c r="L18" i="32"/>
  <c r="K18" i="32"/>
  <c r="J18" i="32"/>
  <c r="I18" i="32"/>
  <c r="H18" i="32"/>
  <c r="G18" i="32"/>
  <c r="F18" i="32"/>
  <c r="AC17" i="32"/>
  <c r="AB17" i="32"/>
  <c r="AA17" i="32"/>
  <c r="Z17" i="32"/>
  <c r="Y17" i="32"/>
  <c r="X17" i="32"/>
  <c r="W17" i="32"/>
  <c r="V17" i="32"/>
  <c r="U17" i="32"/>
  <c r="T17" i="32"/>
  <c r="S17" i="32"/>
  <c r="R17" i="32"/>
  <c r="Q17" i="32"/>
  <c r="P17" i="32"/>
  <c r="O17" i="32"/>
  <c r="N17" i="32"/>
  <c r="M17" i="32"/>
  <c r="L17" i="32"/>
  <c r="K17" i="32"/>
  <c r="J17" i="32"/>
  <c r="I17" i="32"/>
  <c r="H17" i="32"/>
  <c r="G17" i="32"/>
  <c r="F17" i="32"/>
  <c r="AC16" i="32"/>
  <c r="AB16" i="32"/>
  <c r="AA16" i="32"/>
  <c r="Z16" i="32"/>
  <c r="Y16" i="32"/>
  <c r="X16" i="32"/>
  <c r="W16" i="32"/>
  <c r="V16" i="32"/>
  <c r="U16" i="32"/>
  <c r="T16" i="32"/>
  <c r="S16" i="32"/>
  <c r="R16" i="32"/>
  <c r="Q16" i="32"/>
  <c r="P16" i="32"/>
  <c r="O16" i="32"/>
  <c r="N16" i="32"/>
  <c r="M16" i="32"/>
  <c r="L16" i="32"/>
  <c r="K16" i="32"/>
  <c r="J16" i="32"/>
  <c r="I16" i="32"/>
  <c r="H16" i="32"/>
  <c r="G16" i="32"/>
  <c r="F16" i="32"/>
  <c r="AC15" i="32"/>
  <c r="AB15" i="32"/>
  <c r="AA15" i="32"/>
  <c r="Z15" i="32"/>
  <c r="Y15" i="32"/>
  <c r="X15" i="32"/>
  <c r="W15" i="32"/>
  <c r="V15" i="32"/>
  <c r="U15" i="32"/>
  <c r="T15" i="32"/>
  <c r="S15" i="32"/>
  <c r="R15" i="32"/>
  <c r="Q15" i="32"/>
  <c r="P15" i="32"/>
  <c r="O15" i="32"/>
  <c r="N15" i="32"/>
  <c r="M15" i="32"/>
  <c r="L15" i="32"/>
  <c r="K15" i="32"/>
  <c r="J15" i="32"/>
  <c r="I15" i="32"/>
  <c r="H15" i="32"/>
  <c r="G15" i="32"/>
  <c r="F15" i="32"/>
  <c r="AC14" i="32"/>
  <c r="AB14" i="32"/>
  <c r="AA14" i="32"/>
  <c r="Z14" i="32"/>
  <c r="Y14" i="32"/>
  <c r="X14" i="32"/>
  <c r="W14" i="32"/>
  <c r="V14" i="32"/>
  <c r="U14" i="32"/>
  <c r="T14" i="32"/>
  <c r="S14" i="32"/>
  <c r="R14" i="32"/>
  <c r="Q14" i="32"/>
  <c r="P14" i="32"/>
  <c r="O14" i="32"/>
  <c r="N14" i="32"/>
  <c r="M14" i="32"/>
  <c r="L14" i="32"/>
  <c r="K14" i="32"/>
  <c r="J14" i="32"/>
  <c r="I14" i="32"/>
  <c r="H14" i="32"/>
  <c r="G14" i="32"/>
  <c r="F14" i="32"/>
  <c r="AC13" i="32"/>
  <c r="AB13" i="32"/>
  <c r="AA13" i="32"/>
  <c r="Z13" i="32"/>
  <c r="Y13" i="32"/>
  <c r="X13" i="32"/>
  <c r="W13" i="32"/>
  <c r="V13" i="32"/>
  <c r="U13" i="32"/>
  <c r="T13" i="32"/>
  <c r="S13" i="32"/>
  <c r="R13" i="32"/>
  <c r="Q13" i="32"/>
  <c r="P13" i="32"/>
  <c r="O13" i="32"/>
  <c r="N13" i="32"/>
  <c r="M13" i="32"/>
  <c r="L13" i="32"/>
  <c r="K13" i="32"/>
  <c r="J13" i="32"/>
  <c r="I13" i="32"/>
  <c r="H13" i="32"/>
  <c r="G13" i="32"/>
  <c r="F13" i="32"/>
  <c r="AC12" i="32"/>
  <c r="AB12" i="32"/>
  <c r="AA12" i="32"/>
  <c r="Z12" i="32"/>
  <c r="Y12" i="32"/>
  <c r="X12" i="32"/>
  <c r="W12" i="32"/>
  <c r="V12" i="32"/>
  <c r="U12" i="32"/>
  <c r="T12" i="32"/>
  <c r="S12" i="32"/>
  <c r="R12" i="32"/>
  <c r="Q12" i="32"/>
  <c r="P12" i="32"/>
  <c r="O12" i="32"/>
  <c r="N12" i="32"/>
  <c r="M12" i="32"/>
  <c r="L12" i="32"/>
  <c r="K12" i="32"/>
  <c r="J12" i="32"/>
  <c r="I12" i="32"/>
  <c r="H12" i="32"/>
  <c r="G12" i="32"/>
  <c r="F12" i="32"/>
  <c r="AC11" i="32"/>
  <c r="AB11" i="32"/>
  <c r="AA11" i="32"/>
  <c r="Z11" i="32"/>
  <c r="Y11" i="32"/>
  <c r="X11" i="32"/>
  <c r="W11" i="32"/>
  <c r="V11" i="32"/>
  <c r="U11" i="32"/>
  <c r="T11" i="32"/>
  <c r="S11" i="32"/>
  <c r="R11" i="32"/>
  <c r="Q11" i="32"/>
  <c r="P11" i="32"/>
  <c r="O11" i="32"/>
  <c r="N11" i="32"/>
  <c r="M11" i="32"/>
  <c r="L11" i="32"/>
  <c r="K11" i="32"/>
  <c r="J11" i="32"/>
  <c r="I11" i="32"/>
  <c r="H11" i="32"/>
  <c r="G11" i="32"/>
  <c r="F11" i="32"/>
  <c r="AC10" i="32"/>
  <c r="AB10" i="32"/>
  <c r="AA10" i="32"/>
  <c r="Z10" i="32"/>
  <c r="Y10" i="32"/>
  <c r="X10" i="32"/>
  <c r="W10" i="32"/>
  <c r="V10" i="32"/>
  <c r="U10" i="32"/>
  <c r="T10" i="32"/>
  <c r="S10" i="32"/>
  <c r="R10" i="32"/>
  <c r="Q10" i="32"/>
  <c r="P10" i="32"/>
  <c r="O10" i="32"/>
  <c r="N10" i="32"/>
  <c r="M10" i="32"/>
  <c r="L10" i="32"/>
  <c r="K10" i="32"/>
  <c r="J10" i="32"/>
  <c r="I10" i="32"/>
  <c r="H10" i="32"/>
  <c r="G10" i="32"/>
  <c r="F10" i="32"/>
  <c r="J9" i="32"/>
  <c r="F9" i="32"/>
  <c r="J8" i="32"/>
  <c r="F8" i="32"/>
  <c r="F6" i="32"/>
  <c r="G6" i="32" s="1"/>
  <c r="H6" i="32" s="1"/>
  <c r="I6" i="32" s="1"/>
  <c r="J6" i="32" s="1"/>
  <c r="W4" i="24"/>
  <c r="W5" i="24"/>
  <c r="W6" i="24"/>
  <c r="W7" i="24"/>
  <c r="W8" i="24"/>
  <c r="W9" i="24"/>
  <c r="W10" i="24"/>
  <c r="W11" i="24"/>
  <c r="W12" i="24"/>
  <c r="W13" i="24"/>
  <c r="W14" i="24"/>
  <c r="W15" i="24"/>
  <c r="W16" i="24"/>
  <c r="W17" i="24"/>
  <c r="W18" i="24"/>
  <c r="W19" i="24"/>
  <c r="W20" i="24"/>
  <c r="W21" i="24"/>
  <c r="W22" i="24"/>
  <c r="W23" i="24"/>
  <c r="W24" i="24"/>
  <c r="W25" i="24"/>
  <c r="W26" i="24"/>
  <c r="W27" i="24"/>
  <c r="W28" i="24"/>
  <c r="W29" i="24"/>
  <c r="W30" i="24"/>
  <c r="Y30" i="24" s="1"/>
  <c r="X30" i="24" s="1"/>
  <c r="W31" i="24"/>
  <c r="W32" i="24"/>
  <c r="W33" i="24"/>
  <c r="W34" i="24"/>
  <c r="W35" i="24"/>
  <c r="Y35" i="24" s="1"/>
  <c r="X35" i="24" s="1"/>
  <c r="W36" i="24"/>
  <c r="W37" i="24"/>
  <c r="Y37" i="24" s="1"/>
  <c r="X37" i="24" s="1"/>
  <c r="W38" i="24"/>
  <c r="W39" i="24"/>
  <c r="W40" i="24"/>
  <c r="W41" i="24"/>
  <c r="W42" i="24"/>
  <c r="W43" i="24"/>
  <c r="W44" i="24"/>
  <c r="W45" i="24"/>
  <c r="W46" i="24"/>
  <c r="W47" i="24"/>
  <c r="Y47" i="24" s="1"/>
  <c r="X47" i="24" s="1"/>
  <c r="W48" i="24"/>
  <c r="W49" i="24"/>
  <c r="W50" i="24"/>
  <c r="W51" i="24"/>
  <c r="W52" i="24"/>
  <c r="W53" i="24"/>
  <c r="W54" i="24"/>
  <c r="W55" i="24"/>
  <c r="W56" i="24"/>
  <c r="W57" i="24"/>
  <c r="W58" i="24"/>
  <c r="Y58" i="24" s="1"/>
  <c r="X58" i="24" s="1"/>
  <c r="W59" i="24"/>
  <c r="W60" i="24"/>
  <c r="W61" i="24"/>
  <c r="Y61" i="24" s="1"/>
  <c r="X61" i="24" s="1"/>
  <c r="W62" i="24"/>
  <c r="W63" i="24"/>
  <c r="W64" i="24"/>
  <c r="W65" i="24"/>
  <c r="W66" i="24"/>
  <c r="W67" i="24"/>
  <c r="W68" i="24"/>
  <c r="W69" i="24"/>
  <c r="W70" i="24"/>
  <c r="W71" i="24"/>
  <c r="W72" i="24"/>
  <c r="W73" i="24"/>
  <c r="W74" i="24"/>
  <c r="W75" i="24"/>
  <c r="Y75" i="24" s="1"/>
  <c r="X75" i="24" s="1"/>
  <c r="W76" i="24"/>
  <c r="W77" i="24"/>
  <c r="Y77" i="24" s="1"/>
  <c r="X77" i="24" s="1"/>
  <c r="W78" i="24"/>
  <c r="W79" i="24"/>
  <c r="W80" i="24"/>
  <c r="W81" i="24"/>
  <c r="W82" i="24"/>
  <c r="W83" i="24"/>
  <c r="W84" i="24"/>
  <c r="W85" i="24"/>
  <c r="W86" i="24"/>
  <c r="Y86" i="24" s="1"/>
  <c r="X86" i="24" s="1"/>
  <c r="W87" i="24"/>
  <c r="W88" i="24"/>
  <c r="W89" i="24"/>
  <c r="W90" i="24"/>
  <c r="W91" i="24"/>
  <c r="Y91" i="24" s="1"/>
  <c r="X91" i="24" s="1"/>
  <c r="W92" i="24"/>
  <c r="W93" i="24"/>
  <c r="Y93" i="24" s="1"/>
  <c r="X93" i="24" s="1"/>
  <c r="W94" i="24"/>
  <c r="W95" i="24"/>
  <c r="W96" i="24"/>
  <c r="W97" i="24"/>
  <c r="W98" i="24"/>
  <c r="W99" i="24"/>
  <c r="W100" i="24"/>
  <c r="W101" i="24"/>
  <c r="W102" i="24"/>
  <c r="W103" i="24"/>
  <c r="Y103" i="24" s="1"/>
  <c r="X103" i="24" s="1"/>
  <c r="W104" i="24"/>
  <c r="W105" i="24"/>
  <c r="W106" i="24"/>
  <c r="W107" i="24"/>
  <c r="Y107" i="24" s="1"/>
  <c r="X107" i="24" s="1"/>
  <c r="W108" i="24"/>
  <c r="W109" i="24"/>
  <c r="W110" i="24"/>
  <c r="W111" i="24"/>
  <c r="W112" i="24"/>
  <c r="W113" i="24"/>
  <c r="W114" i="24"/>
  <c r="Y114" i="24" s="1"/>
  <c r="X114" i="24" s="1"/>
  <c r="W115" i="24"/>
  <c r="W116" i="24"/>
  <c r="W117" i="24"/>
  <c r="Y117" i="24" s="1"/>
  <c r="X117" i="24" s="1"/>
  <c r="W118" i="24"/>
  <c r="W119" i="24"/>
  <c r="Y119" i="24" s="1"/>
  <c r="X119" i="24" s="1"/>
  <c r="W120" i="24"/>
  <c r="W121" i="24"/>
  <c r="W122" i="24"/>
  <c r="W123" i="24"/>
  <c r="W124" i="24"/>
  <c r="W125" i="24"/>
  <c r="W126" i="24"/>
  <c r="W127" i="24"/>
  <c r="W128" i="24"/>
  <c r="W129" i="24"/>
  <c r="W130" i="24"/>
  <c r="Y130" i="24" s="1"/>
  <c r="X130" i="24" s="1"/>
  <c r="W131" i="24"/>
  <c r="Y131" i="24" s="1"/>
  <c r="X131" i="24" s="1"/>
  <c r="W132" i="24"/>
  <c r="W133" i="24"/>
  <c r="Y133" i="24" s="1"/>
  <c r="X133" i="24" s="1"/>
  <c r="W134" i="24"/>
  <c r="W135" i="24"/>
  <c r="Y135" i="24" s="1"/>
  <c r="X135" i="24" s="1"/>
  <c r="W136" i="24"/>
  <c r="W137" i="24"/>
  <c r="W138" i="24"/>
  <c r="W139" i="24"/>
  <c r="W140" i="24"/>
  <c r="W141" i="24"/>
  <c r="W142" i="24"/>
  <c r="Y142" i="24" s="1"/>
  <c r="X142" i="24" s="1"/>
  <c r="W143" i="24"/>
  <c r="W144" i="24"/>
  <c r="W145" i="24"/>
  <c r="W146" i="24"/>
  <c r="Y146" i="24" s="1"/>
  <c r="X146" i="24" s="1"/>
  <c r="W147" i="24"/>
  <c r="Y147" i="24" s="1"/>
  <c r="X147" i="24" s="1"/>
  <c r="W148" i="24"/>
  <c r="W149" i="24"/>
  <c r="Y149" i="24" s="1"/>
  <c r="X149" i="24" s="1"/>
  <c r="W150" i="24"/>
  <c r="W151" i="24"/>
  <c r="W152" i="24"/>
  <c r="W153" i="24"/>
  <c r="W154" i="24"/>
  <c r="W155" i="24"/>
  <c r="W156" i="24"/>
  <c r="W157" i="24"/>
  <c r="W158" i="24"/>
  <c r="Y158" i="24" s="1"/>
  <c r="X158" i="24" s="1"/>
  <c r="W159" i="24"/>
  <c r="W160" i="24"/>
  <c r="W161" i="24"/>
  <c r="W162" i="24"/>
  <c r="W163" i="24"/>
  <c r="Y163" i="24" s="1"/>
  <c r="X163" i="24" s="1"/>
  <c r="W164" i="24"/>
  <c r="W165" i="24"/>
  <c r="W166" i="24"/>
  <c r="W167" i="24"/>
  <c r="W168" i="24"/>
  <c r="W169" i="24"/>
  <c r="W170" i="24"/>
  <c r="Y170" i="24" s="1"/>
  <c r="X170" i="24" s="1"/>
  <c r="W171" i="24"/>
  <c r="W172" i="24"/>
  <c r="W173" i="24"/>
  <c r="Y173" i="24" s="1"/>
  <c r="X173" i="24" s="1"/>
  <c r="W174" i="24"/>
  <c r="W175" i="24"/>
  <c r="Y175" i="24" s="1"/>
  <c r="X175" i="24" s="1"/>
  <c r="W176" i="24"/>
  <c r="W177" i="24"/>
  <c r="W178" i="24"/>
  <c r="W179" i="24"/>
  <c r="W180" i="24"/>
  <c r="W181" i="24"/>
  <c r="W182" i="24"/>
  <c r="W183" i="24"/>
  <c r="W184" i="24"/>
  <c r="W185" i="24"/>
  <c r="W186" i="24"/>
  <c r="Y186" i="24" s="1"/>
  <c r="X186" i="24" s="1"/>
  <c r="W187" i="24"/>
  <c r="Y187" i="24" s="1"/>
  <c r="X187" i="24" s="1"/>
  <c r="W188" i="24"/>
  <c r="W189" i="24"/>
  <c r="Y189" i="24" s="1"/>
  <c r="X189" i="24" s="1"/>
  <c r="W190" i="24"/>
  <c r="W191" i="24"/>
  <c r="Y191" i="24" s="1"/>
  <c r="X191" i="24" s="1"/>
  <c r="W192" i="24"/>
  <c r="W193" i="24"/>
  <c r="W194" i="24"/>
  <c r="W195" i="24"/>
  <c r="W196" i="24"/>
  <c r="W197" i="24"/>
  <c r="W198" i="24"/>
  <c r="Y198" i="24" s="1"/>
  <c r="X198" i="24" s="1"/>
  <c r="W199" i="24"/>
  <c r="W200" i="24"/>
  <c r="W201" i="24"/>
  <c r="W202" i="24"/>
  <c r="Y202" i="24" s="1"/>
  <c r="X202" i="24" s="1"/>
  <c r="W203" i="24"/>
  <c r="Y203" i="24" s="1"/>
  <c r="X203" i="24" s="1"/>
  <c r="W204" i="24"/>
  <c r="W205" i="24"/>
  <c r="Y205" i="24" s="1"/>
  <c r="X205" i="24" s="1"/>
  <c r="W206" i="24"/>
  <c r="W207" i="24"/>
  <c r="W208" i="24"/>
  <c r="W209" i="24"/>
  <c r="W210" i="24"/>
  <c r="W211" i="24"/>
  <c r="W212" i="24"/>
  <c r="W213" i="24"/>
  <c r="W214" i="24"/>
  <c r="Y214" i="24" s="1"/>
  <c r="X214" i="24" s="1"/>
  <c r="W215" i="24"/>
  <c r="Y215" i="24" s="1"/>
  <c r="X215" i="24" s="1"/>
  <c r="W216" i="24"/>
  <c r="W217" i="24"/>
  <c r="W218" i="24"/>
  <c r="Y218" i="24" s="1"/>
  <c r="X218" i="24" s="1"/>
  <c r="W219" i="24"/>
  <c r="Y219" i="24" s="1"/>
  <c r="X219" i="24" s="1"/>
  <c r="W220" i="24"/>
  <c r="W221" i="24"/>
  <c r="W222" i="24"/>
  <c r="W223" i="24"/>
  <c r="W224" i="24"/>
  <c r="W225" i="24"/>
  <c r="W226" i="24"/>
  <c r="W227" i="24"/>
  <c r="W228" i="24"/>
  <c r="W229" i="24"/>
  <c r="Y229" i="24" s="1"/>
  <c r="X229" i="24" s="1"/>
  <c r="W230" i="24"/>
  <c r="Y230" i="24" s="1"/>
  <c r="X230" i="24" s="1"/>
  <c r="W231" i="24"/>
  <c r="Y231" i="24" s="1"/>
  <c r="X231" i="24" s="1"/>
  <c r="W232" i="24"/>
  <c r="W233" i="24"/>
  <c r="W234" i="24"/>
  <c r="W235" i="24"/>
  <c r="W236" i="24"/>
  <c r="W237" i="24"/>
  <c r="W238" i="24"/>
  <c r="W239" i="24"/>
  <c r="W240" i="24"/>
  <c r="W241" i="24"/>
  <c r="W242" i="24"/>
  <c r="Y242" i="24" s="1"/>
  <c r="X242" i="24" s="1"/>
  <c r="W243" i="24"/>
  <c r="W244" i="24"/>
  <c r="W245" i="24"/>
  <c r="Y245" i="24" s="1"/>
  <c r="X245" i="24" s="1"/>
  <c r="W246" i="24"/>
  <c r="Y246" i="24" s="1"/>
  <c r="X246" i="24" s="1"/>
  <c r="W247" i="24"/>
  <c r="Y247" i="24" s="1"/>
  <c r="X247" i="24" s="1"/>
  <c r="W248" i="24"/>
  <c r="W249" i="24"/>
  <c r="W250" i="24"/>
  <c r="W251" i="24"/>
  <c r="W252" i="24"/>
  <c r="W253" i="24"/>
  <c r="W254" i="24"/>
  <c r="Y254" i="24" s="1"/>
  <c r="X254" i="24" s="1"/>
  <c r="W255" i="24"/>
  <c r="W256" i="24"/>
  <c r="W257" i="24"/>
  <c r="Y257" i="24" s="1"/>
  <c r="X257" i="24" s="1"/>
  <c r="W258" i="24"/>
  <c r="Y258" i="24" s="1"/>
  <c r="X258" i="24" s="1"/>
  <c r="W259" i="24"/>
  <c r="W260" i="24"/>
  <c r="W261" i="24"/>
  <c r="Y261" i="24" s="1"/>
  <c r="X261" i="24" s="1"/>
  <c r="W262" i="24"/>
  <c r="W263" i="24"/>
  <c r="W264" i="24"/>
  <c r="W265" i="24"/>
  <c r="W266" i="24"/>
  <c r="W267" i="24"/>
  <c r="W268" i="24"/>
  <c r="W269" i="24"/>
  <c r="W270" i="24"/>
  <c r="W271" i="24"/>
  <c r="Y271" i="24" s="1"/>
  <c r="X271" i="24" s="1"/>
  <c r="W272" i="24"/>
  <c r="W273" i="24"/>
  <c r="W274" i="24"/>
  <c r="Y274" i="24" s="1"/>
  <c r="X274" i="24" s="1"/>
  <c r="W275" i="24"/>
  <c r="Y275" i="24" s="1"/>
  <c r="X275" i="24" s="1"/>
  <c r="W276" i="24"/>
  <c r="W277" i="24"/>
  <c r="W278" i="24"/>
  <c r="W279" i="24"/>
  <c r="W280" i="24"/>
  <c r="W281" i="24"/>
  <c r="W282" i="24"/>
  <c r="W283" i="24"/>
  <c r="W284" i="24"/>
  <c r="W285" i="24"/>
  <c r="Y285" i="24" s="1"/>
  <c r="X285" i="24" s="1"/>
  <c r="W286" i="24"/>
  <c r="Y286" i="24" s="1"/>
  <c r="X286" i="24" s="1"/>
  <c r="W287" i="24"/>
  <c r="Y287" i="24" s="1"/>
  <c r="X287" i="24" s="1"/>
  <c r="W288" i="24"/>
  <c r="W289" i="24"/>
  <c r="W290" i="24"/>
  <c r="W291" i="24"/>
  <c r="W292" i="24"/>
  <c r="W293" i="24"/>
  <c r="W294" i="24"/>
  <c r="W295" i="24"/>
  <c r="W296" i="24"/>
  <c r="W297" i="24"/>
  <c r="W298" i="24"/>
  <c r="Y298" i="24" s="1"/>
  <c r="X298" i="24" s="1"/>
  <c r="W299" i="24"/>
  <c r="W300" i="24"/>
  <c r="W301" i="24"/>
  <c r="Y301" i="24" s="1"/>
  <c r="X301" i="24" s="1"/>
  <c r="W302" i="24"/>
  <c r="Y302" i="24" s="1"/>
  <c r="X302" i="24" s="1"/>
  <c r="W303" i="24"/>
  <c r="Y303" i="24" s="1"/>
  <c r="X303" i="24" s="1"/>
  <c r="W304" i="24"/>
  <c r="W305" i="24"/>
  <c r="W306" i="24"/>
  <c r="W307" i="24"/>
  <c r="W308" i="24"/>
  <c r="W309" i="24"/>
  <c r="W310" i="24"/>
  <c r="Y310" i="24" s="1"/>
  <c r="X310" i="24" s="1"/>
  <c r="W311" i="24"/>
  <c r="W312" i="24"/>
  <c r="W313" i="24"/>
  <c r="Y313" i="24" s="1"/>
  <c r="X313" i="24" s="1"/>
  <c r="W314" i="24"/>
  <c r="Y314" i="24" s="1"/>
  <c r="X314" i="24" s="1"/>
  <c r="W315" i="24"/>
  <c r="W316" i="24"/>
  <c r="W317" i="24"/>
  <c r="Y317" i="24" s="1"/>
  <c r="X317" i="24" s="1"/>
  <c r="W318" i="24"/>
  <c r="W319" i="24"/>
  <c r="W320" i="24"/>
  <c r="W321" i="24"/>
  <c r="W322" i="24"/>
  <c r="W323" i="24"/>
  <c r="W324" i="24"/>
  <c r="W325" i="24"/>
  <c r="W326" i="24"/>
  <c r="Y326" i="24" s="1"/>
  <c r="X326" i="24" s="1"/>
  <c r="W327" i="24"/>
  <c r="Y327" i="24" s="1"/>
  <c r="X327" i="24" s="1"/>
  <c r="W328" i="24"/>
  <c r="W329" i="24"/>
  <c r="Y329" i="24" s="1"/>
  <c r="X329" i="24" s="1"/>
  <c r="W330" i="24"/>
  <c r="Y330" i="24" s="1"/>
  <c r="X330" i="24" s="1"/>
  <c r="W331" i="24"/>
  <c r="W332" i="24"/>
  <c r="W333" i="24"/>
  <c r="W334" i="24"/>
  <c r="W335" i="24"/>
  <c r="W336" i="24"/>
  <c r="W337" i="24"/>
  <c r="W338" i="24"/>
  <c r="W339" i="24"/>
  <c r="W340" i="24"/>
  <c r="W341" i="24"/>
  <c r="Y341" i="24" s="1"/>
  <c r="X341" i="24" s="1"/>
  <c r="W342" i="24"/>
  <c r="Y342" i="24" s="1"/>
  <c r="X342" i="24" s="1"/>
  <c r="W343" i="24"/>
  <c r="Y343" i="24" s="1"/>
  <c r="X343" i="24" s="1"/>
  <c r="W344" i="24"/>
  <c r="W345" i="24"/>
  <c r="Y345" i="24" s="1"/>
  <c r="X345" i="24" s="1"/>
  <c r="W346" i="24"/>
  <c r="W347" i="24"/>
  <c r="W348" i="24"/>
  <c r="W349" i="24"/>
  <c r="W350" i="24"/>
  <c r="W351" i="24"/>
  <c r="W352" i="24"/>
  <c r="W353" i="24"/>
  <c r="W354" i="24"/>
  <c r="W355" i="24"/>
  <c r="W356" i="24"/>
  <c r="W357" i="24"/>
  <c r="Y357" i="24" s="1"/>
  <c r="X357" i="24" s="1"/>
  <c r="W358" i="24"/>
  <c r="Y358" i="24" s="1"/>
  <c r="X358" i="24" s="1"/>
  <c r="W359" i="24"/>
  <c r="Y359" i="24" s="1"/>
  <c r="X359" i="24" s="1"/>
  <c r="W360" i="24"/>
  <c r="W361" i="24"/>
  <c r="W362" i="24"/>
  <c r="W363" i="24"/>
  <c r="W364" i="24"/>
  <c r="W365" i="24"/>
  <c r="W366" i="24"/>
  <c r="Y366" i="24" s="1"/>
  <c r="X366" i="24" s="1"/>
  <c r="W367" i="24"/>
  <c r="W368" i="24"/>
  <c r="W369" i="24"/>
  <c r="W370" i="24"/>
  <c r="W371" i="24"/>
  <c r="W372" i="24"/>
  <c r="W373" i="24"/>
  <c r="Y373" i="24" s="1"/>
  <c r="X373" i="24" s="1"/>
  <c r="W374" i="24"/>
  <c r="W375" i="24"/>
  <c r="W376" i="24"/>
  <c r="W377" i="24"/>
  <c r="W378" i="24"/>
  <c r="W379" i="24"/>
  <c r="W380" i="24"/>
  <c r="W381" i="24"/>
  <c r="W382" i="24"/>
  <c r="Y382" i="24" s="1"/>
  <c r="X382" i="24" s="1"/>
  <c r="W383" i="24"/>
  <c r="Y383" i="24" s="1"/>
  <c r="X383" i="24" s="1"/>
  <c r="W384" i="24"/>
  <c r="W385" i="24"/>
  <c r="Y385" i="24" s="1"/>
  <c r="X385" i="24" s="1"/>
  <c r="W386" i="24"/>
  <c r="Y386" i="24" s="1"/>
  <c r="X386" i="24" s="1"/>
  <c r="W387" i="24"/>
  <c r="W388" i="24"/>
  <c r="W389" i="24"/>
  <c r="W390" i="24"/>
  <c r="W391" i="24"/>
  <c r="W392" i="24"/>
  <c r="W393" i="24"/>
  <c r="W394" i="24"/>
  <c r="W395" i="24"/>
  <c r="W396" i="24"/>
  <c r="W397" i="24"/>
  <c r="Y397" i="24" s="1"/>
  <c r="X397" i="24" s="1"/>
  <c r="W398" i="24"/>
  <c r="Y398" i="24" s="1"/>
  <c r="X398" i="24" s="1"/>
  <c r="W399" i="24"/>
  <c r="Y399" i="24" s="1"/>
  <c r="X399" i="24" s="1"/>
  <c r="W400" i="24"/>
  <c r="W401" i="24"/>
  <c r="Y401" i="24" s="1"/>
  <c r="X401" i="24" s="1"/>
  <c r="W402" i="24"/>
  <c r="W403" i="24"/>
  <c r="W404" i="24"/>
  <c r="W405" i="24"/>
  <c r="W406" i="24"/>
  <c r="W407" i="24"/>
  <c r="W408" i="24"/>
  <c r="W409" i="24"/>
  <c r="W410" i="24"/>
  <c r="W411" i="24"/>
  <c r="W412" i="24"/>
  <c r="W413" i="24"/>
  <c r="Y413" i="24" s="1"/>
  <c r="X413" i="24" s="1"/>
  <c r="W414" i="24"/>
  <c r="Y414" i="24" s="1"/>
  <c r="X414" i="24" s="1"/>
  <c r="W415" i="24"/>
  <c r="Y415" i="24" s="1"/>
  <c r="X415" i="24" s="1"/>
  <c r="W416" i="24"/>
  <c r="W417" i="24"/>
  <c r="W418" i="24"/>
  <c r="W419" i="24"/>
  <c r="W420" i="24"/>
  <c r="W421" i="24"/>
  <c r="W422" i="24"/>
  <c r="Y422" i="24" s="1"/>
  <c r="X422" i="24" s="1"/>
  <c r="W423" i="24"/>
  <c r="W424" i="24"/>
  <c r="W425" i="24"/>
  <c r="W426" i="24"/>
  <c r="W427" i="24"/>
  <c r="W428" i="24"/>
  <c r="W429" i="24"/>
  <c r="Y429" i="24" s="1"/>
  <c r="X429" i="24" s="1"/>
  <c r="W430" i="24"/>
  <c r="W431" i="24"/>
  <c r="W432" i="24"/>
  <c r="W433" i="24"/>
  <c r="W434" i="24"/>
  <c r="W435" i="24"/>
  <c r="W436" i="24"/>
  <c r="W437" i="24"/>
  <c r="W438" i="24"/>
  <c r="Y438" i="24" s="1"/>
  <c r="X438" i="24" s="1"/>
  <c r="W439" i="24"/>
  <c r="Y439" i="24" s="1"/>
  <c r="X439" i="24" s="1"/>
  <c r="W440" i="24"/>
  <c r="W441" i="24"/>
  <c r="W442" i="24"/>
  <c r="W443" i="24"/>
  <c r="W444" i="24"/>
  <c r="W445" i="24"/>
  <c r="W446" i="24"/>
  <c r="W447" i="24"/>
  <c r="W448" i="24"/>
  <c r="W449" i="24"/>
  <c r="W450" i="24"/>
  <c r="Y450" i="24" s="1"/>
  <c r="X450" i="24" s="1"/>
  <c r="W451" i="24"/>
  <c r="W452" i="24"/>
  <c r="W453" i="24"/>
  <c r="Y453" i="24" s="1"/>
  <c r="X453" i="24" s="1"/>
  <c r="W454" i="24"/>
  <c r="Y454" i="24" s="1"/>
  <c r="X454" i="24" s="1"/>
  <c r="W455" i="24"/>
  <c r="Y455" i="24" s="1"/>
  <c r="X455" i="24" s="1"/>
  <c r="W456" i="24"/>
  <c r="W457" i="24"/>
  <c r="W458" i="24"/>
  <c r="W459" i="24"/>
  <c r="W460" i="24"/>
  <c r="W461" i="24"/>
  <c r="W462" i="24"/>
  <c r="W463" i="24"/>
  <c r="W464" i="24"/>
  <c r="W465" i="24"/>
  <c r="W466" i="24"/>
  <c r="W467" i="24"/>
  <c r="Y467" i="24" s="1"/>
  <c r="X467" i="24" s="1"/>
  <c r="W468" i="24"/>
  <c r="W469" i="24"/>
  <c r="Y469" i="24" s="1"/>
  <c r="X469" i="24" s="1"/>
  <c r="W470" i="24"/>
  <c r="Y470" i="24" s="1"/>
  <c r="X470" i="24" s="1"/>
  <c r="W471" i="24"/>
  <c r="Y471" i="24" s="1"/>
  <c r="X471" i="24" s="1"/>
  <c r="W472" i="24"/>
  <c r="W473" i="24"/>
  <c r="W474" i="24"/>
  <c r="W475" i="24"/>
  <c r="W476" i="24"/>
  <c r="W477" i="24"/>
  <c r="W478" i="24"/>
  <c r="Y478" i="24" s="1"/>
  <c r="X478" i="24" s="1"/>
  <c r="W479" i="24"/>
  <c r="W480" i="24"/>
  <c r="W481" i="24"/>
  <c r="W482" i="24"/>
  <c r="W483" i="24"/>
  <c r="Y483" i="24" s="1"/>
  <c r="X483" i="24" s="1"/>
  <c r="W484" i="24"/>
  <c r="W485" i="24"/>
  <c r="Y485" i="24" s="1"/>
  <c r="X485" i="24" s="1"/>
  <c r="W486" i="24"/>
  <c r="W487" i="24"/>
  <c r="W488" i="24"/>
  <c r="W489" i="24"/>
  <c r="W490" i="24"/>
  <c r="W491" i="24"/>
  <c r="W492" i="24"/>
  <c r="W493" i="24"/>
  <c r="W494" i="24"/>
  <c r="Y494" i="24" s="1"/>
  <c r="X494" i="24" s="1"/>
  <c r="W495" i="24"/>
  <c r="Y495" i="24" s="1"/>
  <c r="X495" i="24" s="1"/>
  <c r="W496" i="24"/>
  <c r="W497" i="24"/>
  <c r="W498" i="24"/>
  <c r="W499" i="24"/>
  <c r="Y499" i="24" s="1"/>
  <c r="X499" i="24" s="1"/>
  <c r="W500" i="24"/>
  <c r="W501" i="24"/>
  <c r="W502" i="24"/>
  <c r="W503" i="24"/>
  <c r="W504" i="24"/>
  <c r="W505" i="24"/>
  <c r="W506" i="24"/>
  <c r="Y506" i="24" s="1"/>
  <c r="X506" i="24" s="1"/>
  <c r="W507" i="24"/>
  <c r="W508" i="24"/>
  <c r="W509" i="24"/>
  <c r="Y509" i="24" s="1"/>
  <c r="X509" i="24" s="1"/>
  <c r="W510" i="24"/>
  <c r="Y510" i="24" s="1"/>
  <c r="X510" i="24" s="1"/>
  <c r="W511" i="24"/>
  <c r="Y511" i="24" s="1"/>
  <c r="X511" i="24" s="1"/>
  <c r="W512" i="24"/>
  <c r="W513" i="24"/>
  <c r="W514" i="24"/>
  <c r="W515" i="24"/>
  <c r="W516" i="24"/>
  <c r="W517" i="24"/>
  <c r="W518" i="24"/>
  <c r="W519" i="24"/>
  <c r="W520" i="24"/>
  <c r="W521" i="24"/>
  <c r="W522" i="24"/>
  <c r="Y522" i="24" s="1"/>
  <c r="X522" i="24" s="1"/>
  <c r="W523" i="24"/>
  <c r="Y523" i="24" s="1"/>
  <c r="X523" i="24" s="1"/>
  <c r="W524" i="24"/>
  <c r="W525" i="24"/>
  <c r="Y525" i="24" s="1"/>
  <c r="X525" i="24" s="1"/>
  <c r="W526" i="24"/>
  <c r="Y526" i="24" s="1"/>
  <c r="X526" i="24" s="1"/>
  <c r="W527" i="24"/>
  <c r="Y527" i="24" s="1"/>
  <c r="X527" i="24" s="1"/>
  <c r="W528" i="24"/>
  <c r="W529" i="24"/>
  <c r="W530" i="24"/>
  <c r="W531" i="24"/>
  <c r="W532" i="24"/>
  <c r="W533" i="24"/>
  <c r="W534" i="24"/>
  <c r="Y534" i="24" s="1"/>
  <c r="X534" i="24" s="1"/>
  <c r="W535" i="24"/>
  <c r="W536" i="24"/>
  <c r="W537" i="24"/>
  <c r="W538" i="24"/>
  <c r="Y538" i="24" s="1"/>
  <c r="X538" i="24" s="1"/>
  <c r="W539" i="24"/>
  <c r="Y539" i="24" s="1"/>
  <c r="X539" i="24" s="1"/>
  <c r="W540" i="24"/>
  <c r="W541" i="24"/>
  <c r="Y541" i="24" s="1"/>
  <c r="X541" i="24" s="1"/>
  <c r="W542" i="24"/>
  <c r="W543" i="24"/>
  <c r="W544" i="24"/>
  <c r="W545" i="24"/>
  <c r="W546" i="24"/>
  <c r="W547" i="24"/>
  <c r="W548" i="24"/>
  <c r="W549" i="24"/>
  <c r="W550" i="24"/>
  <c r="Y550" i="24" s="1"/>
  <c r="X550" i="24" s="1"/>
  <c r="W551" i="24"/>
  <c r="Y551" i="24" s="1"/>
  <c r="X551" i="24" s="1"/>
  <c r="W552" i="24"/>
  <c r="W553" i="24"/>
  <c r="W554" i="24"/>
  <c r="Y554" i="24" s="1"/>
  <c r="X554" i="24" s="1"/>
  <c r="W555" i="24"/>
  <c r="Y555" i="24" s="1"/>
  <c r="X555" i="24" s="1"/>
  <c r="W556" i="24"/>
  <c r="W557" i="24"/>
  <c r="W558" i="24"/>
  <c r="W559" i="24"/>
  <c r="W560" i="24"/>
  <c r="W561" i="24"/>
  <c r="W562" i="24"/>
  <c r="W563" i="24"/>
  <c r="W564" i="24"/>
  <c r="W565" i="24"/>
  <c r="Y565" i="24" s="1"/>
  <c r="X565" i="24" s="1"/>
  <c r="W566" i="24"/>
  <c r="Y566" i="24" s="1"/>
  <c r="X566" i="24" s="1"/>
  <c r="W567" i="24"/>
  <c r="Y567" i="24" s="1"/>
  <c r="X567" i="24" s="1"/>
  <c r="W568" i="24"/>
  <c r="W569" i="24"/>
  <c r="W570" i="24"/>
  <c r="W571" i="24"/>
  <c r="W572" i="24"/>
  <c r="W573" i="24"/>
  <c r="W574" i="24"/>
  <c r="W575" i="24"/>
  <c r="W576" i="24"/>
  <c r="W577" i="24"/>
  <c r="W578" i="24"/>
  <c r="Y578" i="24" s="1"/>
  <c r="X578" i="24" s="1"/>
  <c r="W579" i="24"/>
  <c r="W580" i="24"/>
  <c r="W581" i="24"/>
  <c r="Y581" i="24" s="1"/>
  <c r="X581" i="24" s="1"/>
  <c r="W582" i="24"/>
  <c r="Y582" i="24" s="1"/>
  <c r="X582" i="24" s="1"/>
  <c r="W583" i="24"/>
  <c r="Y583" i="24" s="1"/>
  <c r="X583" i="24" s="1"/>
  <c r="W584" i="24"/>
  <c r="W585" i="24"/>
  <c r="W586" i="24"/>
  <c r="W587" i="24"/>
  <c r="W588" i="24"/>
  <c r="W589" i="24"/>
  <c r="W590" i="24"/>
  <c r="W591" i="24"/>
  <c r="W592" i="24"/>
  <c r="W593" i="24"/>
  <c r="Y593" i="24" s="1"/>
  <c r="X593" i="24" s="1"/>
  <c r="W594" i="24"/>
  <c r="Y594" i="24" s="1"/>
  <c r="X594" i="24" s="1"/>
  <c r="W595" i="24"/>
  <c r="W596" i="24"/>
  <c r="W597" i="24"/>
  <c r="Y597" i="24" s="1"/>
  <c r="X597" i="24" s="1"/>
  <c r="W598" i="24"/>
  <c r="W599" i="24"/>
  <c r="W600" i="24"/>
  <c r="W601" i="24"/>
  <c r="W602" i="24"/>
  <c r="W603" i="24"/>
  <c r="W604" i="24"/>
  <c r="W605" i="24"/>
  <c r="W606" i="24"/>
  <c r="Y606" i="24" s="1"/>
  <c r="X606" i="24" s="1"/>
  <c r="W607" i="24"/>
  <c r="Y607" i="24" s="1"/>
  <c r="X607" i="24" s="1"/>
  <c r="W608" i="24"/>
  <c r="W609" i="24"/>
  <c r="Y609" i="24" s="1"/>
  <c r="X609" i="24" s="1"/>
  <c r="W610" i="24"/>
  <c r="Y610" i="24" s="1"/>
  <c r="X610" i="24" s="1"/>
  <c r="W611" i="24"/>
  <c r="W612" i="24"/>
  <c r="W613" i="24"/>
  <c r="W614" i="24"/>
  <c r="W615" i="24"/>
  <c r="W616" i="24"/>
  <c r="W617" i="24"/>
  <c r="W618" i="24"/>
  <c r="W619" i="24"/>
  <c r="W620" i="24"/>
  <c r="W621" i="24"/>
  <c r="Y621" i="24" s="1"/>
  <c r="X621" i="24" s="1"/>
  <c r="W622" i="24"/>
  <c r="Y622" i="24" s="1"/>
  <c r="X622" i="24" s="1"/>
  <c r="W623" i="24"/>
  <c r="Y623" i="24" s="1"/>
  <c r="X623" i="24" s="1"/>
  <c r="W624" i="24"/>
  <c r="W625" i="24"/>
  <c r="Y625" i="24" s="1"/>
  <c r="X625" i="24" s="1"/>
  <c r="W626" i="24"/>
  <c r="W627" i="24"/>
  <c r="W628" i="24"/>
  <c r="W629" i="24"/>
  <c r="W630" i="24"/>
  <c r="W631" i="24"/>
  <c r="W632" i="24"/>
  <c r="W633" i="24"/>
  <c r="W634" i="24"/>
  <c r="W635" i="24"/>
  <c r="W636" i="24"/>
  <c r="W637" i="24"/>
  <c r="Y637" i="24" s="1"/>
  <c r="X637" i="24" s="1"/>
  <c r="W638" i="24"/>
  <c r="Y638" i="24" s="1"/>
  <c r="X638" i="24" s="1"/>
  <c r="W639" i="24"/>
  <c r="Y639" i="24" s="1"/>
  <c r="X639" i="24" s="1"/>
  <c r="W640" i="24"/>
  <c r="W641" i="24"/>
  <c r="W642" i="24"/>
  <c r="W643" i="24"/>
  <c r="W644" i="24"/>
  <c r="W645" i="24"/>
  <c r="W646" i="24"/>
  <c r="W647" i="24"/>
  <c r="W648" i="24"/>
  <c r="W649" i="24"/>
  <c r="W650" i="24"/>
  <c r="W651" i="24"/>
  <c r="W652" i="24"/>
  <c r="W653" i="24"/>
  <c r="Y653" i="24" s="1"/>
  <c r="X653" i="24" s="1"/>
  <c r="W654" i="24"/>
  <c r="W655" i="24"/>
  <c r="W656" i="24"/>
  <c r="W657" i="24"/>
  <c r="W658" i="24"/>
  <c r="W659" i="24"/>
  <c r="W660" i="24"/>
  <c r="W661" i="24"/>
  <c r="W662" i="24"/>
  <c r="W663" i="24"/>
  <c r="W664" i="24"/>
  <c r="W665" i="24"/>
  <c r="W666" i="24"/>
  <c r="W667" i="24"/>
  <c r="W668" i="24"/>
  <c r="W669" i="24"/>
  <c r="W670" i="24"/>
  <c r="W671" i="24"/>
  <c r="W672" i="24"/>
  <c r="W673" i="24"/>
  <c r="W674" i="24"/>
  <c r="Y674" i="24" s="1"/>
  <c r="X674" i="24" s="1"/>
  <c r="W675" i="24"/>
  <c r="W676" i="24"/>
  <c r="W677" i="24"/>
  <c r="Y677" i="24" s="1"/>
  <c r="X677" i="24" s="1"/>
  <c r="W678" i="24"/>
  <c r="W679" i="24"/>
  <c r="W680" i="24"/>
  <c r="W681" i="24"/>
  <c r="W682" i="24"/>
  <c r="W683" i="24"/>
  <c r="W684" i="24"/>
  <c r="W685" i="24"/>
  <c r="W686" i="24"/>
  <c r="W687" i="24"/>
  <c r="W688" i="24"/>
  <c r="W689" i="24"/>
  <c r="W690" i="24"/>
  <c r="W691" i="24"/>
  <c r="Y691" i="24" s="1"/>
  <c r="X691" i="24" s="1"/>
  <c r="W692" i="24"/>
  <c r="W693" i="24"/>
  <c r="Y693" i="24" s="1"/>
  <c r="X693" i="24" s="1"/>
  <c r="W694" i="24"/>
  <c r="W695" i="24"/>
  <c r="W696" i="24"/>
  <c r="W697" i="24"/>
  <c r="W698" i="24"/>
  <c r="W699" i="24"/>
  <c r="W700" i="24"/>
  <c r="W701" i="24"/>
  <c r="W702" i="24"/>
  <c r="Y702" i="24" s="1"/>
  <c r="X702" i="24" s="1"/>
  <c r="W703" i="24"/>
  <c r="W704" i="24"/>
  <c r="W705" i="24"/>
  <c r="W706" i="24"/>
  <c r="W707" i="24"/>
  <c r="Y707" i="24" s="1"/>
  <c r="X707" i="24" s="1"/>
  <c r="W708" i="24"/>
  <c r="W709" i="24"/>
  <c r="Y709" i="24" s="1"/>
  <c r="X709" i="24" s="1"/>
  <c r="W710" i="24"/>
  <c r="W711" i="24"/>
  <c r="W712" i="24"/>
  <c r="W713" i="24"/>
  <c r="W714" i="24"/>
  <c r="W715" i="24"/>
  <c r="W716" i="24"/>
  <c r="W717" i="24"/>
  <c r="W718" i="24"/>
  <c r="W719" i="24"/>
  <c r="Y719" i="24" s="1"/>
  <c r="X719" i="24" s="1"/>
  <c r="W720" i="24"/>
  <c r="W721" i="24"/>
  <c r="W722" i="24"/>
  <c r="W723" i="24"/>
  <c r="Y723" i="24" s="1"/>
  <c r="X723" i="24" s="1"/>
  <c r="W724" i="24"/>
  <c r="W725" i="24"/>
  <c r="W726" i="24"/>
  <c r="W727" i="24"/>
  <c r="W728" i="24"/>
  <c r="W729" i="24"/>
  <c r="W730" i="24"/>
  <c r="Y730" i="24" s="1"/>
  <c r="X730" i="24" s="1"/>
  <c r="W731" i="24"/>
  <c r="W732" i="24"/>
  <c r="W733" i="24"/>
  <c r="Y733" i="24" s="1"/>
  <c r="X733" i="24" s="1"/>
  <c r="W734" i="24"/>
  <c r="W735" i="24"/>
  <c r="Y735" i="24" s="1"/>
  <c r="X735" i="24" s="1"/>
  <c r="W736" i="24"/>
  <c r="W737" i="24"/>
  <c r="W738" i="24"/>
  <c r="W739" i="24"/>
  <c r="W740" i="24"/>
  <c r="W741" i="24"/>
  <c r="W742" i="24"/>
  <c r="W743" i="24"/>
  <c r="W744" i="24"/>
  <c r="W745" i="24"/>
  <c r="W746" i="24"/>
  <c r="Y746" i="24" s="1"/>
  <c r="X746" i="24" s="1"/>
  <c r="W747" i="24"/>
  <c r="Y747" i="24" s="1"/>
  <c r="X747" i="24" s="1"/>
  <c r="W748" i="24"/>
  <c r="W749" i="24"/>
  <c r="Y749" i="24" s="1"/>
  <c r="X749" i="24" s="1"/>
  <c r="W750" i="24"/>
  <c r="W751" i="24"/>
  <c r="Y751" i="24" s="1"/>
  <c r="X751" i="24" s="1"/>
  <c r="W752" i="24"/>
  <c r="W753" i="24"/>
  <c r="W754" i="24"/>
  <c r="W755" i="24"/>
  <c r="W756" i="24"/>
  <c r="W757" i="24"/>
  <c r="W758" i="24"/>
  <c r="Y758" i="24" s="1"/>
  <c r="X758" i="24" s="1"/>
  <c r="W759" i="24"/>
  <c r="W760" i="24"/>
  <c r="W761" i="24"/>
  <c r="W762" i="24"/>
  <c r="Y762" i="24" s="1"/>
  <c r="X762" i="24" s="1"/>
  <c r="W763" i="24"/>
  <c r="Y763" i="24" s="1"/>
  <c r="X763" i="24" s="1"/>
  <c r="W764" i="24"/>
  <c r="W765" i="24"/>
  <c r="Y765" i="24" s="1"/>
  <c r="X765" i="24" s="1"/>
  <c r="W766" i="24"/>
  <c r="W767" i="24"/>
  <c r="W768" i="24"/>
  <c r="W769" i="24"/>
  <c r="W770" i="24"/>
  <c r="W771" i="24"/>
  <c r="W772" i="24"/>
  <c r="W773" i="24"/>
  <c r="W774" i="24"/>
  <c r="Y774" i="24" s="1"/>
  <c r="X774" i="24" s="1"/>
  <c r="W775" i="24"/>
  <c r="Y775" i="24" s="1"/>
  <c r="X775" i="24" s="1"/>
  <c r="W776" i="24"/>
  <c r="W777" i="24"/>
  <c r="W778" i="24"/>
  <c r="Y778" i="24" s="1"/>
  <c r="X778" i="24" s="1"/>
  <c r="W779" i="24"/>
  <c r="Y779" i="24" s="1"/>
  <c r="X779" i="24" s="1"/>
  <c r="W780" i="24"/>
  <c r="W781" i="24"/>
  <c r="W782" i="24"/>
  <c r="W783" i="24"/>
  <c r="W784" i="24"/>
  <c r="W785" i="24"/>
  <c r="W786" i="24"/>
  <c r="W787" i="24"/>
  <c r="W788" i="24"/>
  <c r="W789" i="24"/>
  <c r="Y789" i="24" s="1"/>
  <c r="X789" i="24" s="1"/>
  <c r="W790" i="24"/>
  <c r="Y790" i="24" s="1"/>
  <c r="X790" i="24" s="1"/>
  <c r="W791" i="24"/>
  <c r="Y791" i="24" s="1"/>
  <c r="X791" i="24" s="1"/>
  <c r="W792" i="24"/>
  <c r="W793" i="24"/>
  <c r="W794" i="24"/>
  <c r="W795" i="24"/>
  <c r="W796" i="24"/>
  <c r="W797" i="24"/>
  <c r="W798" i="24"/>
  <c r="W799" i="24"/>
  <c r="W800" i="24"/>
  <c r="W801" i="24"/>
  <c r="W802" i="24"/>
  <c r="Y802" i="24" s="1"/>
  <c r="X802" i="24" s="1"/>
  <c r="W803" i="24"/>
  <c r="W804" i="24"/>
  <c r="W805" i="24"/>
  <c r="Y805" i="24" s="1"/>
  <c r="X805" i="24" s="1"/>
  <c r="W806" i="24"/>
  <c r="Y806" i="24" s="1"/>
  <c r="X806" i="24" s="1"/>
  <c r="W807" i="24"/>
  <c r="Y807" i="24" s="1"/>
  <c r="X807" i="24" s="1"/>
  <c r="W808" i="24"/>
  <c r="W809" i="24"/>
  <c r="W810" i="24"/>
  <c r="W811" i="24"/>
  <c r="W812" i="24"/>
  <c r="W813" i="24"/>
  <c r="W814" i="24"/>
  <c r="Y814" i="24" s="1"/>
  <c r="X814" i="24" s="1"/>
  <c r="W815" i="24"/>
  <c r="W816" i="24"/>
  <c r="W817" i="24"/>
  <c r="Y817" i="24" s="1"/>
  <c r="X817" i="24" s="1"/>
  <c r="W818" i="24"/>
  <c r="Y818" i="24" s="1"/>
  <c r="X818" i="24" s="1"/>
  <c r="W819" i="24"/>
  <c r="W820" i="24"/>
  <c r="W821" i="24"/>
  <c r="Y821" i="24" s="1"/>
  <c r="X821" i="24" s="1"/>
  <c r="W822" i="24"/>
  <c r="W823" i="24"/>
  <c r="W824" i="24"/>
  <c r="W825" i="24"/>
  <c r="W826" i="24"/>
  <c r="W827" i="24"/>
  <c r="W828" i="24"/>
  <c r="W829" i="24"/>
  <c r="W830" i="24"/>
  <c r="Y830" i="24" s="1"/>
  <c r="X830" i="24" s="1"/>
  <c r="W831" i="24"/>
  <c r="Y831" i="24" s="1"/>
  <c r="X831" i="24" s="1"/>
  <c r="W832" i="24"/>
  <c r="W833" i="24"/>
  <c r="Y833" i="24" s="1"/>
  <c r="X833" i="24" s="1"/>
  <c r="W834" i="24"/>
  <c r="Y834" i="24" s="1"/>
  <c r="X834" i="24" s="1"/>
  <c r="W835" i="24"/>
  <c r="W836" i="24"/>
  <c r="W837" i="24"/>
  <c r="W838" i="24"/>
  <c r="W839" i="24"/>
  <c r="W840" i="24"/>
  <c r="W841" i="24"/>
  <c r="W842" i="24"/>
  <c r="W843" i="24"/>
  <c r="W844" i="24"/>
  <c r="W845" i="24"/>
  <c r="Y845" i="24" s="1"/>
  <c r="X845" i="24" s="1"/>
  <c r="W846" i="24"/>
  <c r="Y846" i="24" s="1"/>
  <c r="X846" i="24" s="1"/>
  <c r="W847" i="24"/>
  <c r="Y847" i="24" s="1"/>
  <c r="X847" i="24" s="1"/>
  <c r="W848" i="24"/>
  <c r="W849" i="24"/>
  <c r="Y849" i="24" s="1"/>
  <c r="X849" i="24" s="1"/>
  <c r="W850" i="24"/>
  <c r="W851" i="24"/>
  <c r="W852" i="24"/>
  <c r="W853" i="24"/>
  <c r="W854" i="24"/>
  <c r="W855" i="24"/>
  <c r="W856" i="24"/>
  <c r="W857" i="24"/>
  <c r="W858" i="24"/>
  <c r="W859" i="24"/>
  <c r="W860" i="24"/>
  <c r="W861" i="24"/>
  <c r="Y861" i="24" s="1"/>
  <c r="X861" i="24" s="1"/>
  <c r="W862" i="24"/>
  <c r="Y862" i="24" s="1"/>
  <c r="X862" i="24" s="1"/>
  <c r="W863" i="24"/>
  <c r="Y863" i="24" s="1"/>
  <c r="X863" i="24" s="1"/>
  <c r="W864" i="24"/>
  <c r="W865" i="24"/>
  <c r="W866" i="24"/>
  <c r="W867" i="24"/>
  <c r="W868" i="24"/>
  <c r="W869" i="24"/>
  <c r="W870" i="24"/>
  <c r="Y870" i="24" s="1"/>
  <c r="X870" i="24" s="1"/>
  <c r="W871" i="24"/>
  <c r="W872" i="24"/>
  <c r="W873" i="24"/>
  <c r="W874" i="24"/>
  <c r="W875" i="24"/>
  <c r="W876" i="24"/>
  <c r="W877" i="24"/>
  <c r="Y877" i="24" s="1"/>
  <c r="X877" i="24" s="1"/>
  <c r="W878" i="24"/>
  <c r="W879" i="24"/>
  <c r="W880" i="24"/>
  <c r="W881" i="24"/>
  <c r="W882" i="24"/>
  <c r="W883" i="24"/>
  <c r="W884" i="24"/>
  <c r="W885" i="24"/>
  <c r="W886" i="24"/>
  <c r="Y886" i="24" s="1"/>
  <c r="X886" i="24" s="1"/>
  <c r="W887" i="24"/>
  <c r="Y887" i="24" s="1"/>
  <c r="X887" i="24" s="1"/>
  <c r="W888" i="24"/>
  <c r="W889" i="24"/>
  <c r="W890" i="24"/>
  <c r="W891" i="24"/>
  <c r="W892" i="24"/>
  <c r="W893" i="24"/>
  <c r="W894" i="24"/>
  <c r="W895" i="24"/>
  <c r="W896" i="24"/>
  <c r="W897" i="24"/>
  <c r="W898" i="24"/>
  <c r="Y898" i="24" s="1"/>
  <c r="X898" i="24" s="1"/>
  <c r="W899" i="24"/>
  <c r="W900" i="24"/>
  <c r="W901" i="24"/>
  <c r="Y901" i="24" s="1"/>
  <c r="X901" i="24" s="1"/>
  <c r="W902" i="24"/>
  <c r="Y902" i="24" s="1"/>
  <c r="X902" i="24" s="1"/>
  <c r="W903" i="24"/>
  <c r="Y903" i="24" s="1"/>
  <c r="X903" i="24" s="1"/>
  <c r="W904" i="24"/>
  <c r="W905" i="24"/>
  <c r="W906" i="24"/>
  <c r="W907" i="24"/>
  <c r="W908" i="24"/>
  <c r="W909" i="24"/>
  <c r="W910" i="24"/>
  <c r="W911" i="24"/>
  <c r="W912" i="24"/>
  <c r="W913" i="24"/>
  <c r="W914" i="24"/>
  <c r="W915" i="24"/>
  <c r="W916" i="24"/>
  <c r="W917" i="24"/>
  <c r="Y917" i="24" s="1"/>
  <c r="X917" i="24" s="1"/>
  <c r="W918" i="24"/>
  <c r="Y918" i="24" s="1"/>
  <c r="X918" i="24" s="1"/>
  <c r="W919" i="24"/>
  <c r="Y919" i="24" s="1"/>
  <c r="X919" i="24" s="1"/>
  <c r="W920" i="24"/>
  <c r="W921" i="24"/>
  <c r="W922" i="24"/>
  <c r="W923" i="24"/>
  <c r="W924" i="24"/>
  <c r="W925" i="24"/>
  <c r="W926" i="24"/>
  <c r="Y926" i="24" s="1"/>
  <c r="X926" i="24" s="1"/>
  <c r="W927" i="24"/>
  <c r="W928" i="24"/>
  <c r="W929" i="24"/>
  <c r="W930" i="24"/>
  <c r="W931" i="24"/>
  <c r="W932" i="24"/>
  <c r="W933" i="24"/>
  <c r="Y933" i="24" s="1"/>
  <c r="X933" i="24" s="1"/>
  <c r="W934" i="24"/>
  <c r="W935" i="24"/>
  <c r="W936" i="24"/>
  <c r="W937" i="24"/>
  <c r="W938" i="24"/>
  <c r="W939" i="24"/>
  <c r="W940" i="24"/>
  <c r="W941" i="24"/>
  <c r="W942" i="24"/>
  <c r="Y942" i="24" s="1"/>
  <c r="X942" i="24" s="1"/>
  <c r="W943" i="24"/>
  <c r="Y943" i="24" s="1"/>
  <c r="X943" i="24" s="1"/>
  <c r="W944" i="24"/>
  <c r="W945" i="24"/>
  <c r="W946" i="24"/>
  <c r="W947" i="24"/>
  <c r="W948" i="24"/>
  <c r="W949" i="24"/>
  <c r="W950" i="24"/>
  <c r="W951" i="24"/>
  <c r="W952" i="24"/>
  <c r="W953" i="24"/>
  <c r="W954" i="24"/>
  <c r="Y954" i="24" s="1"/>
  <c r="X954" i="24" s="1"/>
  <c r="W955" i="24"/>
  <c r="W956" i="24"/>
  <c r="W957" i="24"/>
  <c r="Y957" i="24" s="1"/>
  <c r="X957" i="24" s="1"/>
  <c r="W958" i="24"/>
  <c r="Y958" i="24" s="1"/>
  <c r="X958" i="24" s="1"/>
  <c r="W959" i="24"/>
  <c r="Y959" i="24" s="1"/>
  <c r="X959" i="24" s="1"/>
  <c r="W960" i="24"/>
  <c r="W961" i="24"/>
  <c r="W962" i="24"/>
  <c r="W963" i="24"/>
  <c r="W964" i="24"/>
  <c r="W965" i="24"/>
  <c r="W966" i="24"/>
  <c r="W967" i="24"/>
  <c r="W968" i="24"/>
  <c r="W969" i="24"/>
  <c r="W970" i="24"/>
  <c r="W971" i="24"/>
  <c r="Y971" i="24" s="1"/>
  <c r="X971" i="24" s="1"/>
  <c r="W972" i="24"/>
  <c r="W973" i="24"/>
  <c r="Y973" i="24" s="1"/>
  <c r="X973" i="24" s="1"/>
  <c r="W974" i="24"/>
  <c r="Y974" i="24" s="1"/>
  <c r="X974" i="24" s="1"/>
  <c r="W975" i="24"/>
  <c r="W976" i="24"/>
  <c r="W977" i="24"/>
  <c r="W978" i="24"/>
  <c r="W979" i="24"/>
  <c r="W980" i="24"/>
  <c r="W981" i="24"/>
  <c r="W982" i="24"/>
  <c r="Y982" i="24" s="1"/>
  <c r="X982" i="24" s="1"/>
  <c r="W983" i="24"/>
  <c r="W984" i="24"/>
  <c r="W985" i="24"/>
  <c r="W986" i="24"/>
  <c r="W987" i="24"/>
  <c r="W988" i="24"/>
  <c r="W989" i="24"/>
  <c r="Y989" i="24" s="1"/>
  <c r="X989" i="24" s="1"/>
  <c r="W990" i="24"/>
  <c r="W991" i="24"/>
  <c r="W992" i="24"/>
  <c r="W993" i="24"/>
  <c r="W994" i="24"/>
  <c r="W995" i="24"/>
  <c r="W996" i="24"/>
  <c r="W997" i="24"/>
  <c r="W998" i="24"/>
  <c r="Y998" i="24" s="1"/>
  <c r="X998" i="24" s="1"/>
  <c r="W999" i="24"/>
  <c r="Y999" i="24" s="1"/>
  <c r="X999" i="24" s="1"/>
  <c r="W1000" i="24"/>
  <c r="W1001" i="24"/>
  <c r="W1002" i="24"/>
  <c r="W1003" i="24"/>
  <c r="Y4" i="24"/>
  <c r="X4" i="24" s="1"/>
  <c r="Y5" i="24"/>
  <c r="X5" i="24" s="1"/>
  <c r="Y6" i="24"/>
  <c r="X6" i="24" s="1"/>
  <c r="Y7" i="24"/>
  <c r="X7" i="24" s="1"/>
  <c r="Y8" i="24"/>
  <c r="X8" i="24" s="1"/>
  <c r="Y16" i="24"/>
  <c r="X16" i="24" s="1"/>
  <c r="Y18" i="24"/>
  <c r="X18" i="24" s="1"/>
  <c r="Y19" i="24"/>
  <c r="X19" i="24" s="1"/>
  <c r="Y20" i="24"/>
  <c r="X20" i="24" s="1"/>
  <c r="Y21" i="24"/>
  <c r="X21" i="24" s="1"/>
  <c r="Y22" i="24"/>
  <c r="X22" i="24" s="1"/>
  <c r="Y23" i="24"/>
  <c r="X23" i="24" s="1"/>
  <c r="Y32" i="24"/>
  <c r="X32" i="24" s="1"/>
  <c r="Y33" i="24"/>
  <c r="X33" i="24" s="1"/>
  <c r="Y34" i="24"/>
  <c r="X34" i="24" s="1"/>
  <c r="Y36" i="24"/>
  <c r="X36" i="24" s="1"/>
  <c r="Y44" i="24"/>
  <c r="X44" i="24" s="1"/>
  <c r="Y46" i="24"/>
  <c r="X46" i="24" s="1"/>
  <c r="Y48" i="24"/>
  <c r="X48" i="24" s="1"/>
  <c r="Y50" i="24"/>
  <c r="X50" i="24" s="1"/>
  <c r="Y51" i="24"/>
  <c r="X51" i="24" s="1"/>
  <c r="Y60" i="24"/>
  <c r="X60" i="24" s="1"/>
  <c r="Y62" i="24"/>
  <c r="X62" i="24" s="1"/>
  <c r="Y63" i="24"/>
  <c r="X63" i="24" s="1"/>
  <c r="Y64" i="24"/>
  <c r="X64" i="24" s="1"/>
  <c r="Y65" i="24"/>
  <c r="X65" i="24" s="1"/>
  <c r="Y72" i="24"/>
  <c r="X72" i="24" s="1"/>
  <c r="Y74" i="24"/>
  <c r="X74" i="24" s="1"/>
  <c r="Y76" i="24"/>
  <c r="X76" i="24" s="1"/>
  <c r="Y78" i="24"/>
  <c r="X78" i="24" s="1"/>
  <c r="Y79" i="24"/>
  <c r="X79" i="24" s="1"/>
  <c r="Y88" i="24"/>
  <c r="X88" i="24" s="1"/>
  <c r="Y89" i="24"/>
  <c r="X89" i="24" s="1"/>
  <c r="Y90" i="24"/>
  <c r="X90" i="24" s="1"/>
  <c r="Y92" i="24"/>
  <c r="X92" i="24" s="1"/>
  <c r="Y100" i="24"/>
  <c r="X100" i="24" s="1"/>
  <c r="Y102" i="24"/>
  <c r="X102" i="24" s="1"/>
  <c r="Y104" i="24"/>
  <c r="X104" i="24" s="1"/>
  <c r="Y105" i="24"/>
  <c r="X105" i="24" s="1"/>
  <c r="Y106" i="24"/>
  <c r="X106" i="24" s="1"/>
  <c r="Y116" i="24"/>
  <c r="X116" i="24" s="1"/>
  <c r="Y118" i="24"/>
  <c r="X118" i="24" s="1"/>
  <c r="Y120" i="24"/>
  <c r="X120" i="24" s="1"/>
  <c r="Y121" i="24"/>
  <c r="X121" i="24" s="1"/>
  <c r="Y128" i="24"/>
  <c r="X128" i="24" s="1"/>
  <c r="Y132" i="24"/>
  <c r="X132" i="24" s="1"/>
  <c r="Y134" i="24"/>
  <c r="X134" i="24" s="1"/>
  <c r="Y144" i="24"/>
  <c r="X144" i="24" s="1"/>
  <c r="Y145" i="24"/>
  <c r="X145" i="24" s="1"/>
  <c r="Y148" i="24"/>
  <c r="X148" i="24" s="1"/>
  <c r="Y156" i="24"/>
  <c r="X156" i="24" s="1"/>
  <c r="Y160" i="24"/>
  <c r="X160" i="24" s="1"/>
  <c r="Y161" i="24"/>
  <c r="X161" i="24" s="1"/>
  <c r="Y162" i="24"/>
  <c r="X162" i="24" s="1"/>
  <c r="Y172" i="24"/>
  <c r="X172" i="24" s="1"/>
  <c r="Y174" i="24"/>
  <c r="X174" i="24" s="1"/>
  <c r="Y176" i="24"/>
  <c r="X176" i="24" s="1"/>
  <c r="Y177" i="24"/>
  <c r="X177" i="24" s="1"/>
  <c r="Y184" i="24"/>
  <c r="X184" i="24" s="1"/>
  <c r="Y188" i="24"/>
  <c r="X188" i="24" s="1"/>
  <c r="Y190" i="24"/>
  <c r="X190" i="24" s="1"/>
  <c r="Y200" i="24"/>
  <c r="X200" i="24" s="1"/>
  <c r="Y201" i="24"/>
  <c r="X201" i="24" s="1"/>
  <c r="Y204" i="24"/>
  <c r="X204" i="24" s="1"/>
  <c r="Y212" i="24"/>
  <c r="X212" i="24" s="1"/>
  <c r="Y216" i="24"/>
  <c r="X216" i="24" s="1"/>
  <c r="Y217" i="24"/>
  <c r="X217" i="24" s="1"/>
  <c r="Y226" i="24"/>
  <c r="X226" i="24" s="1"/>
  <c r="Y228" i="24"/>
  <c r="X228" i="24" s="1"/>
  <c r="Y232" i="24"/>
  <c r="X232" i="24" s="1"/>
  <c r="Y233" i="24"/>
  <c r="X233" i="24" s="1"/>
  <c r="Y240" i="24"/>
  <c r="X240" i="24" s="1"/>
  <c r="Y243" i="24"/>
  <c r="X243" i="24" s="1"/>
  <c r="Y244" i="24"/>
  <c r="X244" i="24" s="1"/>
  <c r="Y256" i="24"/>
  <c r="X256" i="24" s="1"/>
  <c r="Y259" i="24"/>
  <c r="X259" i="24" s="1"/>
  <c r="Y260" i="24"/>
  <c r="X260" i="24" s="1"/>
  <c r="Y268" i="24"/>
  <c r="X268" i="24" s="1"/>
  <c r="Y272" i="24"/>
  <c r="X272" i="24" s="1"/>
  <c r="Y273" i="24"/>
  <c r="X273" i="24" s="1"/>
  <c r="Y282" i="24"/>
  <c r="X282" i="24" s="1"/>
  <c r="Y284" i="24"/>
  <c r="X284" i="24" s="1"/>
  <c r="Y288" i="24"/>
  <c r="X288" i="24" s="1"/>
  <c r="Y289" i="24"/>
  <c r="X289" i="24" s="1"/>
  <c r="Y296" i="24"/>
  <c r="X296" i="24" s="1"/>
  <c r="Y299" i="24"/>
  <c r="X299" i="24" s="1"/>
  <c r="Y300" i="24"/>
  <c r="X300" i="24" s="1"/>
  <c r="Y312" i="24"/>
  <c r="X312" i="24" s="1"/>
  <c r="Y315" i="24"/>
  <c r="X315" i="24" s="1"/>
  <c r="Y316" i="24"/>
  <c r="X316" i="24" s="1"/>
  <c r="Y324" i="24"/>
  <c r="X324" i="24" s="1"/>
  <c r="Y328" i="24"/>
  <c r="X328" i="24" s="1"/>
  <c r="Y331" i="24"/>
  <c r="X331" i="24" s="1"/>
  <c r="Y338" i="24"/>
  <c r="X338" i="24" s="1"/>
  <c r="Y340" i="24"/>
  <c r="X340" i="24" s="1"/>
  <c r="Y344" i="24"/>
  <c r="X344" i="24" s="1"/>
  <c r="Y352" i="24"/>
  <c r="X352" i="24" s="1"/>
  <c r="Y354" i="24"/>
  <c r="X354" i="24" s="1"/>
  <c r="Y355" i="24"/>
  <c r="X355" i="24" s="1"/>
  <c r="Y356" i="24"/>
  <c r="X356" i="24" s="1"/>
  <c r="Y368" i="24"/>
  <c r="X368" i="24" s="1"/>
  <c r="Y369" i="24"/>
  <c r="X369" i="24" s="1"/>
  <c r="Y370" i="24"/>
  <c r="X370" i="24" s="1"/>
  <c r="Y371" i="24"/>
  <c r="X371" i="24" s="1"/>
  <c r="Y380" i="24"/>
  <c r="X380" i="24" s="1"/>
  <c r="Y384" i="24"/>
  <c r="X384" i="24" s="1"/>
  <c r="Y387" i="24"/>
  <c r="X387" i="24" s="1"/>
  <c r="Y394" i="24"/>
  <c r="X394" i="24" s="1"/>
  <c r="Y396" i="24"/>
  <c r="X396" i="24" s="1"/>
  <c r="Y400" i="24"/>
  <c r="X400" i="24" s="1"/>
  <c r="Y408" i="24"/>
  <c r="X408" i="24" s="1"/>
  <c r="Y410" i="24"/>
  <c r="X410" i="24" s="1"/>
  <c r="Y411" i="24"/>
  <c r="X411" i="24" s="1"/>
  <c r="Y412" i="24"/>
  <c r="X412" i="24" s="1"/>
  <c r="Y424" i="24"/>
  <c r="X424" i="24" s="1"/>
  <c r="Y425" i="24"/>
  <c r="X425" i="24" s="1"/>
  <c r="Y426" i="24"/>
  <c r="X426" i="24" s="1"/>
  <c r="Y427" i="24"/>
  <c r="X427" i="24" s="1"/>
  <c r="Y428" i="24"/>
  <c r="X428" i="24" s="1"/>
  <c r="Y436" i="24"/>
  <c r="X436" i="24" s="1"/>
  <c r="Y440" i="24"/>
  <c r="X440" i="24" s="1"/>
  <c r="Y441" i="24"/>
  <c r="X441" i="24" s="1"/>
  <c r="Y442" i="24"/>
  <c r="X442" i="24" s="1"/>
  <c r="Y443" i="24"/>
  <c r="X443" i="24" s="1"/>
  <c r="Y452" i="24"/>
  <c r="X452" i="24" s="1"/>
  <c r="Y456" i="24"/>
  <c r="X456" i="24" s="1"/>
  <c r="Y457" i="24"/>
  <c r="X457" i="24" s="1"/>
  <c r="Y464" i="24"/>
  <c r="X464" i="24" s="1"/>
  <c r="Y466" i="24"/>
  <c r="X466" i="24" s="1"/>
  <c r="Y468" i="24"/>
  <c r="X468" i="24" s="1"/>
  <c r="Y480" i="24"/>
  <c r="X480" i="24" s="1"/>
  <c r="Y481" i="24"/>
  <c r="X481" i="24" s="1"/>
  <c r="Y482" i="24"/>
  <c r="X482" i="24" s="1"/>
  <c r="Y484" i="24"/>
  <c r="X484" i="24" s="1"/>
  <c r="Y492" i="24"/>
  <c r="X492" i="24" s="1"/>
  <c r="Y496" i="24"/>
  <c r="X496" i="24" s="1"/>
  <c r="Y497" i="24"/>
  <c r="X497" i="24" s="1"/>
  <c r="Y498" i="24"/>
  <c r="X498" i="24" s="1"/>
  <c r="Y508" i="24"/>
  <c r="X508" i="24" s="1"/>
  <c r="Y512" i="24"/>
  <c r="X512" i="24" s="1"/>
  <c r="Y513" i="24"/>
  <c r="X513" i="24" s="1"/>
  <c r="Y520" i="24"/>
  <c r="X520" i="24" s="1"/>
  <c r="Y524" i="24"/>
  <c r="X524" i="24" s="1"/>
  <c r="Y536" i="24"/>
  <c r="X536" i="24" s="1"/>
  <c r="Y537" i="24"/>
  <c r="X537" i="24" s="1"/>
  <c r="Y540" i="24"/>
  <c r="X540" i="24" s="1"/>
  <c r="Y548" i="24"/>
  <c r="X548" i="24" s="1"/>
  <c r="Y552" i="24"/>
  <c r="X552" i="24" s="1"/>
  <c r="Y553" i="24"/>
  <c r="X553" i="24" s="1"/>
  <c r="Y562" i="24"/>
  <c r="X562" i="24" s="1"/>
  <c r="Y564" i="24"/>
  <c r="X564" i="24" s="1"/>
  <c r="Y568" i="24"/>
  <c r="X568" i="24" s="1"/>
  <c r="Y569" i="24"/>
  <c r="X569" i="24" s="1"/>
  <c r="Y576" i="24"/>
  <c r="X576" i="24" s="1"/>
  <c r="Y579" i="24"/>
  <c r="X579" i="24" s="1"/>
  <c r="Y580" i="24"/>
  <c r="X580" i="24" s="1"/>
  <c r="Y590" i="24"/>
  <c r="X590" i="24" s="1"/>
  <c r="Y592" i="24"/>
  <c r="X592" i="24" s="1"/>
  <c r="Y595" i="24"/>
  <c r="X595" i="24" s="1"/>
  <c r="Y596" i="24"/>
  <c r="X596" i="24" s="1"/>
  <c r="Y604" i="24"/>
  <c r="X604" i="24" s="1"/>
  <c r="Y608" i="24"/>
  <c r="X608" i="24" s="1"/>
  <c r="Y611" i="24"/>
  <c r="X611" i="24" s="1"/>
  <c r="Y618" i="24"/>
  <c r="X618" i="24" s="1"/>
  <c r="Y620" i="24"/>
  <c r="X620" i="24" s="1"/>
  <c r="Y624" i="24"/>
  <c r="X624" i="24" s="1"/>
  <c r="Y632" i="24"/>
  <c r="X632" i="24" s="1"/>
  <c r="Y634" i="24"/>
  <c r="X634" i="24" s="1"/>
  <c r="Y635" i="24"/>
  <c r="X635" i="24" s="1"/>
  <c r="Y636" i="24"/>
  <c r="X636" i="24" s="1"/>
  <c r="Y646" i="24"/>
  <c r="X646" i="24" s="1"/>
  <c r="Y648" i="24"/>
  <c r="X648" i="24" s="1"/>
  <c r="Y649" i="24"/>
  <c r="X649" i="24" s="1"/>
  <c r="Y650" i="24"/>
  <c r="X650" i="24" s="1"/>
  <c r="Y651" i="24"/>
  <c r="X651" i="24" s="1"/>
  <c r="Y652" i="24"/>
  <c r="X652" i="24" s="1"/>
  <c r="Y660" i="24"/>
  <c r="X660" i="24" s="1"/>
  <c r="Y662" i="24"/>
  <c r="X662" i="24" s="1"/>
  <c r="Y663" i="24"/>
  <c r="X663" i="24" s="1"/>
  <c r="Y664" i="24"/>
  <c r="X664" i="24" s="1"/>
  <c r="Y665" i="24"/>
  <c r="X665" i="24" s="1"/>
  <c r="Y666" i="24"/>
  <c r="X666" i="24" s="1"/>
  <c r="Y667" i="24"/>
  <c r="X667" i="24" s="1"/>
  <c r="Y676" i="24"/>
  <c r="X676" i="24" s="1"/>
  <c r="Y678" i="24"/>
  <c r="X678" i="24" s="1"/>
  <c r="Y679" i="24"/>
  <c r="X679" i="24" s="1"/>
  <c r="Y680" i="24"/>
  <c r="X680" i="24" s="1"/>
  <c r="Y681" i="24"/>
  <c r="X681" i="24" s="1"/>
  <c r="Y688" i="24"/>
  <c r="X688" i="24" s="1"/>
  <c r="Y690" i="24"/>
  <c r="X690" i="24" s="1"/>
  <c r="Y692" i="24"/>
  <c r="X692" i="24" s="1"/>
  <c r="Y694" i="24"/>
  <c r="X694" i="24" s="1"/>
  <c r="Y695" i="24"/>
  <c r="X695" i="24" s="1"/>
  <c r="Y704" i="24"/>
  <c r="X704" i="24" s="1"/>
  <c r="Y705" i="24"/>
  <c r="X705" i="24" s="1"/>
  <c r="Y706" i="24"/>
  <c r="X706" i="24" s="1"/>
  <c r="Y708" i="24"/>
  <c r="X708" i="24" s="1"/>
  <c r="Y716" i="24"/>
  <c r="X716" i="24" s="1"/>
  <c r="Y718" i="24"/>
  <c r="X718" i="24" s="1"/>
  <c r="Y720" i="24"/>
  <c r="X720" i="24" s="1"/>
  <c r="Y721" i="24"/>
  <c r="X721" i="24" s="1"/>
  <c r="Y722" i="24"/>
  <c r="X722" i="24" s="1"/>
  <c r="Y732" i="24"/>
  <c r="X732" i="24" s="1"/>
  <c r="Y734" i="24"/>
  <c r="X734" i="24" s="1"/>
  <c r="Y736" i="24"/>
  <c r="X736" i="24" s="1"/>
  <c r="Y737" i="24"/>
  <c r="X737" i="24" s="1"/>
  <c r="Y744" i="24"/>
  <c r="X744" i="24" s="1"/>
  <c r="Y748" i="24"/>
  <c r="X748" i="24" s="1"/>
  <c r="Y750" i="24"/>
  <c r="X750" i="24" s="1"/>
  <c r="Y760" i="24"/>
  <c r="X760" i="24" s="1"/>
  <c r="Y761" i="24"/>
  <c r="X761" i="24" s="1"/>
  <c r="Y764" i="24"/>
  <c r="X764" i="24" s="1"/>
  <c r="Y772" i="24"/>
  <c r="X772" i="24" s="1"/>
  <c r="Y776" i="24"/>
  <c r="X776" i="24" s="1"/>
  <c r="Y777" i="24"/>
  <c r="X777" i="24" s="1"/>
  <c r="Y786" i="24"/>
  <c r="X786" i="24" s="1"/>
  <c r="Y788" i="24"/>
  <c r="X788" i="24" s="1"/>
  <c r="Y792" i="24"/>
  <c r="X792" i="24" s="1"/>
  <c r="Y793" i="24"/>
  <c r="X793" i="24" s="1"/>
  <c r="Y800" i="24"/>
  <c r="X800" i="24" s="1"/>
  <c r="Y803" i="24"/>
  <c r="X803" i="24" s="1"/>
  <c r="Y804" i="24"/>
  <c r="X804" i="24" s="1"/>
  <c r="Y816" i="24"/>
  <c r="X816" i="24" s="1"/>
  <c r="Y819" i="24"/>
  <c r="X819" i="24" s="1"/>
  <c r="Y820" i="24"/>
  <c r="X820" i="24" s="1"/>
  <c r="Y828" i="24"/>
  <c r="X828" i="24" s="1"/>
  <c r="Y832" i="24"/>
  <c r="X832" i="24" s="1"/>
  <c r="Y835" i="24"/>
  <c r="X835" i="24" s="1"/>
  <c r="Y842" i="24"/>
  <c r="X842" i="24" s="1"/>
  <c r="Y844" i="24"/>
  <c r="X844" i="24" s="1"/>
  <c r="Y848" i="24"/>
  <c r="X848" i="24" s="1"/>
  <c r="Y856" i="24"/>
  <c r="X856" i="24" s="1"/>
  <c r="Y858" i="24"/>
  <c r="X858" i="24" s="1"/>
  <c r="Y859" i="24"/>
  <c r="X859" i="24" s="1"/>
  <c r="Y860" i="24"/>
  <c r="X860" i="24" s="1"/>
  <c r="Y872" i="24"/>
  <c r="X872" i="24" s="1"/>
  <c r="Y873" i="24"/>
  <c r="X873" i="24" s="1"/>
  <c r="Y874" i="24"/>
  <c r="X874" i="24" s="1"/>
  <c r="Y875" i="24"/>
  <c r="X875" i="24" s="1"/>
  <c r="Y876" i="24"/>
  <c r="X876" i="24" s="1"/>
  <c r="Y884" i="24"/>
  <c r="X884" i="24" s="1"/>
  <c r="Y888" i="24"/>
  <c r="X888" i="24" s="1"/>
  <c r="Y889" i="24"/>
  <c r="X889" i="24" s="1"/>
  <c r="Y890" i="24"/>
  <c r="X890" i="24" s="1"/>
  <c r="Y891" i="24"/>
  <c r="X891" i="24" s="1"/>
  <c r="Y900" i="24"/>
  <c r="X900" i="24" s="1"/>
  <c r="Y904" i="24"/>
  <c r="X904" i="24" s="1"/>
  <c r="Y912" i="24"/>
  <c r="X912" i="24" s="1"/>
  <c r="Y914" i="24"/>
  <c r="X914" i="24" s="1"/>
  <c r="Y915" i="24"/>
  <c r="X915" i="24" s="1"/>
  <c r="Y916" i="24"/>
  <c r="X916" i="24" s="1"/>
  <c r="Y928" i="24"/>
  <c r="X928" i="24" s="1"/>
  <c r="Y929" i="24"/>
  <c r="X929" i="24" s="1"/>
  <c r="Y930" i="24"/>
  <c r="X930" i="24" s="1"/>
  <c r="Y931" i="24"/>
  <c r="X931" i="24" s="1"/>
  <c r="Y932" i="24"/>
  <c r="X932" i="24" s="1"/>
  <c r="Y940" i="24"/>
  <c r="X940" i="24" s="1"/>
  <c r="Y944" i="24"/>
  <c r="X944" i="24" s="1"/>
  <c r="Y945" i="24"/>
  <c r="X945" i="24" s="1"/>
  <c r="Y946" i="24"/>
  <c r="X946" i="24" s="1"/>
  <c r="Y947" i="24"/>
  <c r="X947" i="24" s="1"/>
  <c r="Y956" i="24"/>
  <c r="X956" i="24" s="1"/>
  <c r="Y960" i="24"/>
  <c r="X960" i="24" s="1"/>
  <c r="Y961" i="24"/>
  <c r="X961" i="24" s="1"/>
  <c r="Y968" i="24"/>
  <c r="X968" i="24" s="1"/>
  <c r="Y970" i="24"/>
  <c r="X970" i="24" s="1"/>
  <c r="Y972" i="24"/>
  <c r="X972" i="24" s="1"/>
  <c r="Y984" i="24"/>
  <c r="X984" i="24" s="1"/>
  <c r="Y985" i="24"/>
  <c r="X985" i="24" s="1"/>
  <c r="Y986" i="24"/>
  <c r="X986" i="24" s="1"/>
  <c r="Y987" i="24"/>
  <c r="X987" i="24" s="1"/>
  <c r="Y988" i="24"/>
  <c r="X988" i="24" s="1"/>
  <c r="Y996" i="24"/>
  <c r="X996" i="24" s="1"/>
  <c r="Y1000" i="24"/>
  <c r="X1000" i="24" s="1"/>
  <c r="Y1001" i="24"/>
  <c r="X1001" i="24" s="1"/>
  <c r="Y1002" i="24"/>
  <c r="X1002" i="24" s="1"/>
  <c r="Y1003" i="24"/>
  <c r="X1003" i="24" s="1"/>
  <c r="Y975" i="24" l="1"/>
  <c r="X975" i="24" s="1"/>
  <c r="Y49" i="24"/>
  <c r="X49" i="24" s="1"/>
  <c r="Y270" i="24"/>
  <c r="X270" i="24" s="1"/>
  <c r="Y905" i="24"/>
  <c r="X905" i="24" s="1"/>
  <c r="Y997" i="24"/>
  <c r="X997" i="24" s="1"/>
  <c r="Y969" i="24"/>
  <c r="X969" i="24" s="1"/>
  <c r="Y955" i="24"/>
  <c r="X955" i="24" s="1"/>
  <c r="Y941" i="24"/>
  <c r="X941" i="24" s="1"/>
  <c r="Y927" i="24"/>
  <c r="X927" i="24" s="1"/>
  <c r="Y913" i="24"/>
  <c r="X913" i="24" s="1"/>
  <c r="Y899" i="24"/>
  <c r="X899" i="24" s="1"/>
  <c r="Y885" i="24"/>
  <c r="X885" i="24" s="1"/>
  <c r="Y871" i="24"/>
  <c r="X871" i="24" s="1"/>
  <c r="Y857" i="24"/>
  <c r="X857" i="24" s="1"/>
  <c r="Y983" i="24"/>
  <c r="X983" i="24" s="1"/>
  <c r="Y843" i="24"/>
  <c r="X843" i="24" s="1"/>
  <c r="Y829" i="24"/>
  <c r="X829" i="24" s="1"/>
  <c r="Y815" i="24"/>
  <c r="X815" i="24" s="1"/>
  <c r="Y801" i="24"/>
  <c r="X801" i="24" s="1"/>
  <c r="Y787" i="24"/>
  <c r="X787" i="24" s="1"/>
  <c r="Y773" i="24"/>
  <c r="X773" i="24" s="1"/>
  <c r="Y759" i="24"/>
  <c r="X759" i="24" s="1"/>
  <c r="Y745" i="24"/>
  <c r="X745" i="24" s="1"/>
  <c r="Y731" i="24"/>
  <c r="X731" i="24" s="1"/>
  <c r="Y717" i="24"/>
  <c r="X717" i="24" s="1"/>
  <c r="Y703" i="24"/>
  <c r="X703" i="24" s="1"/>
  <c r="Y689" i="24"/>
  <c r="X689" i="24" s="1"/>
  <c r="Y675" i="24"/>
  <c r="X675" i="24" s="1"/>
  <c r="Y661" i="24"/>
  <c r="X661" i="24" s="1"/>
  <c r="Y647" i="24"/>
  <c r="X647" i="24" s="1"/>
  <c r="Y633" i="24"/>
  <c r="X633" i="24" s="1"/>
  <c r="Y619" i="24"/>
  <c r="X619" i="24" s="1"/>
  <c r="Y605" i="24"/>
  <c r="X605" i="24" s="1"/>
  <c r="Y591" i="24"/>
  <c r="X591" i="24" s="1"/>
  <c r="Y577" i="24"/>
  <c r="X577" i="24" s="1"/>
  <c r="Y563" i="24"/>
  <c r="X563" i="24" s="1"/>
  <c r="Y549" i="24"/>
  <c r="X549" i="24" s="1"/>
  <c r="Y535" i="24"/>
  <c r="X535" i="24" s="1"/>
  <c r="Y521" i="24"/>
  <c r="X521" i="24" s="1"/>
  <c r="Y507" i="24"/>
  <c r="X507" i="24" s="1"/>
  <c r="Y493" i="24"/>
  <c r="X493" i="24" s="1"/>
  <c r="Y479" i="24"/>
  <c r="X479" i="24" s="1"/>
  <c r="Y465" i="24"/>
  <c r="X465" i="24" s="1"/>
  <c r="Y451" i="24"/>
  <c r="X451" i="24" s="1"/>
  <c r="Y437" i="24"/>
  <c r="X437" i="24" s="1"/>
  <c r="Y423" i="24"/>
  <c r="X423" i="24" s="1"/>
  <c r="Y409" i="24"/>
  <c r="X409" i="24" s="1"/>
  <c r="Y395" i="24"/>
  <c r="X395" i="24" s="1"/>
  <c r="Y381" i="24"/>
  <c r="X381" i="24" s="1"/>
  <c r="Y367" i="24"/>
  <c r="X367" i="24" s="1"/>
  <c r="Y353" i="24"/>
  <c r="X353" i="24" s="1"/>
  <c r="Y339" i="24"/>
  <c r="X339" i="24" s="1"/>
  <c r="Y325" i="24"/>
  <c r="X325" i="24" s="1"/>
  <c r="Y311" i="24"/>
  <c r="X311" i="24" s="1"/>
  <c r="Y297" i="24"/>
  <c r="X297" i="24" s="1"/>
  <c r="Y283" i="24"/>
  <c r="X283" i="24" s="1"/>
  <c r="Y269" i="24"/>
  <c r="X269" i="24" s="1"/>
  <c r="Y255" i="24"/>
  <c r="X255" i="24" s="1"/>
  <c r="Y241" i="24"/>
  <c r="X241" i="24" s="1"/>
  <c r="Y227" i="24"/>
  <c r="X227" i="24" s="1"/>
  <c r="Y213" i="24"/>
  <c r="X213" i="24" s="1"/>
  <c r="Y199" i="24"/>
  <c r="X199" i="24" s="1"/>
  <c r="Y185" i="24"/>
  <c r="X185" i="24" s="1"/>
  <c r="Y171" i="24"/>
  <c r="X171" i="24" s="1"/>
  <c r="Y157" i="24"/>
  <c r="X157" i="24" s="1"/>
  <c r="Y143" i="24"/>
  <c r="X143" i="24" s="1"/>
  <c r="Y129" i="24"/>
  <c r="X129" i="24" s="1"/>
  <c r="Y115" i="24"/>
  <c r="X115" i="24" s="1"/>
  <c r="Y101" i="24"/>
  <c r="X101" i="24" s="1"/>
  <c r="Y87" i="24"/>
  <c r="X87" i="24" s="1"/>
  <c r="Y73" i="24"/>
  <c r="X73" i="24" s="1"/>
  <c r="Y59" i="24"/>
  <c r="X59" i="24" s="1"/>
  <c r="Y45" i="24"/>
  <c r="X45" i="24" s="1"/>
  <c r="Y31" i="24"/>
  <c r="X31" i="24" s="1"/>
  <c r="Y17" i="24"/>
  <c r="X17" i="24" s="1"/>
  <c r="Y991" i="24"/>
  <c r="X991" i="24" s="1"/>
  <c r="Y977" i="24"/>
  <c r="X977" i="24" s="1"/>
  <c r="Y963" i="24"/>
  <c r="X963" i="24" s="1"/>
  <c r="Y949" i="24"/>
  <c r="X949" i="24" s="1"/>
  <c r="Y935" i="24"/>
  <c r="X935" i="24" s="1"/>
  <c r="Y921" i="24"/>
  <c r="X921" i="24" s="1"/>
  <c r="Y907" i="24"/>
  <c r="X907" i="24" s="1"/>
  <c r="Y893" i="24"/>
  <c r="X893" i="24" s="1"/>
  <c r="Y879" i="24"/>
  <c r="X879" i="24" s="1"/>
  <c r="Y865" i="24"/>
  <c r="X865" i="24" s="1"/>
  <c r="Y851" i="24"/>
  <c r="X851" i="24" s="1"/>
  <c r="Y837" i="24"/>
  <c r="X837" i="24" s="1"/>
  <c r="Y823" i="24"/>
  <c r="X823" i="24" s="1"/>
  <c r="Y809" i="24"/>
  <c r="X809" i="24" s="1"/>
  <c r="Y795" i="24"/>
  <c r="X795" i="24" s="1"/>
  <c r="Y781" i="24"/>
  <c r="X781" i="24" s="1"/>
  <c r="Y767" i="24"/>
  <c r="X767" i="24" s="1"/>
  <c r="Y753" i="24"/>
  <c r="X753" i="24" s="1"/>
  <c r="Y739" i="24"/>
  <c r="X739" i="24" s="1"/>
  <c r="Y725" i="24"/>
  <c r="X725" i="24" s="1"/>
  <c r="Y711" i="24"/>
  <c r="X711" i="24" s="1"/>
  <c r="Y697" i="24"/>
  <c r="X697" i="24" s="1"/>
  <c r="Y683" i="24"/>
  <c r="X683" i="24" s="1"/>
  <c r="Y669" i="24"/>
  <c r="X669" i="24" s="1"/>
  <c r="Y655" i="24"/>
  <c r="X655" i="24" s="1"/>
  <c r="Y641" i="24"/>
  <c r="X641" i="24" s="1"/>
  <c r="Y627" i="24"/>
  <c r="X627" i="24" s="1"/>
  <c r="Y613" i="24"/>
  <c r="X613" i="24" s="1"/>
  <c r="Y599" i="24"/>
  <c r="X599" i="24" s="1"/>
  <c r="Y585" i="24"/>
  <c r="X585" i="24" s="1"/>
  <c r="Y571" i="24"/>
  <c r="X571" i="24" s="1"/>
  <c r="Y557" i="24"/>
  <c r="X557" i="24" s="1"/>
  <c r="Y543" i="24"/>
  <c r="X543" i="24" s="1"/>
  <c r="Y529" i="24"/>
  <c r="X529" i="24" s="1"/>
  <c r="Y515" i="24"/>
  <c r="X515" i="24" s="1"/>
  <c r="Y501" i="24"/>
  <c r="X501" i="24" s="1"/>
  <c r="Y473" i="24"/>
  <c r="X473" i="24" s="1"/>
  <c r="Y459" i="24"/>
  <c r="X459" i="24" s="1"/>
  <c r="Y445" i="24"/>
  <c r="X445" i="24" s="1"/>
  <c r="Y431" i="24"/>
  <c r="X431" i="24" s="1"/>
  <c r="Y417" i="24"/>
  <c r="X417" i="24" s="1"/>
  <c r="Y403" i="24"/>
  <c r="X403" i="24" s="1"/>
  <c r="Y389" i="24"/>
  <c r="X389" i="24" s="1"/>
  <c r="Y375" i="24"/>
  <c r="X375" i="24" s="1"/>
  <c r="Y491" i="24"/>
  <c r="X491" i="24" s="1"/>
  <c r="Y393" i="24"/>
  <c r="X393" i="24" s="1"/>
  <c r="Y994" i="24"/>
  <c r="X994" i="24" s="1"/>
  <c r="Y980" i="24"/>
  <c r="X980" i="24" s="1"/>
  <c r="Y966" i="24"/>
  <c r="X966" i="24" s="1"/>
  <c r="Y952" i="24"/>
  <c r="X952" i="24" s="1"/>
  <c r="Y938" i="24"/>
  <c r="X938" i="24" s="1"/>
  <c r="Y924" i="24"/>
  <c r="X924" i="24" s="1"/>
  <c r="Y910" i="24"/>
  <c r="X910" i="24" s="1"/>
  <c r="Y896" i="24"/>
  <c r="X896" i="24" s="1"/>
  <c r="Y882" i="24"/>
  <c r="X882" i="24" s="1"/>
  <c r="Y868" i="24"/>
  <c r="X868" i="24" s="1"/>
  <c r="Y854" i="24"/>
  <c r="X854" i="24" s="1"/>
  <c r="Y840" i="24"/>
  <c r="X840" i="24" s="1"/>
  <c r="Y826" i="24"/>
  <c r="X826" i="24" s="1"/>
  <c r="Y812" i="24"/>
  <c r="X812" i="24" s="1"/>
  <c r="Y798" i="24"/>
  <c r="X798" i="24" s="1"/>
  <c r="Y784" i="24"/>
  <c r="X784" i="24" s="1"/>
  <c r="Y770" i="24"/>
  <c r="X770" i="24" s="1"/>
  <c r="Y756" i="24"/>
  <c r="X756" i="24" s="1"/>
  <c r="Y742" i="24"/>
  <c r="X742" i="24" s="1"/>
  <c r="Y728" i="24"/>
  <c r="X728" i="24" s="1"/>
  <c r="Y714" i="24"/>
  <c r="X714" i="24" s="1"/>
  <c r="Y700" i="24"/>
  <c r="X700" i="24" s="1"/>
  <c r="Y686" i="24"/>
  <c r="X686" i="24" s="1"/>
  <c r="Y672" i="24"/>
  <c r="X672" i="24" s="1"/>
  <c r="Y658" i="24"/>
  <c r="X658" i="24" s="1"/>
  <c r="Y644" i="24"/>
  <c r="X644" i="24" s="1"/>
  <c r="Y630" i="24"/>
  <c r="X630" i="24" s="1"/>
  <c r="Y616" i="24"/>
  <c r="X616" i="24" s="1"/>
  <c r="Y602" i="24"/>
  <c r="X602" i="24" s="1"/>
  <c r="Y588" i="24"/>
  <c r="X588" i="24" s="1"/>
  <c r="Y574" i="24"/>
  <c r="X574" i="24" s="1"/>
  <c r="Y560" i="24"/>
  <c r="X560" i="24" s="1"/>
  <c r="Y546" i="24"/>
  <c r="X546" i="24" s="1"/>
  <c r="Y532" i="24"/>
  <c r="X532" i="24" s="1"/>
  <c r="Y518" i="24"/>
  <c r="X518" i="24" s="1"/>
  <c r="Y504" i="24"/>
  <c r="X504" i="24" s="1"/>
  <c r="Y490" i="24"/>
  <c r="X490" i="24" s="1"/>
  <c r="Y476" i="24"/>
  <c r="X476" i="24" s="1"/>
  <c r="Y462" i="24"/>
  <c r="X462" i="24" s="1"/>
  <c r="Y448" i="24"/>
  <c r="X448" i="24" s="1"/>
  <c r="Y434" i="24"/>
  <c r="X434" i="24" s="1"/>
  <c r="Y420" i="24"/>
  <c r="X420" i="24" s="1"/>
  <c r="Y406" i="24"/>
  <c r="X406" i="24" s="1"/>
  <c r="Y392" i="24"/>
  <c r="X392" i="24" s="1"/>
  <c r="Y378" i="24"/>
  <c r="X378" i="24" s="1"/>
  <c r="Y364" i="24"/>
  <c r="X364" i="24" s="1"/>
  <c r="Y350" i="24"/>
  <c r="X350" i="24" s="1"/>
  <c r="Y336" i="24"/>
  <c r="X336" i="24" s="1"/>
  <c r="Y322" i="24"/>
  <c r="X322" i="24" s="1"/>
  <c r="Y308" i="24"/>
  <c r="X308" i="24" s="1"/>
  <c r="Y294" i="24"/>
  <c r="X294" i="24" s="1"/>
  <c r="Y280" i="24"/>
  <c r="X280" i="24" s="1"/>
  <c r="Y252" i="24"/>
  <c r="X252" i="24" s="1"/>
  <c r="Y238" i="24"/>
  <c r="X238" i="24" s="1"/>
  <c r="Y224" i="24"/>
  <c r="X224" i="24" s="1"/>
  <c r="Y210" i="24"/>
  <c r="X210" i="24" s="1"/>
  <c r="Y196" i="24"/>
  <c r="X196" i="24" s="1"/>
  <c r="Y182" i="24"/>
  <c r="X182" i="24" s="1"/>
  <c r="Y168" i="24"/>
  <c r="X168" i="24" s="1"/>
  <c r="Y154" i="24"/>
  <c r="X154" i="24" s="1"/>
  <c r="Y140" i="24"/>
  <c r="X140" i="24" s="1"/>
  <c r="Y126" i="24"/>
  <c r="X126" i="24" s="1"/>
  <c r="Y112" i="24"/>
  <c r="X112" i="24" s="1"/>
  <c r="Y967" i="24"/>
  <c r="X967" i="24" s="1"/>
  <c r="Y939" i="24"/>
  <c r="X939" i="24" s="1"/>
  <c r="Y897" i="24"/>
  <c r="X897" i="24" s="1"/>
  <c r="Y855" i="24"/>
  <c r="X855" i="24" s="1"/>
  <c r="Y827" i="24"/>
  <c r="X827" i="24" s="1"/>
  <c r="Y799" i="24"/>
  <c r="X799" i="24" s="1"/>
  <c r="Y771" i="24"/>
  <c r="X771" i="24" s="1"/>
  <c r="Y743" i="24"/>
  <c r="X743" i="24" s="1"/>
  <c r="Y715" i="24"/>
  <c r="X715" i="24" s="1"/>
  <c r="Y701" i="24"/>
  <c r="X701" i="24" s="1"/>
  <c r="Y673" i="24"/>
  <c r="X673" i="24" s="1"/>
  <c r="Y659" i="24"/>
  <c r="X659" i="24" s="1"/>
  <c r="Y645" i="24"/>
  <c r="X645" i="24" s="1"/>
  <c r="Y617" i="24"/>
  <c r="X617" i="24" s="1"/>
  <c r="Y603" i="24"/>
  <c r="X603" i="24" s="1"/>
  <c r="Y589" i="24"/>
  <c r="X589" i="24" s="1"/>
  <c r="Y575" i="24"/>
  <c r="X575" i="24" s="1"/>
  <c r="Y547" i="24"/>
  <c r="X547" i="24" s="1"/>
  <c r="Y533" i="24"/>
  <c r="X533" i="24" s="1"/>
  <c r="Y519" i="24"/>
  <c r="X519" i="24" s="1"/>
  <c r="Y505" i="24"/>
  <c r="X505" i="24" s="1"/>
  <c r="Y477" i="24"/>
  <c r="X477" i="24" s="1"/>
  <c r="Y463" i="24"/>
  <c r="X463" i="24" s="1"/>
  <c r="Y449" i="24"/>
  <c r="X449" i="24" s="1"/>
  <c r="Y435" i="24"/>
  <c r="X435" i="24" s="1"/>
  <c r="Y407" i="24"/>
  <c r="X407" i="24" s="1"/>
  <c r="Y379" i="24"/>
  <c r="X379" i="24" s="1"/>
  <c r="Y365" i="24"/>
  <c r="X365" i="24" s="1"/>
  <c r="Y351" i="24"/>
  <c r="X351" i="24" s="1"/>
  <c r="Y337" i="24"/>
  <c r="X337" i="24" s="1"/>
  <c r="Y323" i="24"/>
  <c r="X323" i="24" s="1"/>
  <c r="Y309" i="24"/>
  <c r="X309" i="24" s="1"/>
  <c r="Y295" i="24"/>
  <c r="X295" i="24" s="1"/>
  <c r="Y281" i="24"/>
  <c r="X281" i="24" s="1"/>
  <c r="Y267" i="24"/>
  <c r="X267" i="24" s="1"/>
  <c r="Y253" i="24"/>
  <c r="X253" i="24" s="1"/>
  <c r="Y239" i="24"/>
  <c r="X239" i="24" s="1"/>
  <c r="Y225" i="24"/>
  <c r="X225" i="24" s="1"/>
  <c r="Y211" i="24"/>
  <c r="X211" i="24" s="1"/>
  <c r="Y197" i="24"/>
  <c r="X197" i="24" s="1"/>
  <c r="Y993" i="24"/>
  <c r="X993" i="24" s="1"/>
  <c r="Y979" i="24"/>
  <c r="X979" i="24" s="1"/>
  <c r="Y965" i="24"/>
  <c r="X965" i="24" s="1"/>
  <c r="Y951" i="24"/>
  <c r="X951" i="24" s="1"/>
  <c r="Y937" i="24"/>
  <c r="X937" i="24" s="1"/>
  <c r="Y923" i="24"/>
  <c r="X923" i="24" s="1"/>
  <c r="Y909" i="24"/>
  <c r="X909" i="24" s="1"/>
  <c r="Y895" i="24"/>
  <c r="X895" i="24" s="1"/>
  <c r="Y881" i="24"/>
  <c r="X881" i="24" s="1"/>
  <c r="Y867" i="24"/>
  <c r="X867" i="24" s="1"/>
  <c r="Y853" i="24"/>
  <c r="X853" i="24" s="1"/>
  <c r="Y839" i="24"/>
  <c r="X839" i="24" s="1"/>
  <c r="Y825" i="24"/>
  <c r="X825" i="24" s="1"/>
  <c r="Y811" i="24"/>
  <c r="X811" i="24" s="1"/>
  <c r="Y797" i="24"/>
  <c r="X797" i="24" s="1"/>
  <c r="Y783" i="24"/>
  <c r="X783" i="24" s="1"/>
  <c r="Y769" i="24"/>
  <c r="X769" i="24" s="1"/>
  <c r="Y755" i="24"/>
  <c r="X755" i="24" s="1"/>
  <c r="Y741" i="24"/>
  <c r="X741" i="24" s="1"/>
  <c r="Y727" i="24"/>
  <c r="X727" i="24" s="1"/>
  <c r="Y713" i="24"/>
  <c r="X713" i="24" s="1"/>
  <c r="Y699" i="24"/>
  <c r="X699" i="24" s="1"/>
  <c r="Y685" i="24"/>
  <c r="X685" i="24" s="1"/>
  <c r="Y671" i="24"/>
  <c r="X671" i="24" s="1"/>
  <c r="Y657" i="24"/>
  <c r="X657" i="24" s="1"/>
  <c r="Y643" i="24"/>
  <c r="X643" i="24" s="1"/>
  <c r="Y629" i="24"/>
  <c r="X629" i="24" s="1"/>
  <c r="Y615" i="24"/>
  <c r="X615" i="24" s="1"/>
  <c r="Y601" i="24"/>
  <c r="X601" i="24" s="1"/>
  <c r="Y587" i="24"/>
  <c r="X587" i="24" s="1"/>
  <c r="Y573" i="24"/>
  <c r="X573" i="24" s="1"/>
  <c r="Y559" i="24"/>
  <c r="X559" i="24" s="1"/>
  <c r="Y545" i="24"/>
  <c r="X545" i="24" s="1"/>
  <c r="Y531" i="24"/>
  <c r="X531" i="24" s="1"/>
  <c r="Y517" i="24"/>
  <c r="X517" i="24" s="1"/>
  <c r="Y503" i="24"/>
  <c r="X503" i="24" s="1"/>
  <c r="Y489" i="24"/>
  <c r="X489" i="24" s="1"/>
  <c r="Y475" i="24"/>
  <c r="X475" i="24" s="1"/>
  <c r="Y461" i="24"/>
  <c r="X461" i="24" s="1"/>
  <c r="Y447" i="24"/>
  <c r="X447" i="24" s="1"/>
  <c r="Y433" i="24"/>
  <c r="X433" i="24" s="1"/>
  <c r="Y419" i="24"/>
  <c r="X419" i="24" s="1"/>
  <c r="Y405" i="24"/>
  <c r="X405" i="24" s="1"/>
  <c r="Y391" i="24"/>
  <c r="X391" i="24" s="1"/>
  <c r="Y377" i="24"/>
  <c r="X377" i="24" s="1"/>
  <c r="Y363" i="24"/>
  <c r="X363" i="24" s="1"/>
  <c r="Y349" i="24"/>
  <c r="X349" i="24" s="1"/>
  <c r="Y335" i="24"/>
  <c r="X335" i="24" s="1"/>
  <c r="Y321" i="24"/>
  <c r="X321" i="24" s="1"/>
  <c r="Y307" i="24"/>
  <c r="X307" i="24" s="1"/>
  <c r="Y293" i="24"/>
  <c r="X293" i="24" s="1"/>
  <c r="Y279" i="24"/>
  <c r="X279" i="24" s="1"/>
  <c r="Y265" i="24"/>
  <c r="X265" i="24" s="1"/>
  <c r="Y237" i="24"/>
  <c r="X237" i="24" s="1"/>
  <c r="Y223" i="24"/>
  <c r="X223" i="24" s="1"/>
  <c r="Y209" i="24"/>
  <c r="X209" i="24" s="1"/>
  <c r="Y195" i="24"/>
  <c r="X195" i="24" s="1"/>
  <c r="Y181" i="24"/>
  <c r="X181" i="24" s="1"/>
  <c r="Y167" i="24"/>
  <c r="X167" i="24" s="1"/>
  <c r="Y153" i="24"/>
  <c r="X153" i="24" s="1"/>
  <c r="Y139" i="24"/>
  <c r="X139" i="24" s="1"/>
  <c r="Y125" i="24"/>
  <c r="X125" i="24" s="1"/>
  <c r="Y111" i="24"/>
  <c r="X111" i="24" s="1"/>
  <c r="Y97" i="24"/>
  <c r="X97" i="24" s="1"/>
  <c r="Y83" i="24"/>
  <c r="X83" i="24" s="1"/>
  <c r="Y69" i="24"/>
  <c r="X69" i="24" s="1"/>
  <c r="Y55" i="24"/>
  <c r="X55" i="24" s="1"/>
  <c r="Y41" i="24"/>
  <c r="X41" i="24" s="1"/>
  <c r="Y27" i="24"/>
  <c r="X27" i="24" s="1"/>
  <c r="Y13" i="24"/>
  <c r="X13" i="24" s="1"/>
  <c r="Y995" i="24"/>
  <c r="X995" i="24" s="1"/>
  <c r="Y981" i="24"/>
  <c r="X981" i="24" s="1"/>
  <c r="Y953" i="24"/>
  <c r="X953" i="24" s="1"/>
  <c r="Y925" i="24"/>
  <c r="X925" i="24" s="1"/>
  <c r="Y911" i="24"/>
  <c r="X911" i="24" s="1"/>
  <c r="Y883" i="24"/>
  <c r="X883" i="24" s="1"/>
  <c r="Y869" i="24"/>
  <c r="X869" i="24" s="1"/>
  <c r="Y841" i="24"/>
  <c r="X841" i="24" s="1"/>
  <c r="Y813" i="24"/>
  <c r="X813" i="24" s="1"/>
  <c r="Y785" i="24"/>
  <c r="X785" i="24" s="1"/>
  <c r="Y757" i="24"/>
  <c r="X757" i="24" s="1"/>
  <c r="Y729" i="24"/>
  <c r="X729" i="24" s="1"/>
  <c r="Y687" i="24"/>
  <c r="X687" i="24" s="1"/>
  <c r="Y631" i="24"/>
  <c r="X631" i="24" s="1"/>
  <c r="Y561" i="24"/>
  <c r="X561" i="24" s="1"/>
  <c r="Y421" i="24"/>
  <c r="X421" i="24" s="1"/>
  <c r="Y992" i="24"/>
  <c r="X992" i="24" s="1"/>
  <c r="Y978" i="24"/>
  <c r="X978" i="24" s="1"/>
  <c r="Y964" i="24"/>
  <c r="X964" i="24" s="1"/>
  <c r="Y950" i="24"/>
  <c r="X950" i="24" s="1"/>
  <c r="Y936" i="24"/>
  <c r="X936" i="24" s="1"/>
  <c r="Y922" i="24"/>
  <c r="X922" i="24" s="1"/>
  <c r="Y908" i="24"/>
  <c r="X908" i="24" s="1"/>
  <c r="Y894" i="24"/>
  <c r="X894" i="24" s="1"/>
  <c r="Y880" i="24"/>
  <c r="X880" i="24" s="1"/>
  <c r="Y866" i="24"/>
  <c r="X866" i="24" s="1"/>
  <c r="Y852" i="24"/>
  <c r="X852" i="24" s="1"/>
  <c r="Y838" i="24"/>
  <c r="X838" i="24" s="1"/>
  <c r="Y824" i="24"/>
  <c r="X824" i="24" s="1"/>
  <c r="Y810" i="24"/>
  <c r="X810" i="24" s="1"/>
  <c r="Y796" i="24"/>
  <c r="X796" i="24" s="1"/>
  <c r="Y782" i="24"/>
  <c r="X782" i="24" s="1"/>
  <c r="Y768" i="24"/>
  <c r="X768" i="24" s="1"/>
  <c r="Y754" i="24"/>
  <c r="X754" i="24" s="1"/>
  <c r="Y740" i="24"/>
  <c r="X740" i="24" s="1"/>
  <c r="Y726" i="24"/>
  <c r="X726" i="24" s="1"/>
  <c r="Y712" i="24"/>
  <c r="X712" i="24" s="1"/>
  <c r="Y698" i="24"/>
  <c r="X698" i="24" s="1"/>
  <c r="Y684" i="24"/>
  <c r="X684" i="24" s="1"/>
  <c r="Y670" i="24"/>
  <c r="X670" i="24" s="1"/>
  <c r="Y656" i="24"/>
  <c r="X656" i="24" s="1"/>
  <c r="Y642" i="24"/>
  <c r="X642" i="24" s="1"/>
  <c r="Y628" i="24"/>
  <c r="X628" i="24" s="1"/>
  <c r="Y614" i="24"/>
  <c r="X614" i="24" s="1"/>
  <c r="Y600" i="24"/>
  <c r="X600" i="24" s="1"/>
  <c r="Y586" i="24"/>
  <c r="X586" i="24" s="1"/>
  <c r="Y572" i="24"/>
  <c r="X572" i="24" s="1"/>
  <c r="Y558" i="24"/>
  <c r="X558" i="24" s="1"/>
  <c r="Y544" i="24"/>
  <c r="X544" i="24" s="1"/>
  <c r="Y530" i="24"/>
  <c r="X530" i="24" s="1"/>
  <c r="Y502" i="24"/>
  <c r="X502" i="24" s="1"/>
  <c r="Y488" i="24"/>
  <c r="X488" i="24" s="1"/>
  <c r="Y474" i="24"/>
  <c r="X474" i="24" s="1"/>
  <c r="Y460" i="24"/>
  <c r="X460" i="24" s="1"/>
  <c r="Y446" i="24"/>
  <c r="X446" i="24" s="1"/>
  <c r="Y432" i="24"/>
  <c r="X432" i="24" s="1"/>
  <c r="Y418" i="24"/>
  <c r="X418" i="24" s="1"/>
  <c r="Y404" i="24"/>
  <c r="X404" i="24" s="1"/>
  <c r="Y390" i="24"/>
  <c r="X390" i="24" s="1"/>
  <c r="Y376" i="24"/>
  <c r="X376" i="24" s="1"/>
  <c r="Y362" i="24"/>
  <c r="X362" i="24" s="1"/>
  <c r="Y348" i="24"/>
  <c r="X348" i="24" s="1"/>
  <c r="Y334" i="24"/>
  <c r="X334" i="24" s="1"/>
  <c r="Y320" i="24"/>
  <c r="X320" i="24" s="1"/>
  <c r="Y306" i="24"/>
  <c r="X306" i="24" s="1"/>
  <c r="Y292" i="24"/>
  <c r="X292" i="24" s="1"/>
  <c r="Y278" i="24"/>
  <c r="X278" i="24" s="1"/>
  <c r="Y264" i="24"/>
  <c r="X264" i="24" s="1"/>
  <c r="Y250" i="24"/>
  <c r="X250" i="24" s="1"/>
  <c r="Y236" i="24"/>
  <c r="X236" i="24" s="1"/>
  <c r="Y222" i="24"/>
  <c r="X222" i="24" s="1"/>
  <c r="Y208" i="24"/>
  <c r="X208" i="24" s="1"/>
  <c r="Y194" i="24"/>
  <c r="X194" i="24" s="1"/>
  <c r="Y180" i="24"/>
  <c r="X180" i="24" s="1"/>
  <c r="Y166" i="24"/>
  <c r="X166" i="24" s="1"/>
  <c r="Y152" i="24"/>
  <c r="X152" i="24" s="1"/>
  <c r="Y138" i="24"/>
  <c r="X138" i="24" s="1"/>
  <c r="Y124" i="24"/>
  <c r="X124" i="24" s="1"/>
  <c r="Y110" i="24"/>
  <c r="X110" i="24" s="1"/>
  <c r="Y347" i="24"/>
  <c r="X347" i="24" s="1"/>
  <c r="Y319" i="24"/>
  <c r="X319" i="24" s="1"/>
  <c r="Y277" i="24"/>
  <c r="X277" i="24" s="1"/>
  <c r="Y249" i="24"/>
  <c r="X249" i="24" s="1"/>
  <c r="Y221" i="24"/>
  <c r="X221" i="24" s="1"/>
  <c r="Y193" i="24"/>
  <c r="X193" i="24" s="1"/>
  <c r="Y151" i="24"/>
  <c r="X151" i="24" s="1"/>
  <c r="Y123" i="24"/>
  <c r="X123" i="24" s="1"/>
  <c r="Y95" i="24"/>
  <c r="X95" i="24" s="1"/>
  <c r="Y67" i="24"/>
  <c r="X67" i="24" s="1"/>
  <c r="Y25" i="24"/>
  <c r="X25" i="24" s="1"/>
  <c r="Y361" i="24"/>
  <c r="X361" i="24" s="1"/>
  <c r="Y333" i="24"/>
  <c r="X333" i="24" s="1"/>
  <c r="Y305" i="24"/>
  <c r="X305" i="24" s="1"/>
  <c r="Y291" i="24"/>
  <c r="X291" i="24" s="1"/>
  <c r="Y263" i="24"/>
  <c r="X263" i="24" s="1"/>
  <c r="Y235" i="24"/>
  <c r="X235" i="24" s="1"/>
  <c r="Y207" i="24"/>
  <c r="X207" i="24" s="1"/>
  <c r="Y179" i="24"/>
  <c r="X179" i="24" s="1"/>
  <c r="Y165" i="24"/>
  <c r="X165" i="24" s="1"/>
  <c r="Y137" i="24"/>
  <c r="X137" i="24" s="1"/>
  <c r="Y109" i="24"/>
  <c r="X109" i="24" s="1"/>
  <c r="Y81" i="24"/>
  <c r="X81" i="24" s="1"/>
  <c r="Y53" i="24"/>
  <c r="X53" i="24" s="1"/>
  <c r="Y39" i="24"/>
  <c r="X39" i="24" s="1"/>
  <c r="Y990" i="24"/>
  <c r="X990" i="24" s="1"/>
  <c r="Y976" i="24"/>
  <c r="X976" i="24" s="1"/>
  <c r="Y962" i="24"/>
  <c r="X962" i="24" s="1"/>
  <c r="Y948" i="24"/>
  <c r="X948" i="24" s="1"/>
  <c r="Y934" i="24"/>
  <c r="X934" i="24" s="1"/>
  <c r="Y920" i="24"/>
  <c r="X920" i="24" s="1"/>
  <c r="Y906" i="24"/>
  <c r="X906" i="24" s="1"/>
  <c r="Y892" i="24"/>
  <c r="X892" i="24" s="1"/>
  <c r="Y878" i="24"/>
  <c r="X878" i="24" s="1"/>
  <c r="Y864" i="24"/>
  <c r="X864" i="24" s="1"/>
  <c r="Y850" i="24"/>
  <c r="X850" i="24" s="1"/>
  <c r="Y836" i="24"/>
  <c r="X836" i="24" s="1"/>
  <c r="Y822" i="24"/>
  <c r="X822" i="24" s="1"/>
  <c r="Y808" i="24"/>
  <c r="X808" i="24" s="1"/>
  <c r="Y794" i="24"/>
  <c r="X794" i="24" s="1"/>
  <c r="Y780" i="24"/>
  <c r="X780" i="24" s="1"/>
  <c r="Y766" i="24"/>
  <c r="X766" i="24" s="1"/>
  <c r="Y752" i="24"/>
  <c r="X752" i="24" s="1"/>
  <c r="Y738" i="24"/>
  <c r="X738" i="24" s="1"/>
  <c r="Y724" i="24"/>
  <c r="X724" i="24" s="1"/>
  <c r="Y710" i="24"/>
  <c r="X710" i="24" s="1"/>
  <c r="Y696" i="24"/>
  <c r="X696" i="24" s="1"/>
  <c r="Y682" i="24"/>
  <c r="X682" i="24" s="1"/>
  <c r="Y668" i="24"/>
  <c r="X668" i="24" s="1"/>
  <c r="Y654" i="24"/>
  <c r="X654" i="24" s="1"/>
  <c r="Y640" i="24"/>
  <c r="X640" i="24" s="1"/>
  <c r="Y626" i="24"/>
  <c r="X626" i="24" s="1"/>
  <c r="Y612" i="24"/>
  <c r="X612" i="24" s="1"/>
  <c r="Y598" i="24"/>
  <c r="X598" i="24" s="1"/>
  <c r="Y584" i="24"/>
  <c r="X584" i="24" s="1"/>
  <c r="Y570" i="24"/>
  <c r="X570" i="24" s="1"/>
  <c r="Y556" i="24"/>
  <c r="X556" i="24" s="1"/>
  <c r="Y542" i="24"/>
  <c r="X542" i="24" s="1"/>
  <c r="Y528" i="24"/>
  <c r="X528" i="24" s="1"/>
  <c r="Y514" i="24"/>
  <c r="X514" i="24" s="1"/>
  <c r="Y500" i="24"/>
  <c r="X500" i="24" s="1"/>
  <c r="Y486" i="24"/>
  <c r="X486" i="24" s="1"/>
  <c r="Y472" i="24"/>
  <c r="X472" i="24" s="1"/>
  <c r="Y458" i="24"/>
  <c r="X458" i="24" s="1"/>
  <c r="Y444" i="24"/>
  <c r="X444" i="24" s="1"/>
  <c r="Y430" i="24"/>
  <c r="X430" i="24" s="1"/>
  <c r="Y416" i="24"/>
  <c r="X416" i="24" s="1"/>
  <c r="Y402" i="24"/>
  <c r="X402" i="24" s="1"/>
  <c r="Y388" i="24"/>
  <c r="X388" i="24" s="1"/>
  <c r="Y374" i="24"/>
  <c r="X374" i="24" s="1"/>
  <c r="Y360" i="24"/>
  <c r="X360" i="24" s="1"/>
  <c r="Y346" i="24"/>
  <c r="X346" i="24" s="1"/>
  <c r="Y332" i="24"/>
  <c r="X332" i="24" s="1"/>
  <c r="Y318" i="24"/>
  <c r="X318" i="24" s="1"/>
  <c r="Y304" i="24"/>
  <c r="X304" i="24" s="1"/>
  <c r="Y290" i="24"/>
  <c r="X290" i="24" s="1"/>
  <c r="Y276" i="24"/>
  <c r="X276" i="24" s="1"/>
  <c r="Y248" i="24"/>
  <c r="X248" i="24" s="1"/>
  <c r="Y234" i="24"/>
  <c r="X234" i="24" s="1"/>
  <c r="Y220" i="24"/>
  <c r="X220" i="24" s="1"/>
  <c r="Y206" i="24"/>
  <c r="X206" i="24" s="1"/>
  <c r="Y192" i="24"/>
  <c r="X192" i="24" s="1"/>
  <c r="Y178" i="24"/>
  <c r="X178" i="24" s="1"/>
  <c r="Y164" i="24"/>
  <c r="X164" i="24" s="1"/>
  <c r="Y150" i="24"/>
  <c r="X150" i="24" s="1"/>
  <c r="Y136" i="24"/>
  <c r="X136" i="24" s="1"/>
  <c r="Y122" i="24"/>
  <c r="X122" i="24" s="1"/>
  <c r="Y108" i="24"/>
  <c r="X108" i="24" s="1"/>
  <c r="Y94" i="24"/>
  <c r="X94" i="24" s="1"/>
  <c r="Y80" i="24"/>
  <c r="X80" i="24" s="1"/>
  <c r="Y66" i="24"/>
  <c r="X66" i="24" s="1"/>
  <c r="Y52" i="24"/>
  <c r="X52" i="24" s="1"/>
  <c r="Y38" i="24"/>
  <c r="X38" i="24" s="1"/>
  <c r="Y24" i="24"/>
  <c r="X24" i="24" s="1"/>
  <c r="Y10" i="24"/>
  <c r="X10" i="24" s="1"/>
  <c r="Y183" i="24"/>
  <c r="X183" i="24" s="1"/>
  <c r="Y169" i="24"/>
  <c r="X169" i="24" s="1"/>
  <c r="Y155" i="24"/>
  <c r="X155" i="24" s="1"/>
  <c r="Y141" i="24"/>
  <c r="X141" i="24" s="1"/>
  <c r="Y127" i="24"/>
  <c r="X127" i="24" s="1"/>
  <c r="Y113" i="24"/>
  <c r="X113" i="24" s="1"/>
  <c r="Y99" i="24"/>
  <c r="X99" i="24" s="1"/>
  <c r="Y85" i="24"/>
  <c r="X85" i="24" s="1"/>
  <c r="Y71" i="24"/>
  <c r="X71" i="24" s="1"/>
  <c r="Y57" i="24"/>
  <c r="X57" i="24" s="1"/>
  <c r="Y43" i="24"/>
  <c r="X43" i="24" s="1"/>
  <c r="Y29" i="24"/>
  <c r="X29" i="24" s="1"/>
  <c r="Y15" i="24"/>
  <c r="X15" i="24" s="1"/>
  <c r="Y98" i="24"/>
  <c r="X98" i="24" s="1"/>
  <c r="Y84" i="24"/>
  <c r="X84" i="24" s="1"/>
  <c r="Y70" i="24"/>
  <c r="X70" i="24" s="1"/>
  <c r="Y56" i="24"/>
  <c r="X56" i="24" s="1"/>
  <c r="Y42" i="24"/>
  <c r="X42" i="24" s="1"/>
  <c r="Y28" i="24"/>
  <c r="X28" i="24" s="1"/>
  <c r="Y14" i="24"/>
  <c r="X14" i="24" s="1"/>
  <c r="Y96" i="24"/>
  <c r="X96" i="24" s="1"/>
  <c r="Y82" i="24"/>
  <c r="X82" i="24" s="1"/>
  <c r="Y68" i="24"/>
  <c r="X68" i="24" s="1"/>
  <c r="Y54" i="24"/>
  <c r="X54" i="24" s="1"/>
  <c r="Y40" i="24"/>
  <c r="X40" i="24" s="1"/>
  <c r="Y26" i="24"/>
  <c r="X26" i="24" s="1"/>
  <c r="Y12" i="24"/>
  <c r="X12" i="24" s="1"/>
  <c r="Y262" i="24"/>
  <c r="X262" i="24" s="1"/>
  <c r="Y266" i="24"/>
  <c r="X266" i="24" s="1"/>
  <c r="Y516" i="24"/>
  <c r="X516" i="24" s="1"/>
  <c r="Y159" i="24"/>
  <c r="X159" i="24" s="1"/>
  <c r="F95" i="23"/>
  <c r="J99" i="23"/>
  <c r="N96" i="23"/>
  <c r="N97" i="23"/>
  <c r="F98" i="23"/>
  <c r="N95" i="23"/>
  <c r="J97" i="23"/>
  <c r="J95" i="23"/>
  <c r="L99" i="23"/>
  <c r="J96" i="23"/>
  <c r="F97" i="23"/>
  <c r="L98" i="23"/>
  <c r="L97" i="23"/>
  <c r="H98" i="23"/>
  <c r="H99" i="23"/>
  <c r="H95" i="23"/>
  <c r="N98" i="23"/>
  <c r="F99" i="23"/>
  <c r="H96" i="23"/>
  <c r="H97" i="23"/>
  <c r="L96" i="23"/>
  <c r="F96" i="23"/>
  <c r="J98" i="23"/>
  <c r="L95" i="23"/>
  <c r="N99" i="23"/>
  <c r="G8" i="32"/>
  <c r="G9" i="32"/>
  <c r="H8" i="32"/>
  <c r="H9" i="32"/>
  <c r="I8" i="32"/>
  <c r="I9" i="32"/>
  <c r="K6" i="32"/>
  <c r="J7" i="32"/>
  <c r="F7" i="32"/>
  <c r="G7" i="32"/>
  <c r="K7" i="32"/>
  <c r="H7" i="32"/>
  <c r="I7" i="32"/>
  <c r="Y487" i="24"/>
  <c r="X487" i="24" s="1"/>
  <c r="Y372" i="24"/>
  <c r="X372" i="24" s="1"/>
  <c r="Y251" i="24"/>
  <c r="X251" i="24" s="1"/>
  <c r="Y11" i="24"/>
  <c r="X11" i="24" s="1"/>
  <c r="Y9" i="24"/>
  <c r="X9" i="24" s="1"/>
  <c r="AD22" i="24"/>
  <c r="L6" i="32" l="1"/>
  <c r="K9" i="32"/>
  <c r="K8" i="32"/>
  <c r="M4" i="24"/>
  <c r="M5" i="24"/>
  <c r="M6" i="24"/>
  <c r="M7" i="24"/>
  <c r="M8" i="24"/>
  <c r="M9" i="24"/>
  <c r="M10" i="24"/>
  <c r="M11" i="24"/>
  <c r="M12" i="24"/>
  <c r="M13" i="24"/>
  <c r="M14" i="24"/>
  <c r="M15" i="24"/>
  <c r="M16" i="24"/>
  <c r="M17" i="24"/>
  <c r="M18" i="24"/>
  <c r="M19" i="24"/>
  <c r="M20" i="24"/>
  <c r="M21" i="24"/>
  <c r="M22" i="24"/>
  <c r="M23" i="24"/>
  <c r="M24" i="24"/>
  <c r="M25" i="24"/>
  <c r="M26" i="24"/>
  <c r="M27" i="24"/>
  <c r="M28" i="24"/>
  <c r="M29" i="24"/>
  <c r="M30" i="24"/>
  <c r="M31" i="24"/>
  <c r="M32" i="24"/>
  <c r="M33" i="24"/>
  <c r="M34" i="24"/>
  <c r="M35" i="24"/>
  <c r="M36" i="24"/>
  <c r="M37" i="24"/>
  <c r="M38" i="24"/>
  <c r="M39" i="24"/>
  <c r="M40" i="24"/>
  <c r="M41" i="24"/>
  <c r="M42" i="24"/>
  <c r="M43" i="24"/>
  <c r="M44" i="24"/>
  <c r="M45" i="24"/>
  <c r="M46" i="24"/>
  <c r="M47" i="24"/>
  <c r="M48" i="24"/>
  <c r="M49" i="24"/>
  <c r="M50" i="24"/>
  <c r="M51" i="24"/>
  <c r="M52" i="24"/>
  <c r="M53" i="24"/>
  <c r="M54" i="24"/>
  <c r="M55" i="24"/>
  <c r="M56" i="24"/>
  <c r="M57" i="24"/>
  <c r="M58" i="24"/>
  <c r="M59" i="24"/>
  <c r="M60" i="24"/>
  <c r="M61" i="24"/>
  <c r="M62" i="24"/>
  <c r="M63" i="24"/>
  <c r="M64" i="24"/>
  <c r="M65" i="24"/>
  <c r="M66" i="24"/>
  <c r="M67" i="24"/>
  <c r="M68" i="24"/>
  <c r="M69" i="24"/>
  <c r="M70" i="24"/>
  <c r="M71" i="24"/>
  <c r="M72" i="24"/>
  <c r="M73" i="24"/>
  <c r="M74" i="24"/>
  <c r="M75" i="24"/>
  <c r="M76" i="24"/>
  <c r="M77" i="24"/>
  <c r="M78" i="24"/>
  <c r="M79" i="24"/>
  <c r="M80" i="24"/>
  <c r="M81" i="24"/>
  <c r="M82" i="24"/>
  <c r="M83" i="24"/>
  <c r="M84" i="24"/>
  <c r="M85" i="24"/>
  <c r="M86" i="24"/>
  <c r="M87" i="24"/>
  <c r="M88" i="24"/>
  <c r="M89" i="24"/>
  <c r="M90" i="24"/>
  <c r="M91" i="24"/>
  <c r="M92" i="24"/>
  <c r="M93" i="24"/>
  <c r="M94" i="24"/>
  <c r="M95" i="24"/>
  <c r="M96" i="24"/>
  <c r="M97" i="24"/>
  <c r="M98" i="24"/>
  <c r="M99" i="24"/>
  <c r="M100" i="24"/>
  <c r="M101" i="24"/>
  <c r="M102" i="24"/>
  <c r="M103" i="24"/>
  <c r="M104" i="24"/>
  <c r="M105" i="24"/>
  <c r="M106" i="24"/>
  <c r="M107" i="24"/>
  <c r="M108" i="24"/>
  <c r="M109" i="24"/>
  <c r="M110" i="24"/>
  <c r="M111" i="24"/>
  <c r="M112" i="24"/>
  <c r="M113" i="24"/>
  <c r="M114" i="24"/>
  <c r="M115" i="24"/>
  <c r="M116" i="24"/>
  <c r="M117" i="24"/>
  <c r="M118" i="24"/>
  <c r="M119" i="24"/>
  <c r="M120" i="24"/>
  <c r="M121" i="24"/>
  <c r="M122" i="24"/>
  <c r="M123" i="24"/>
  <c r="M124" i="24"/>
  <c r="M125" i="24"/>
  <c r="M126" i="24"/>
  <c r="M127" i="24"/>
  <c r="M128" i="24"/>
  <c r="M129" i="24"/>
  <c r="M130" i="24"/>
  <c r="M131" i="24"/>
  <c r="M132" i="24"/>
  <c r="M133" i="24"/>
  <c r="M134" i="24"/>
  <c r="M135" i="24"/>
  <c r="M136" i="24"/>
  <c r="M137" i="24"/>
  <c r="M138" i="24"/>
  <c r="M139" i="24"/>
  <c r="M140" i="24"/>
  <c r="M141" i="24"/>
  <c r="M142" i="24"/>
  <c r="M143" i="24"/>
  <c r="M144" i="24"/>
  <c r="M145" i="24"/>
  <c r="M146" i="24"/>
  <c r="M147" i="24"/>
  <c r="M148" i="24"/>
  <c r="M149" i="24"/>
  <c r="M150" i="24"/>
  <c r="M151" i="24"/>
  <c r="M152" i="24"/>
  <c r="M153" i="24"/>
  <c r="M154" i="24"/>
  <c r="M155" i="24"/>
  <c r="M156" i="24"/>
  <c r="M157" i="24"/>
  <c r="M158" i="24"/>
  <c r="M159" i="24"/>
  <c r="M160" i="24"/>
  <c r="M161" i="24"/>
  <c r="M162" i="24"/>
  <c r="M163" i="24"/>
  <c r="M164" i="24"/>
  <c r="M165" i="24"/>
  <c r="M166" i="24"/>
  <c r="M167" i="24"/>
  <c r="M168" i="24"/>
  <c r="M169" i="24"/>
  <c r="M170" i="24"/>
  <c r="M171" i="24"/>
  <c r="M172" i="24"/>
  <c r="M173" i="24"/>
  <c r="M174" i="24"/>
  <c r="M175" i="24"/>
  <c r="M176" i="24"/>
  <c r="M177" i="24"/>
  <c r="M178" i="24"/>
  <c r="M179" i="24"/>
  <c r="M180" i="24"/>
  <c r="M181" i="24"/>
  <c r="M182" i="24"/>
  <c r="M183" i="24"/>
  <c r="M184" i="24"/>
  <c r="M185" i="24"/>
  <c r="M186" i="24"/>
  <c r="M187" i="24"/>
  <c r="M188" i="24"/>
  <c r="M189" i="24"/>
  <c r="M190" i="24"/>
  <c r="M191" i="24"/>
  <c r="M192" i="24"/>
  <c r="M193" i="24"/>
  <c r="M194" i="24"/>
  <c r="M195" i="24"/>
  <c r="M196" i="24"/>
  <c r="M197" i="24"/>
  <c r="M198" i="24"/>
  <c r="M199" i="24"/>
  <c r="M200" i="24"/>
  <c r="M201" i="24"/>
  <c r="M202" i="24"/>
  <c r="M203" i="24"/>
  <c r="M204" i="24"/>
  <c r="M205" i="24"/>
  <c r="M206" i="24"/>
  <c r="M207" i="24"/>
  <c r="M208" i="24"/>
  <c r="M209" i="24"/>
  <c r="M210" i="24"/>
  <c r="M211" i="24"/>
  <c r="M212" i="24"/>
  <c r="M213" i="24"/>
  <c r="M214" i="24"/>
  <c r="M215" i="24"/>
  <c r="M216" i="24"/>
  <c r="M217" i="24"/>
  <c r="M218" i="24"/>
  <c r="M219" i="24"/>
  <c r="M220" i="24"/>
  <c r="M221" i="24"/>
  <c r="M222" i="24"/>
  <c r="M223" i="24"/>
  <c r="M224" i="24"/>
  <c r="M225" i="24"/>
  <c r="M226" i="24"/>
  <c r="M227" i="24"/>
  <c r="M228" i="24"/>
  <c r="M229" i="24"/>
  <c r="M230" i="24"/>
  <c r="M231" i="24"/>
  <c r="M232" i="24"/>
  <c r="M233" i="24"/>
  <c r="M234" i="24"/>
  <c r="M235" i="24"/>
  <c r="M236" i="24"/>
  <c r="M237" i="24"/>
  <c r="M238" i="24"/>
  <c r="M239" i="24"/>
  <c r="M240" i="24"/>
  <c r="M241" i="24"/>
  <c r="M242" i="24"/>
  <c r="M243" i="24"/>
  <c r="M244" i="24"/>
  <c r="M245" i="24"/>
  <c r="M246" i="24"/>
  <c r="M247" i="24"/>
  <c r="M248" i="24"/>
  <c r="M249" i="24"/>
  <c r="M250" i="24"/>
  <c r="M251" i="24"/>
  <c r="M252" i="24"/>
  <c r="M253" i="24"/>
  <c r="M254" i="24"/>
  <c r="M255" i="24"/>
  <c r="M256" i="24"/>
  <c r="M257" i="24"/>
  <c r="M258" i="24"/>
  <c r="M259" i="24"/>
  <c r="M260" i="24"/>
  <c r="M261" i="24"/>
  <c r="M262" i="24"/>
  <c r="M263" i="24"/>
  <c r="M264" i="24"/>
  <c r="M265" i="24"/>
  <c r="M266" i="24"/>
  <c r="M267" i="24"/>
  <c r="M268" i="24"/>
  <c r="M269" i="24"/>
  <c r="M270" i="24"/>
  <c r="M271" i="24"/>
  <c r="M272" i="24"/>
  <c r="M273" i="24"/>
  <c r="M274" i="24"/>
  <c r="M275" i="24"/>
  <c r="M276" i="24"/>
  <c r="M277" i="24"/>
  <c r="M278" i="24"/>
  <c r="M279" i="24"/>
  <c r="M280" i="24"/>
  <c r="M281" i="24"/>
  <c r="M282" i="24"/>
  <c r="M283" i="24"/>
  <c r="M284" i="24"/>
  <c r="M285" i="24"/>
  <c r="M286" i="24"/>
  <c r="M287" i="24"/>
  <c r="M288" i="24"/>
  <c r="M289" i="24"/>
  <c r="M290" i="24"/>
  <c r="M291" i="24"/>
  <c r="M292" i="24"/>
  <c r="M293" i="24"/>
  <c r="M294" i="24"/>
  <c r="M295" i="24"/>
  <c r="M296" i="24"/>
  <c r="M297" i="24"/>
  <c r="M298" i="24"/>
  <c r="M299" i="24"/>
  <c r="M300" i="24"/>
  <c r="M301" i="24"/>
  <c r="M302" i="24"/>
  <c r="M303" i="24"/>
  <c r="M304" i="24"/>
  <c r="M305" i="24"/>
  <c r="M306" i="24"/>
  <c r="M307" i="24"/>
  <c r="M308" i="24"/>
  <c r="M309" i="24"/>
  <c r="M310" i="24"/>
  <c r="M311" i="24"/>
  <c r="M312" i="24"/>
  <c r="M313" i="24"/>
  <c r="M314" i="24"/>
  <c r="M315" i="24"/>
  <c r="M316" i="24"/>
  <c r="M317" i="24"/>
  <c r="M318" i="24"/>
  <c r="M319" i="24"/>
  <c r="M320" i="24"/>
  <c r="M321" i="24"/>
  <c r="M322" i="24"/>
  <c r="M323" i="24"/>
  <c r="M324" i="24"/>
  <c r="M325" i="24"/>
  <c r="M326" i="24"/>
  <c r="M327" i="24"/>
  <c r="M328" i="24"/>
  <c r="M329" i="24"/>
  <c r="M330" i="24"/>
  <c r="M331" i="24"/>
  <c r="M332" i="24"/>
  <c r="M333" i="24"/>
  <c r="M334" i="24"/>
  <c r="M335" i="24"/>
  <c r="M336" i="24"/>
  <c r="M337" i="24"/>
  <c r="M338" i="24"/>
  <c r="M339" i="24"/>
  <c r="M340" i="24"/>
  <c r="M341" i="24"/>
  <c r="M342" i="24"/>
  <c r="M343" i="24"/>
  <c r="M344" i="24"/>
  <c r="M345" i="24"/>
  <c r="M346" i="24"/>
  <c r="M347" i="24"/>
  <c r="M348" i="24"/>
  <c r="M349" i="24"/>
  <c r="M350" i="24"/>
  <c r="M351" i="24"/>
  <c r="M352" i="24"/>
  <c r="M353" i="24"/>
  <c r="M354" i="24"/>
  <c r="M355" i="24"/>
  <c r="M356" i="24"/>
  <c r="M357" i="24"/>
  <c r="M358" i="24"/>
  <c r="M359" i="24"/>
  <c r="M360" i="24"/>
  <c r="M361" i="24"/>
  <c r="M362" i="24"/>
  <c r="M363" i="24"/>
  <c r="M364" i="24"/>
  <c r="M365" i="24"/>
  <c r="M366" i="24"/>
  <c r="M367" i="24"/>
  <c r="M368" i="24"/>
  <c r="M369" i="24"/>
  <c r="M370" i="24"/>
  <c r="M371" i="24"/>
  <c r="M372" i="24"/>
  <c r="M373" i="24"/>
  <c r="M374" i="24"/>
  <c r="M375" i="24"/>
  <c r="M376" i="24"/>
  <c r="M377" i="24"/>
  <c r="M378" i="24"/>
  <c r="M379" i="24"/>
  <c r="M380" i="24"/>
  <c r="M381" i="24"/>
  <c r="M382" i="24"/>
  <c r="M383" i="24"/>
  <c r="M384" i="24"/>
  <c r="M385" i="24"/>
  <c r="M386" i="24"/>
  <c r="M387" i="24"/>
  <c r="M388" i="24"/>
  <c r="M389" i="24"/>
  <c r="M390" i="24"/>
  <c r="M391" i="24"/>
  <c r="M392" i="24"/>
  <c r="M393" i="24"/>
  <c r="M394" i="24"/>
  <c r="M395" i="24"/>
  <c r="M396" i="24"/>
  <c r="M397" i="24"/>
  <c r="M398" i="24"/>
  <c r="M399" i="24"/>
  <c r="M400" i="24"/>
  <c r="M401" i="24"/>
  <c r="M402" i="24"/>
  <c r="M403" i="24"/>
  <c r="M404" i="24"/>
  <c r="M405" i="24"/>
  <c r="M406" i="24"/>
  <c r="M407" i="24"/>
  <c r="M408" i="24"/>
  <c r="M409" i="24"/>
  <c r="M410" i="24"/>
  <c r="M411" i="24"/>
  <c r="M412" i="24"/>
  <c r="M413" i="24"/>
  <c r="M414" i="24"/>
  <c r="M415" i="24"/>
  <c r="M416" i="24"/>
  <c r="M417" i="24"/>
  <c r="M418" i="24"/>
  <c r="M419" i="24"/>
  <c r="M420" i="24"/>
  <c r="M421" i="24"/>
  <c r="M422" i="24"/>
  <c r="M423" i="24"/>
  <c r="M424" i="24"/>
  <c r="M425" i="24"/>
  <c r="M426" i="24"/>
  <c r="M427" i="24"/>
  <c r="M428" i="24"/>
  <c r="M429" i="24"/>
  <c r="M430" i="24"/>
  <c r="M431" i="24"/>
  <c r="M432" i="24"/>
  <c r="M433" i="24"/>
  <c r="M434" i="24"/>
  <c r="M435" i="24"/>
  <c r="M436" i="24"/>
  <c r="M437" i="24"/>
  <c r="M438" i="24"/>
  <c r="M439" i="24"/>
  <c r="M440" i="24"/>
  <c r="M441" i="24"/>
  <c r="M442" i="24"/>
  <c r="M443" i="24"/>
  <c r="M444" i="24"/>
  <c r="M445" i="24"/>
  <c r="M446" i="24"/>
  <c r="M447" i="24"/>
  <c r="M448" i="24"/>
  <c r="M449" i="24"/>
  <c r="M450" i="24"/>
  <c r="M451" i="24"/>
  <c r="M452" i="24"/>
  <c r="M453" i="24"/>
  <c r="M454" i="24"/>
  <c r="M455" i="24"/>
  <c r="M456" i="24"/>
  <c r="M457" i="24"/>
  <c r="M458" i="24"/>
  <c r="M459" i="24"/>
  <c r="M460" i="24"/>
  <c r="M461" i="24"/>
  <c r="M462" i="24"/>
  <c r="M463" i="24"/>
  <c r="M464" i="24"/>
  <c r="M465" i="24"/>
  <c r="M466" i="24"/>
  <c r="M467" i="24"/>
  <c r="M468" i="24"/>
  <c r="M469" i="24"/>
  <c r="M470" i="24"/>
  <c r="M471" i="24"/>
  <c r="M472" i="24"/>
  <c r="M473" i="24"/>
  <c r="M474" i="24"/>
  <c r="M475" i="24"/>
  <c r="M476" i="24"/>
  <c r="M477" i="24"/>
  <c r="M478" i="24"/>
  <c r="M479" i="24"/>
  <c r="M480" i="24"/>
  <c r="M481" i="24"/>
  <c r="M482" i="24"/>
  <c r="M483" i="24"/>
  <c r="M484" i="24"/>
  <c r="M485" i="24"/>
  <c r="M486" i="24"/>
  <c r="M487" i="24"/>
  <c r="M488" i="24"/>
  <c r="M489" i="24"/>
  <c r="M490" i="24"/>
  <c r="M491" i="24"/>
  <c r="M492" i="24"/>
  <c r="M493" i="24"/>
  <c r="M494" i="24"/>
  <c r="M495" i="24"/>
  <c r="M496" i="24"/>
  <c r="M497" i="24"/>
  <c r="M498" i="24"/>
  <c r="M499" i="24"/>
  <c r="M500" i="24"/>
  <c r="M501" i="24"/>
  <c r="M502" i="24"/>
  <c r="M503" i="24"/>
  <c r="M504" i="24"/>
  <c r="M505" i="24"/>
  <c r="M506" i="24"/>
  <c r="M507" i="24"/>
  <c r="M508" i="24"/>
  <c r="M509" i="24"/>
  <c r="M510" i="24"/>
  <c r="M511" i="24"/>
  <c r="M512" i="24"/>
  <c r="M513" i="24"/>
  <c r="M514" i="24"/>
  <c r="M515" i="24"/>
  <c r="M516" i="24"/>
  <c r="M517" i="24"/>
  <c r="M518" i="24"/>
  <c r="M519" i="24"/>
  <c r="M520" i="24"/>
  <c r="M521" i="24"/>
  <c r="M522" i="24"/>
  <c r="M523" i="24"/>
  <c r="M524" i="24"/>
  <c r="M525" i="24"/>
  <c r="M526" i="24"/>
  <c r="M527" i="24"/>
  <c r="M528" i="24"/>
  <c r="M529" i="24"/>
  <c r="M530" i="24"/>
  <c r="M531" i="24"/>
  <c r="M532" i="24"/>
  <c r="M533" i="24"/>
  <c r="M534" i="24"/>
  <c r="M535" i="24"/>
  <c r="M536" i="24"/>
  <c r="M537" i="24"/>
  <c r="M538" i="24"/>
  <c r="M539" i="24"/>
  <c r="M540" i="24"/>
  <c r="M541" i="24"/>
  <c r="M542" i="24"/>
  <c r="M543" i="24"/>
  <c r="M544" i="24"/>
  <c r="M545" i="24"/>
  <c r="M546" i="24"/>
  <c r="M547" i="24"/>
  <c r="M548" i="24"/>
  <c r="M549" i="24"/>
  <c r="M550" i="24"/>
  <c r="M551" i="24"/>
  <c r="M552" i="24"/>
  <c r="M553" i="24"/>
  <c r="M554" i="24"/>
  <c r="M555" i="24"/>
  <c r="M556" i="24"/>
  <c r="M557" i="24"/>
  <c r="M558" i="24"/>
  <c r="M559" i="24"/>
  <c r="M560" i="24"/>
  <c r="M561" i="24"/>
  <c r="M562" i="24"/>
  <c r="M563" i="24"/>
  <c r="M564" i="24"/>
  <c r="M565" i="24"/>
  <c r="M566" i="24"/>
  <c r="M567" i="24"/>
  <c r="M568" i="24"/>
  <c r="M569" i="24"/>
  <c r="M570" i="24"/>
  <c r="M571" i="24"/>
  <c r="M572" i="24"/>
  <c r="M573" i="24"/>
  <c r="M574" i="24"/>
  <c r="M575" i="24"/>
  <c r="M576" i="24"/>
  <c r="M577" i="24"/>
  <c r="M578" i="24"/>
  <c r="M579" i="24"/>
  <c r="M580" i="24"/>
  <c r="M581" i="24"/>
  <c r="M582" i="24"/>
  <c r="M583" i="24"/>
  <c r="M584" i="24"/>
  <c r="M585" i="24"/>
  <c r="M586" i="24"/>
  <c r="M587" i="24"/>
  <c r="M588" i="24"/>
  <c r="M589" i="24"/>
  <c r="M590" i="24"/>
  <c r="M591" i="24"/>
  <c r="M592" i="24"/>
  <c r="M593" i="24"/>
  <c r="M594" i="24"/>
  <c r="M595" i="24"/>
  <c r="M596" i="24"/>
  <c r="M597" i="24"/>
  <c r="M598" i="24"/>
  <c r="M599" i="24"/>
  <c r="M600" i="24"/>
  <c r="M601" i="24"/>
  <c r="M602" i="24"/>
  <c r="M603" i="24"/>
  <c r="M604" i="24"/>
  <c r="M605" i="24"/>
  <c r="M606" i="24"/>
  <c r="M607" i="24"/>
  <c r="M608" i="24"/>
  <c r="M609" i="24"/>
  <c r="M610" i="24"/>
  <c r="M611" i="24"/>
  <c r="M612" i="24"/>
  <c r="M613" i="24"/>
  <c r="M614" i="24"/>
  <c r="M615" i="24"/>
  <c r="M616" i="24"/>
  <c r="M617" i="24"/>
  <c r="M618" i="24"/>
  <c r="M619" i="24"/>
  <c r="M620" i="24"/>
  <c r="M621" i="24"/>
  <c r="M622" i="24"/>
  <c r="M623" i="24"/>
  <c r="M624" i="24"/>
  <c r="M625" i="24"/>
  <c r="M626" i="24"/>
  <c r="M627" i="24"/>
  <c r="M628" i="24"/>
  <c r="M629" i="24"/>
  <c r="M630" i="24"/>
  <c r="M631" i="24"/>
  <c r="M632" i="24"/>
  <c r="M633" i="24"/>
  <c r="M634" i="24"/>
  <c r="M635" i="24"/>
  <c r="M636" i="24"/>
  <c r="M637" i="24"/>
  <c r="M638" i="24"/>
  <c r="M639" i="24"/>
  <c r="M640" i="24"/>
  <c r="M641" i="24"/>
  <c r="M642" i="24"/>
  <c r="M643" i="24"/>
  <c r="M644" i="24"/>
  <c r="M645" i="24"/>
  <c r="M646" i="24"/>
  <c r="M647" i="24"/>
  <c r="M648" i="24"/>
  <c r="M649" i="24"/>
  <c r="M650" i="24"/>
  <c r="M651" i="24"/>
  <c r="M652" i="24"/>
  <c r="M653" i="24"/>
  <c r="M654" i="24"/>
  <c r="M655" i="24"/>
  <c r="M656" i="24"/>
  <c r="M657" i="24"/>
  <c r="M658" i="24"/>
  <c r="M659" i="24"/>
  <c r="M660" i="24"/>
  <c r="M661" i="24"/>
  <c r="M662" i="24"/>
  <c r="M663" i="24"/>
  <c r="M664" i="24"/>
  <c r="M665" i="24"/>
  <c r="M666" i="24"/>
  <c r="M667" i="24"/>
  <c r="M668" i="24"/>
  <c r="M669" i="24"/>
  <c r="M670" i="24"/>
  <c r="M671" i="24"/>
  <c r="M672" i="24"/>
  <c r="M673" i="24"/>
  <c r="M674" i="24"/>
  <c r="M675" i="24"/>
  <c r="M676" i="24"/>
  <c r="M677" i="24"/>
  <c r="M678" i="24"/>
  <c r="M679" i="24"/>
  <c r="M680" i="24"/>
  <c r="M681" i="24"/>
  <c r="M682" i="24"/>
  <c r="M683" i="24"/>
  <c r="M684" i="24"/>
  <c r="M685" i="24"/>
  <c r="M686" i="24"/>
  <c r="M687" i="24"/>
  <c r="M688" i="24"/>
  <c r="M689" i="24"/>
  <c r="M690" i="24"/>
  <c r="M691" i="24"/>
  <c r="M692" i="24"/>
  <c r="M693" i="24"/>
  <c r="M694" i="24"/>
  <c r="M695" i="24"/>
  <c r="M696" i="24"/>
  <c r="M697" i="24"/>
  <c r="M698" i="24"/>
  <c r="M699" i="24"/>
  <c r="M700" i="24"/>
  <c r="M701" i="24"/>
  <c r="M702" i="24"/>
  <c r="M703" i="24"/>
  <c r="M704" i="24"/>
  <c r="M705" i="24"/>
  <c r="M706" i="24"/>
  <c r="M707" i="24"/>
  <c r="M708" i="24"/>
  <c r="M709" i="24"/>
  <c r="M710" i="24"/>
  <c r="M711" i="24"/>
  <c r="M712" i="24"/>
  <c r="M713" i="24"/>
  <c r="M714" i="24"/>
  <c r="M715" i="24"/>
  <c r="M716" i="24"/>
  <c r="M717" i="24"/>
  <c r="M718" i="24"/>
  <c r="M719" i="24"/>
  <c r="M720" i="24"/>
  <c r="M721" i="24"/>
  <c r="M722" i="24"/>
  <c r="M723" i="24"/>
  <c r="M724" i="24"/>
  <c r="M725" i="24"/>
  <c r="M726" i="24"/>
  <c r="M727" i="24"/>
  <c r="M728" i="24"/>
  <c r="M729" i="24"/>
  <c r="M730" i="24"/>
  <c r="M731" i="24"/>
  <c r="M732" i="24"/>
  <c r="M733" i="24"/>
  <c r="M734" i="24"/>
  <c r="M735" i="24"/>
  <c r="M736" i="24"/>
  <c r="M737" i="24"/>
  <c r="M738" i="24"/>
  <c r="M739" i="24"/>
  <c r="M740" i="24"/>
  <c r="M741" i="24"/>
  <c r="M742" i="24"/>
  <c r="M743" i="24"/>
  <c r="M744" i="24"/>
  <c r="M745" i="24"/>
  <c r="M746" i="24"/>
  <c r="M747" i="24"/>
  <c r="M748" i="24"/>
  <c r="M749" i="24"/>
  <c r="M750" i="24"/>
  <c r="M751" i="24"/>
  <c r="M752" i="24"/>
  <c r="M753" i="24"/>
  <c r="M754" i="24"/>
  <c r="M755" i="24"/>
  <c r="M756" i="24"/>
  <c r="M757" i="24"/>
  <c r="M758" i="24"/>
  <c r="M759" i="24"/>
  <c r="M760" i="24"/>
  <c r="M761" i="24"/>
  <c r="M762" i="24"/>
  <c r="M763" i="24"/>
  <c r="M764" i="24"/>
  <c r="M765" i="24"/>
  <c r="M766" i="24"/>
  <c r="M767" i="24"/>
  <c r="M768" i="24"/>
  <c r="M769" i="24"/>
  <c r="M770" i="24"/>
  <c r="M771" i="24"/>
  <c r="M772" i="24"/>
  <c r="M773" i="24"/>
  <c r="M774" i="24"/>
  <c r="M775" i="24"/>
  <c r="M776" i="24"/>
  <c r="M777" i="24"/>
  <c r="M778" i="24"/>
  <c r="M779" i="24"/>
  <c r="M780" i="24"/>
  <c r="M781" i="24"/>
  <c r="M782" i="24"/>
  <c r="M783" i="24"/>
  <c r="M784" i="24"/>
  <c r="M785" i="24"/>
  <c r="M786" i="24"/>
  <c r="M787" i="24"/>
  <c r="M788" i="24"/>
  <c r="M789" i="24"/>
  <c r="M790" i="24"/>
  <c r="M791" i="24"/>
  <c r="M792" i="24"/>
  <c r="M793" i="24"/>
  <c r="M794" i="24"/>
  <c r="M795" i="24"/>
  <c r="M796" i="24"/>
  <c r="M797" i="24"/>
  <c r="M798" i="24"/>
  <c r="M799" i="24"/>
  <c r="M800" i="24"/>
  <c r="M801" i="24"/>
  <c r="M802" i="24"/>
  <c r="M803" i="24"/>
  <c r="M804" i="24"/>
  <c r="M805" i="24"/>
  <c r="M806" i="24"/>
  <c r="M807" i="24"/>
  <c r="M808" i="24"/>
  <c r="M809" i="24"/>
  <c r="M810" i="24"/>
  <c r="M811" i="24"/>
  <c r="M812" i="24"/>
  <c r="M813" i="24"/>
  <c r="M814" i="24"/>
  <c r="M815" i="24"/>
  <c r="M816" i="24"/>
  <c r="M817" i="24"/>
  <c r="M818" i="24"/>
  <c r="M819" i="24"/>
  <c r="M820" i="24"/>
  <c r="M821" i="24"/>
  <c r="M822" i="24"/>
  <c r="M823" i="24"/>
  <c r="M824" i="24"/>
  <c r="M825" i="24"/>
  <c r="M826" i="24"/>
  <c r="M827" i="24"/>
  <c r="M828" i="24"/>
  <c r="M829" i="24"/>
  <c r="M830" i="24"/>
  <c r="M831" i="24"/>
  <c r="M832" i="24"/>
  <c r="M833" i="24"/>
  <c r="M834" i="24"/>
  <c r="M835" i="24"/>
  <c r="M836" i="24"/>
  <c r="M837" i="24"/>
  <c r="M838" i="24"/>
  <c r="M839" i="24"/>
  <c r="M840" i="24"/>
  <c r="M841" i="24"/>
  <c r="M842" i="24"/>
  <c r="M843" i="24"/>
  <c r="M844" i="24"/>
  <c r="M845" i="24"/>
  <c r="M846" i="24"/>
  <c r="M847" i="24"/>
  <c r="M848" i="24"/>
  <c r="M849" i="24"/>
  <c r="M850" i="24"/>
  <c r="M851" i="24"/>
  <c r="M852" i="24"/>
  <c r="M853" i="24"/>
  <c r="M854" i="24"/>
  <c r="M855" i="24"/>
  <c r="M856" i="24"/>
  <c r="M857" i="24"/>
  <c r="M858" i="24"/>
  <c r="M859" i="24"/>
  <c r="M860" i="24"/>
  <c r="M861" i="24"/>
  <c r="M862" i="24"/>
  <c r="M863" i="24"/>
  <c r="M864" i="24"/>
  <c r="M865" i="24"/>
  <c r="M866" i="24"/>
  <c r="M867" i="24"/>
  <c r="M868" i="24"/>
  <c r="M869" i="24"/>
  <c r="M870" i="24"/>
  <c r="M871" i="24"/>
  <c r="M872" i="24"/>
  <c r="M873" i="24"/>
  <c r="M874" i="24"/>
  <c r="M875" i="24"/>
  <c r="M876" i="24"/>
  <c r="M877" i="24"/>
  <c r="M878" i="24"/>
  <c r="M879" i="24"/>
  <c r="M880" i="24"/>
  <c r="M881" i="24"/>
  <c r="M882" i="24"/>
  <c r="M883" i="24"/>
  <c r="M884" i="24"/>
  <c r="M885" i="24"/>
  <c r="M886" i="24"/>
  <c r="M887" i="24"/>
  <c r="M888" i="24"/>
  <c r="M889" i="24"/>
  <c r="M890" i="24"/>
  <c r="M891" i="24"/>
  <c r="M892" i="24"/>
  <c r="M893" i="24"/>
  <c r="M894" i="24"/>
  <c r="M895" i="24"/>
  <c r="M896" i="24"/>
  <c r="M897" i="24"/>
  <c r="M898" i="24"/>
  <c r="M899" i="24"/>
  <c r="M900" i="24"/>
  <c r="M901" i="24"/>
  <c r="M902" i="24"/>
  <c r="M903" i="24"/>
  <c r="M904" i="24"/>
  <c r="M905" i="24"/>
  <c r="M906" i="24"/>
  <c r="M907" i="24"/>
  <c r="M908" i="24"/>
  <c r="M909" i="24"/>
  <c r="M910" i="24"/>
  <c r="M911" i="24"/>
  <c r="M912" i="24"/>
  <c r="M913" i="24"/>
  <c r="M914" i="24"/>
  <c r="M915" i="24"/>
  <c r="M916" i="24"/>
  <c r="M917" i="24"/>
  <c r="M918" i="24"/>
  <c r="M919" i="24"/>
  <c r="M920" i="24"/>
  <c r="M921" i="24"/>
  <c r="M922" i="24"/>
  <c r="M923" i="24"/>
  <c r="M924" i="24"/>
  <c r="M925" i="24"/>
  <c r="M926" i="24"/>
  <c r="M927" i="24"/>
  <c r="M928" i="24"/>
  <c r="M929" i="24"/>
  <c r="M930" i="24"/>
  <c r="M931" i="24"/>
  <c r="M932" i="24"/>
  <c r="M933" i="24"/>
  <c r="M934" i="24"/>
  <c r="M935" i="24"/>
  <c r="M936" i="24"/>
  <c r="M937" i="24"/>
  <c r="M938" i="24"/>
  <c r="M939" i="24"/>
  <c r="M940" i="24"/>
  <c r="M941" i="24"/>
  <c r="M942" i="24"/>
  <c r="M943" i="24"/>
  <c r="M944" i="24"/>
  <c r="M945" i="24"/>
  <c r="M946" i="24"/>
  <c r="M947" i="24"/>
  <c r="M948" i="24"/>
  <c r="M949" i="24"/>
  <c r="M950" i="24"/>
  <c r="M951" i="24"/>
  <c r="M952" i="24"/>
  <c r="M953" i="24"/>
  <c r="M954" i="24"/>
  <c r="M955" i="24"/>
  <c r="M956" i="24"/>
  <c r="M957" i="24"/>
  <c r="M958" i="24"/>
  <c r="M959" i="24"/>
  <c r="M960" i="24"/>
  <c r="M961" i="24"/>
  <c r="M962" i="24"/>
  <c r="M963" i="24"/>
  <c r="M964" i="24"/>
  <c r="M965" i="24"/>
  <c r="M966" i="24"/>
  <c r="M967" i="24"/>
  <c r="M968" i="24"/>
  <c r="M969" i="24"/>
  <c r="M970" i="24"/>
  <c r="M971" i="24"/>
  <c r="M972" i="24"/>
  <c r="M973" i="24"/>
  <c r="M974" i="24"/>
  <c r="M975" i="24"/>
  <c r="M976" i="24"/>
  <c r="M977" i="24"/>
  <c r="M978" i="24"/>
  <c r="M979" i="24"/>
  <c r="M980" i="24"/>
  <c r="M981" i="24"/>
  <c r="M982" i="24"/>
  <c r="M983" i="24"/>
  <c r="M984" i="24"/>
  <c r="M985" i="24"/>
  <c r="M986" i="24"/>
  <c r="M987" i="24"/>
  <c r="M988" i="24"/>
  <c r="M989" i="24"/>
  <c r="M990" i="24"/>
  <c r="M991" i="24"/>
  <c r="M992" i="24"/>
  <c r="M993" i="24"/>
  <c r="M994" i="24"/>
  <c r="M995" i="24"/>
  <c r="M996" i="24"/>
  <c r="M997" i="24"/>
  <c r="M998" i="24"/>
  <c r="M999" i="24"/>
  <c r="M1000" i="24"/>
  <c r="M1001" i="24"/>
  <c r="M1002" i="24"/>
  <c r="M100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O50" i="24"/>
  <c r="O51" i="24"/>
  <c r="O52" i="24"/>
  <c r="O53" i="24"/>
  <c r="O54" i="24"/>
  <c r="O55" i="24"/>
  <c r="O56" i="24"/>
  <c r="O57" i="24"/>
  <c r="O58" i="24"/>
  <c r="O59" i="24"/>
  <c r="O60" i="24"/>
  <c r="O61" i="24"/>
  <c r="O62" i="24"/>
  <c r="O63" i="24"/>
  <c r="O64" i="24"/>
  <c r="O65" i="24"/>
  <c r="O66" i="24"/>
  <c r="O67" i="24"/>
  <c r="O68" i="24"/>
  <c r="O69" i="24"/>
  <c r="O70" i="24"/>
  <c r="O71" i="24"/>
  <c r="O72" i="24"/>
  <c r="O73" i="24"/>
  <c r="O74" i="24"/>
  <c r="O75" i="24"/>
  <c r="O76" i="24"/>
  <c r="O77" i="24"/>
  <c r="O78" i="24"/>
  <c r="O79" i="24"/>
  <c r="O80" i="24"/>
  <c r="O81" i="24"/>
  <c r="O82" i="24"/>
  <c r="O83" i="24"/>
  <c r="O84" i="24"/>
  <c r="O85" i="24"/>
  <c r="O86" i="24"/>
  <c r="O87" i="24"/>
  <c r="O88" i="24"/>
  <c r="O89" i="24"/>
  <c r="O90" i="24"/>
  <c r="O91" i="24"/>
  <c r="O92" i="24"/>
  <c r="O93" i="24"/>
  <c r="O94" i="24"/>
  <c r="O95" i="24"/>
  <c r="O96" i="24"/>
  <c r="O97" i="24"/>
  <c r="O98" i="24"/>
  <c r="O99" i="24"/>
  <c r="O100" i="24"/>
  <c r="O101" i="24"/>
  <c r="O102" i="24"/>
  <c r="O103" i="24"/>
  <c r="O104" i="24"/>
  <c r="O105" i="24"/>
  <c r="O106" i="24"/>
  <c r="O107" i="24"/>
  <c r="O108" i="24"/>
  <c r="O109" i="24"/>
  <c r="O110" i="24"/>
  <c r="O111" i="24"/>
  <c r="O112" i="24"/>
  <c r="O113" i="24"/>
  <c r="O114" i="24"/>
  <c r="O115" i="24"/>
  <c r="O116" i="24"/>
  <c r="O117" i="24"/>
  <c r="O118" i="24"/>
  <c r="O119" i="24"/>
  <c r="O120" i="24"/>
  <c r="O121" i="24"/>
  <c r="O122" i="24"/>
  <c r="O123" i="24"/>
  <c r="O124" i="24"/>
  <c r="O125" i="24"/>
  <c r="O126" i="24"/>
  <c r="O127" i="24"/>
  <c r="O128" i="24"/>
  <c r="O129" i="24"/>
  <c r="O130" i="24"/>
  <c r="O131" i="24"/>
  <c r="O132" i="24"/>
  <c r="O133" i="24"/>
  <c r="O134" i="24"/>
  <c r="O135" i="24"/>
  <c r="O136" i="24"/>
  <c r="O137" i="24"/>
  <c r="O138" i="24"/>
  <c r="O139" i="24"/>
  <c r="O140" i="24"/>
  <c r="O141" i="24"/>
  <c r="O142" i="24"/>
  <c r="O143" i="24"/>
  <c r="O144" i="24"/>
  <c r="O145" i="24"/>
  <c r="O146" i="24"/>
  <c r="O147" i="24"/>
  <c r="O148" i="24"/>
  <c r="O149" i="24"/>
  <c r="O150" i="24"/>
  <c r="O151" i="24"/>
  <c r="O152" i="24"/>
  <c r="O153" i="24"/>
  <c r="O154" i="24"/>
  <c r="O155" i="24"/>
  <c r="O156" i="24"/>
  <c r="O157" i="24"/>
  <c r="O158" i="24"/>
  <c r="O159" i="24"/>
  <c r="O160" i="24"/>
  <c r="O161" i="24"/>
  <c r="O162" i="24"/>
  <c r="O163" i="24"/>
  <c r="O164" i="24"/>
  <c r="O165" i="24"/>
  <c r="O166" i="24"/>
  <c r="O167" i="24"/>
  <c r="O168" i="24"/>
  <c r="O169" i="24"/>
  <c r="O170" i="24"/>
  <c r="O171" i="24"/>
  <c r="O172" i="24"/>
  <c r="O173" i="24"/>
  <c r="O174" i="24"/>
  <c r="O175" i="24"/>
  <c r="O176" i="24"/>
  <c r="O177" i="24"/>
  <c r="O178" i="24"/>
  <c r="O179" i="24"/>
  <c r="O180" i="24"/>
  <c r="O181" i="24"/>
  <c r="O182" i="24"/>
  <c r="O183" i="24"/>
  <c r="O184" i="24"/>
  <c r="O185" i="24"/>
  <c r="O186" i="24"/>
  <c r="O187" i="24"/>
  <c r="O188" i="24"/>
  <c r="O189" i="24"/>
  <c r="O190" i="24"/>
  <c r="O191" i="24"/>
  <c r="O192" i="24"/>
  <c r="O193" i="24"/>
  <c r="O194" i="24"/>
  <c r="O195" i="24"/>
  <c r="O196" i="24"/>
  <c r="O197" i="24"/>
  <c r="O198" i="24"/>
  <c r="O199" i="24"/>
  <c r="O200" i="24"/>
  <c r="O201" i="24"/>
  <c r="O202" i="24"/>
  <c r="O203" i="24"/>
  <c r="O204" i="24"/>
  <c r="O205" i="24"/>
  <c r="O206" i="24"/>
  <c r="O207" i="24"/>
  <c r="O208" i="24"/>
  <c r="O209" i="24"/>
  <c r="O210" i="24"/>
  <c r="O211" i="24"/>
  <c r="O212" i="24"/>
  <c r="O213" i="24"/>
  <c r="O214" i="24"/>
  <c r="O215" i="24"/>
  <c r="O216" i="24"/>
  <c r="O217" i="24"/>
  <c r="O218" i="24"/>
  <c r="O219" i="24"/>
  <c r="O220" i="24"/>
  <c r="O221" i="24"/>
  <c r="O222" i="24"/>
  <c r="O223" i="24"/>
  <c r="O224" i="24"/>
  <c r="O225" i="24"/>
  <c r="O226" i="24"/>
  <c r="O227" i="24"/>
  <c r="O228" i="24"/>
  <c r="O229" i="24"/>
  <c r="O230" i="24"/>
  <c r="O231" i="24"/>
  <c r="O232" i="24"/>
  <c r="O233" i="24"/>
  <c r="O234" i="24"/>
  <c r="O235" i="24"/>
  <c r="O236" i="24"/>
  <c r="O237" i="24"/>
  <c r="O238" i="24"/>
  <c r="O239" i="24"/>
  <c r="O240" i="24"/>
  <c r="O241" i="24"/>
  <c r="O242" i="24"/>
  <c r="O243" i="24"/>
  <c r="O244" i="24"/>
  <c r="O245" i="24"/>
  <c r="O246" i="24"/>
  <c r="O247" i="24"/>
  <c r="O248" i="24"/>
  <c r="O249" i="24"/>
  <c r="O250" i="24"/>
  <c r="O251" i="24"/>
  <c r="O252" i="24"/>
  <c r="O253" i="24"/>
  <c r="O254" i="24"/>
  <c r="O255" i="24"/>
  <c r="O256" i="24"/>
  <c r="O257" i="24"/>
  <c r="O258" i="24"/>
  <c r="O259" i="24"/>
  <c r="O260" i="24"/>
  <c r="O261" i="24"/>
  <c r="O262" i="24"/>
  <c r="O263" i="24"/>
  <c r="O264" i="24"/>
  <c r="O265" i="24"/>
  <c r="O266" i="24"/>
  <c r="O267" i="24"/>
  <c r="O268" i="24"/>
  <c r="O269" i="24"/>
  <c r="O270" i="24"/>
  <c r="O271" i="24"/>
  <c r="O272" i="24"/>
  <c r="O273" i="24"/>
  <c r="O274" i="24"/>
  <c r="O275" i="24"/>
  <c r="O276" i="24"/>
  <c r="O277" i="24"/>
  <c r="O278" i="24"/>
  <c r="O279" i="24"/>
  <c r="O280" i="24"/>
  <c r="O281" i="24"/>
  <c r="O282" i="24"/>
  <c r="O283" i="24"/>
  <c r="O284" i="24"/>
  <c r="O285" i="24"/>
  <c r="O286" i="24"/>
  <c r="O287" i="24"/>
  <c r="O288" i="24"/>
  <c r="O289" i="24"/>
  <c r="O290" i="24"/>
  <c r="O291" i="24"/>
  <c r="O292" i="24"/>
  <c r="O293" i="24"/>
  <c r="O294" i="24"/>
  <c r="O295" i="24"/>
  <c r="O296" i="24"/>
  <c r="O297" i="24"/>
  <c r="O298" i="24"/>
  <c r="O299" i="24"/>
  <c r="O300" i="24"/>
  <c r="O301" i="24"/>
  <c r="O302" i="24"/>
  <c r="O303" i="24"/>
  <c r="O304" i="24"/>
  <c r="O305" i="24"/>
  <c r="O306" i="24"/>
  <c r="O307" i="24"/>
  <c r="O308" i="24"/>
  <c r="O309" i="24"/>
  <c r="O310" i="24"/>
  <c r="O311" i="24"/>
  <c r="O312" i="24"/>
  <c r="O313" i="24"/>
  <c r="O314" i="24"/>
  <c r="O315" i="24"/>
  <c r="O316" i="24"/>
  <c r="O317" i="24"/>
  <c r="O318" i="24"/>
  <c r="O319" i="24"/>
  <c r="O320" i="24"/>
  <c r="O321" i="24"/>
  <c r="O322" i="24"/>
  <c r="O323" i="24"/>
  <c r="O324" i="24"/>
  <c r="O325" i="24"/>
  <c r="O326" i="24"/>
  <c r="O327" i="24"/>
  <c r="O328" i="24"/>
  <c r="O329" i="24"/>
  <c r="O330" i="24"/>
  <c r="O331" i="24"/>
  <c r="O332" i="24"/>
  <c r="O333" i="24"/>
  <c r="O334" i="24"/>
  <c r="O335" i="24"/>
  <c r="O336" i="24"/>
  <c r="O337" i="24"/>
  <c r="O338" i="24"/>
  <c r="O339" i="24"/>
  <c r="O340" i="24"/>
  <c r="O341" i="24"/>
  <c r="O342" i="24"/>
  <c r="O343" i="24"/>
  <c r="O344" i="24"/>
  <c r="O345" i="24"/>
  <c r="O346" i="24"/>
  <c r="O347" i="24"/>
  <c r="O348" i="24"/>
  <c r="O349" i="24"/>
  <c r="O350" i="24"/>
  <c r="O351" i="24"/>
  <c r="O352" i="24"/>
  <c r="O353" i="24"/>
  <c r="O354" i="24"/>
  <c r="O355" i="24"/>
  <c r="O356" i="24"/>
  <c r="O357" i="24"/>
  <c r="O358" i="24"/>
  <c r="O359" i="24"/>
  <c r="O360" i="24"/>
  <c r="O361" i="24"/>
  <c r="O362" i="24"/>
  <c r="O363" i="24"/>
  <c r="O364" i="24"/>
  <c r="O365" i="24"/>
  <c r="O366" i="24"/>
  <c r="O367" i="24"/>
  <c r="O368" i="24"/>
  <c r="O369" i="24"/>
  <c r="O370" i="24"/>
  <c r="O371" i="24"/>
  <c r="O372" i="24"/>
  <c r="O373" i="24"/>
  <c r="O374" i="24"/>
  <c r="O375" i="24"/>
  <c r="O376" i="24"/>
  <c r="O377" i="24"/>
  <c r="O378" i="24"/>
  <c r="O379" i="24"/>
  <c r="O380" i="24"/>
  <c r="O381" i="24"/>
  <c r="O382" i="24"/>
  <c r="O383" i="24"/>
  <c r="O384" i="24"/>
  <c r="O385" i="24"/>
  <c r="O386" i="24"/>
  <c r="O387" i="24"/>
  <c r="O388" i="24"/>
  <c r="O389" i="24"/>
  <c r="O390" i="24"/>
  <c r="O391" i="24"/>
  <c r="O392" i="24"/>
  <c r="O393" i="24"/>
  <c r="O394" i="24"/>
  <c r="O395" i="24"/>
  <c r="O396" i="24"/>
  <c r="O397" i="24"/>
  <c r="O398" i="24"/>
  <c r="O399" i="24"/>
  <c r="O400" i="24"/>
  <c r="O401" i="24"/>
  <c r="O402" i="24"/>
  <c r="O403" i="24"/>
  <c r="O404" i="24"/>
  <c r="O405" i="24"/>
  <c r="O406" i="24"/>
  <c r="O407" i="24"/>
  <c r="O408" i="24"/>
  <c r="O409" i="24"/>
  <c r="O410" i="24"/>
  <c r="O411" i="24"/>
  <c r="O412" i="24"/>
  <c r="O413" i="24"/>
  <c r="O414" i="24"/>
  <c r="O415" i="24"/>
  <c r="O416" i="24"/>
  <c r="O417" i="24"/>
  <c r="O418" i="24"/>
  <c r="O419" i="24"/>
  <c r="O420" i="24"/>
  <c r="O421" i="24"/>
  <c r="O422" i="24"/>
  <c r="O423" i="24"/>
  <c r="O424" i="24"/>
  <c r="O425" i="24"/>
  <c r="O426" i="24"/>
  <c r="O427" i="24"/>
  <c r="O428" i="24"/>
  <c r="O429" i="24"/>
  <c r="O430" i="24"/>
  <c r="O431" i="24"/>
  <c r="O432" i="24"/>
  <c r="O433" i="24"/>
  <c r="O434" i="24"/>
  <c r="O435" i="24"/>
  <c r="O436" i="24"/>
  <c r="O437" i="24"/>
  <c r="O438" i="24"/>
  <c r="O439" i="24"/>
  <c r="O440" i="24"/>
  <c r="O441" i="24"/>
  <c r="O442" i="24"/>
  <c r="O443" i="24"/>
  <c r="O444" i="24"/>
  <c r="O445" i="24"/>
  <c r="O446" i="24"/>
  <c r="O447" i="24"/>
  <c r="O448" i="24"/>
  <c r="O449" i="24"/>
  <c r="O450" i="24"/>
  <c r="O451" i="24"/>
  <c r="O452" i="24"/>
  <c r="O453" i="24"/>
  <c r="O454" i="24"/>
  <c r="O455" i="24"/>
  <c r="O456" i="24"/>
  <c r="O457" i="24"/>
  <c r="O458" i="24"/>
  <c r="O459" i="24"/>
  <c r="O460" i="24"/>
  <c r="O461" i="24"/>
  <c r="O462" i="24"/>
  <c r="O463" i="24"/>
  <c r="O464" i="24"/>
  <c r="O465" i="24"/>
  <c r="O466" i="24"/>
  <c r="O467" i="24"/>
  <c r="O468" i="24"/>
  <c r="O469" i="24"/>
  <c r="O470" i="24"/>
  <c r="O471" i="24"/>
  <c r="O472" i="24"/>
  <c r="O473" i="24"/>
  <c r="O474" i="24"/>
  <c r="O475" i="24"/>
  <c r="O476" i="24"/>
  <c r="O477" i="24"/>
  <c r="O478" i="24"/>
  <c r="O479" i="24"/>
  <c r="O480" i="24"/>
  <c r="O481" i="24"/>
  <c r="O482" i="24"/>
  <c r="O483" i="24"/>
  <c r="O484" i="24"/>
  <c r="O485" i="24"/>
  <c r="O486" i="24"/>
  <c r="O487" i="24"/>
  <c r="O488" i="24"/>
  <c r="O489" i="24"/>
  <c r="O490" i="24"/>
  <c r="O491" i="24"/>
  <c r="O492" i="24"/>
  <c r="O493" i="24"/>
  <c r="O494" i="24"/>
  <c r="O495" i="24"/>
  <c r="O496" i="24"/>
  <c r="O497" i="24"/>
  <c r="O498" i="24"/>
  <c r="O499" i="24"/>
  <c r="O500" i="24"/>
  <c r="O501" i="24"/>
  <c r="O502" i="24"/>
  <c r="O503" i="24"/>
  <c r="O504" i="24"/>
  <c r="O505" i="24"/>
  <c r="O506" i="24"/>
  <c r="O507" i="24"/>
  <c r="O508" i="24"/>
  <c r="O509" i="24"/>
  <c r="O510" i="24"/>
  <c r="O511" i="24"/>
  <c r="O512" i="24"/>
  <c r="O513" i="24"/>
  <c r="O514" i="24"/>
  <c r="O515" i="24"/>
  <c r="O516" i="24"/>
  <c r="O517" i="24"/>
  <c r="O518" i="24"/>
  <c r="O519" i="24"/>
  <c r="O520" i="24"/>
  <c r="O521" i="24"/>
  <c r="O522" i="24"/>
  <c r="O523" i="24"/>
  <c r="O524" i="24"/>
  <c r="O525" i="24"/>
  <c r="O526" i="24"/>
  <c r="O527" i="24"/>
  <c r="O528" i="24"/>
  <c r="O529" i="24"/>
  <c r="O530" i="24"/>
  <c r="O531" i="24"/>
  <c r="O532" i="24"/>
  <c r="O533" i="24"/>
  <c r="O534" i="24"/>
  <c r="O535" i="24"/>
  <c r="O536" i="24"/>
  <c r="O537" i="24"/>
  <c r="O538" i="24"/>
  <c r="O539" i="24"/>
  <c r="O540" i="24"/>
  <c r="O541" i="24"/>
  <c r="O542" i="24"/>
  <c r="O543" i="24"/>
  <c r="O544" i="24"/>
  <c r="O545" i="24"/>
  <c r="O546" i="24"/>
  <c r="O547" i="24"/>
  <c r="O548" i="24"/>
  <c r="O549" i="24"/>
  <c r="O550" i="24"/>
  <c r="O551" i="24"/>
  <c r="O552" i="24"/>
  <c r="O553" i="24"/>
  <c r="O554" i="24"/>
  <c r="O555" i="24"/>
  <c r="O556" i="24"/>
  <c r="O557" i="24"/>
  <c r="O558" i="24"/>
  <c r="O559" i="24"/>
  <c r="O560" i="24"/>
  <c r="O561" i="24"/>
  <c r="O562" i="24"/>
  <c r="O563" i="24"/>
  <c r="O564" i="24"/>
  <c r="O565" i="24"/>
  <c r="O566" i="24"/>
  <c r="O567" i="24"/>
  <c r="O568" i="24"/>
  <c r="O569" i="24"/>
  <c r="O570" i="24"/>
  <c r="O571" i="24"/>
  <c r="O572" i="24"/>
  <c r="O573" i="24"/>
  <c r="O574" i="24"/>
  <c r="O575" i="24"/>
  <c r="O576" i="24"/>
  <c r="O577" i="24"/>
  <c r="O578" i="24"/>
  <c r="O579" i="24"/>
  <c r="O580" i="24"/>
  <c r="O581" i="24"/>
  <c r="O582" i="24"/>
  <c r="O583" i="24"/>
  <c r="O584" i="24"/>
  <c r="O585" i="24"/>
  <c r="O586" i="24"/>
  <c r="O587" i="24"/>
  <c r="O588" i="24"/>
  <c r="O589" i="24"/>
  <c r="O590" i="24"/>
  <c r="O591" i="24"/>
  <c r="O592" i="24"/>
  <c r="O593" i="24"/>
  <c r="O594" i="24"/>
  <c r="O595" i="24"/>
  <c r="O596" i="24"/>
  <c r="O597" i="24"/>
  <c r="O598" i="24"/>
  <c r="O599" i="24"/>
  <c r="O600" i="24"/>
  <c r="O601" i="24"/>
  <c r="O602" i="24"/>
  <c r="O603" i="24"/>
  <c r="O604" i="24"/>
  <c r="O605" i="24"/>
  <c r="O606" i="24"/>
  <c r="O607" i="24"/>
  <c r="O608" i="24"/>
  <c r="O609" i="24"/>
  <c r="O610" i="24"/>
  <c r="O611" i="24"/>
  <c r="O612" i="24"/>
  <c r="O613" i="24"/>
  <c r="O614" i="24"/>
  <c r="O615" i="24"/>
  <c r="O616" i="24"/>
  <c r="O617" i="24"/>
  <c r="O618" i="24"/>
  <c r="O619" i="24"/>
  <c r="O620" i="24"/>
  <c r="O621" i="24"/>
  <c r="O622" i="24"/>
  <c r="O623" i="24"/>
  <c r="O624" i="24"/>
  <c r="O625" i="24"/>
  <c r="O626" i="24"/>
  <c r="O627" i="24"/>
  <c r="O628" i="24"/>
  <c r="O629" i="24"/>
  <c r="O630" i="24"/>
  <c r="O631" i="24"/>
  <c r="O632" i="24"/>
  <c r="O633" i="24"/>
  <c r="O634" i="24"/>
  <c r="O635" i="24"/>
  <c r="O636" i="24"/>
  <c r="O637" i="24"/>
  <c r="O638" i="24"/>
  <c r="O639" i="24"/>
  <c r="O640" i="24"/>
  <c r="O641" i="24"/>
  <c r="O642" i="24"/>
  <c r="O643" i="24"/>
  <c r="O644" i="24"/>
  <c r="O645" i="24"/>
  <c r="O646" i="24"/>
  <c r="O647" i="24"/>
  <c r="O648" i="24"/>
  <c r="O649" i="24"/>
  <c r="O650" i="24"/>
  <c r="O651" i="24"/>
  <c r="O652" i="24"/>
  <c r="O653" i="24"/>
  <c r="O654" i="24"/>
  <c r="O655" i="24"/>
  <c r="O656" i="24"/>
  <c r="O657" i="24"/>
  <c r="O658" i="24"/>
  <c r="O659" i="24"/>
  <c r="O660" i="24"/>
  <c r="O661" i="24"/>
  <c r="O662" i="24"/>
  <c r="O663" i="24"/>
  <c r="O664" i="24"/>
  <c r="O665" i="24"/>
  <c r="O666" i="24"/>
  <c r="O667" i="24"/>
  <c r="O668" i="24"/>
  <c r="O669" i="24"/>
  <c r="O670" i="24"/>
  <c r="O671" i="24"/>
  <c r="O672" i="24"/>
  <c r="O673" i="24"/>
  <c r="O674" i="24"/>
  <c r="O675" i="24"/>
  <c r="O676" i="24"/>
  <c r="O677" i="24"/>
  <c r="O678" i="24"/>
  <c r="O679" i="24"/>
  <c r="O680" i="24"/>
  <c r="O681" i="24"/>
  <c r="O682" i="24"/>
  <c r="O683" i="24"/>
  <c r="O684" i="24"/>
  <c r="O685" i="24"/>
  <c r="O686" i="24"/>
  <c r="O687" i="24"/>
  <c r="O688" i="24"/>
  <c r="O689" i="24"/>
  <c r="O690" i="24"/>
  <c r="O691" i="24"/>
  <c r="O692" i="24"/>
  <c r="O693" i="24"/>
  <c r="O694" i="24"/>
  <c r="O695" i="24"/>
  <c r="O696" i="24"/>
  <c r="O697" i="24"/>
  <c r="O698" i="24"/>
  <c r="O699" i="24"/>
  <c r="O700" i="24"/>
  <c r="O701" i="24"/>
  <c r="O702" i="24"/>
  <c r="O703" i="24"/>
  <c r="O704" i="24"/>
  <c r="O705" i="24"/>
  <c r="O706" i="24"/>
  <c r="O707" i="24"/>
  <c r="O708" i="24"/>
  <c r="O709" i="24"/>
  <c r="O710" i="24"/>
  <c r="O711" i="24"/>
  <c r="O712" i="24"/>
  <c r="O713" i="24"/>
  <c r="O714" i="24"/>
  <c r="O715" i="24"/>
  <c r="O716" i="24"/>
  <c r="O717" i="24"/>
  <c r="O718" i="24"/>
  <c r="O719" i="24"/>
  <c r="O720" i="24"/>
  <c r="O721" i="24"/>
  <c r="O722" i="24"/>
  <c r="O723" i="24"/>
  <c r="O724" i="24"/>
  <c r="O725" i="24"/>
  <c r="O726" i="24"/>
  <c r="O727" i="24"/>
  <c r="O728" i="24"/>
  <c r="O729" i="24"/>
  <c r="O730" i="24"/>
  <c r="O731" i="24"/>
  <c r="O732" i="24"/>
  <c r="O733" i="24"/>
  <c r="O734" i="24"/>
  <c r="O735" i="24"/>
  <c r="O736" i="24"/>
  <c r="O737" i="24"/>
  <c r="O738" i="24"/>
  <c r="O739" i="24"/>
  <c r="O740" i="24"/>
  <c r="O741" i="24"/>
  <c r="O742" i="24"/>
  <c r="O743" i="24"/>
  <c r="O744" i="24"/>
  <c r="O745" i="24"/>
  <c r="O746" i="24"/>
  <c r="O747" i="24"/>
  <c r="O748" i="24"/>
  <c r="O749" i="24"/>
  <c r="O750" i="24"/>
  <c r="O751" i="24"/>
  <c r="O752" i="24"/>
  <c r="O753" i="24"/>
  <c r="O754" i="24"/>
  <c r="O755" i="24"/>
  <c r="O756" i="24"/>
  <c r="O757" i="24"/>
  <c r="O758" i="24"/>
  <c r="O759" i="24"/>
  <c r="O760" i="24"/>
  <c r="O761" i="24"/>
  <c r="O762" i="24"/>
  <c r="O763" i="24"/>
  <c r="O764" i="24"/>
  <c r="O765" i="24"/>
  <c r="O766" i="24"/>
  <c r="O767" i="24"/>
  <c r="O768" i="24"/>
  <c r="O769" i="24"/>
  <c r="O770" i="24"/>
  <c r="O771" i="24"/>
  <c r="O772" i="24"/>
  <c r="O773" i="24"/>
  <c r="O774" i="24"/>
  <c r="O775" i="24"/>
  <c r="O776" i="24"/>
  <c r="O777" i="24"/>
  <c r="O778" i="24"/>
  <c r="O779" i="24"/>
  <c r="O780" i="24"/>
  <c r="O781" i="24"/>
  <c r="O782" i="24"/>
  <c r="O783" i="24"/>
  <c r="O784" i="24"/>
  <c r="O785" i="24"/>
  <c r="O786" i="24"/>
  <c r="O787" i="24"/>
  <c r="O788" i="24"/>
  <c r="O789" i="24"/>
  <c r="O790" i="24"/>
  <c r="O791" i="24"/>
  <c r="O792" i="24"/>
  <c r="O793" i="24"/>
  <c r="O794" i="24"/>
  <c r="O795" i="24"/>
  <c r="O796" i="24"/>
  <c r="O797" i="24"/>
  <c r="O798" i="24"/>
  <c r="O799" i="24"/>
  <c r="O800" i="24"/>
  <c r="O801" i="24"/>
  <c r="O802" i="24"/>
  <c r="O803" i="24"/>
  <c r="O804" i="24"/>
  <c r="O805" i="24"/>
  <c r="O806" i="24"/>
  <c r="O807" i="24"/>
  <c r="O808" i="24"/>
  <c r="O809" i="24"/>
  <c r="O810" i="24"/>
  <c r="O811" i="24"/>
  <c r="O812" i="24"/>
  <c r="O813" i="24"/>
  <c r="O814" i="24"/>
  <c r="O815" i="24"/>
  <c r="O816" i="24"/>
  <c r="O817" i="24"/>
  <c r="O818" i="24"/>
  <c r="O819" i="24"/>
  <c r="O820" i="24"/>
  <c r="O821" i="24"/>
  <c r="O822" i="24"/>
  <c r="O823" i="24"/>
  <c r="O824" i="24"/>
  <c r="O825" i="24"/>
  <c r="O826" i="24"/>
  <c r="O827" i="24"/>
  <c r="O828" i="24"/>
  <c r="O829" i="24"/>
  <c r="O830" i="24"/>
  <c r="O831" i="24"/>
  <c r="O832" i="24"/>
  <c r="O833" i="24"/>
  <c r="O834" i="24"/>
  <c r="O835" i="24"/>
  <c r="O836" i="24"/>
  <c r="O837" i="24"/>
  <c r="O838" i="24"/>
  <c r="O839" i="24"/>
  <c r="O840" i="24"/>
  <c r="O841" i="24"/>
  <c r="O842" i="24"/>
  <c r="O843" i="24"/>
  <c r="O844" i="24"/>
  <c r="O845" i="24"/>
  <c r="O846" i="24"/>
  <c r="O847" i="24"/>
  <c r="O848" i="24"/>
  <c r="O849" i="24"/>
  <c r="O850" i="24"/>
  <c r="O851" i="24"/>
  <c r="O852" i="24"/>
  <c r="O853" i="24"/>
  <c r="O854" i="24"/>
  <c r="O855" i="24"/>
  <c r="O856" i="24"/>
  <c r="O857" i="24"/>
  <c r="O858" i="24"/>
  <c r="O859" i="24"/>
  <c r="O860" i="24"/>
  <c r="O861" i="24"/>
  <c r="O862" i="24"/>
  <c r="O863" i="24"/>
  <c r="O864" i="24"/>
  <c r="O865" i="24"/>
  <c r="O866" i="24"/>
  <c r="O867" i="24"/>
  <c r="O868" i="24"/>
  <c r="O869" i="24"/>
  <c r="O870" i="24"/>
  <c r="O871" i="24"/>
  <c r="O872" i="24"/>
  <c r="O873" i="24"/>
  <c r="O874" i="24"/>
  <c r="O875" i="24"/>
  <c r="O876" i="24"/>
  <c r="O877" i="24"/>
  <c r="O878" i="24"/>
  <c r="O879" i="24"/>
  <c r="O880" i="24"/>
  <c r="O881" i="24"/>
  <c r="O882" i="24"/>
  <c r="O883" i="24"/>
  <c r="O884" i="24"/>
  <c r="O885" i="24"/>
  <c r="O886" i="24"/>
  <c r="O887" i="24"/>
  <c r="O888" i="24"/>
  <c r="O889" i="24"/>
  <c r="O890" i="24"/>
  <c r="O891" i="24"/>
  <c r="O892" i="24"/>
  <c r="O893" i="24"/>
  <c r="O894" i="24"/>
  <c r="O895" i="24"/>
  <c r="O896" i="24"/>
  <c r="O897" i="24"/>
  <c r="O898" i="24"/>
  <c r="O899" i="24"/>
  <c r="O900" i="24"/>
  <c r="O901" i="24"/>
  <c r="O902" i="24"/>
  <c r="O903" i="24"/>
  <c r="O904" i="24"/>
  <c r="O905" i="24"/>
  <c r="O906" i="24"/>
  <c r="O907" i="24"/>
  <c r="O908" i="24"/>
  <c r="O909" i="24"/>
  <c r="O910" i="24"/>
  <c r="O911" i="24"/>
  <c r="O912" i="24"/>
  <c r="O913" i="24"/>
  <c r="O914" i="24"/>
  <c r="O915" i="24"/>
  <c r="O916" i="24"/>
  <c r="O917" i="24"/>
  <c r="O918" i="24"/>
  <c r="O919" i="24"/>
  <c r="O920" i="24"/>
  <c r="O921" i="24"/>
  <c r="O922" i="24"/>
  <c r="O923" i="24"/>
  <c r="O924" i="24"/>
  <c r="O925" i="24"/>
  <c r="O926" i="24"/>
  <c r="O927" i="24"/>
  <c r="O928" i="24"/>
  <c r="O929" i="24"/>
  <c r="O930" i="24"/>
  <c r="O931" i="24"/>
  <c r="O932" i="24"/>
  <c r="O933" i="24"/>
  <c r="O934" i="24"/>
  <c r="O935" i="24"/>
  <c r="O936" i="24"/>
  <c r="O937" i="24"/>
  <c r="O938" i="24"/>
  <c r="O939" i="24"/>
  <c r="O940" i="24"/>
  <c r="O941" i="24"/>
  <c r="O942" i="24"/>
  <c r="O943" i="24"/>
  <c r="O944" i="24"/>
  <c r="O945" i="24"/>
  <c r="O946" i="24"/>
  <c r="O947" i="24"/>
  <c r="O948" i="24"/>
  <c r="O949" i="24"/>
  <c r="O950" i="24"/>
  <c r="O951" i="24"/>
  <c r="O952" i="24"/>
  <c r="O953" i="24"/>
  <c r="O954" i="24"/>
  <c r="O955" i="24"/>
  <c r="O956" i="24"/>
  <c r="O957" i="24"/>
  <c r="O958" i="24"/>
  <c r="O959" i="24"/>
  <c r="O960" i="24"/>
  <c r="O961" i="24"/>
  <c r="O962" i="24"/>
  <c r="O963" i="24"/>
  <c r="O964" i="24"/>
  <c r="O965" i="24"/>
  <c r="O966" i="24"/>
  <c r="O967" i="24"/>
  <c r="O968" i="24"/>
  <c r="O969" i="24"/>
  <c r="O970" i="24"/>
  <c r="O971" i="24"/>
  <c r="O972" i="24"/>
  <c r="O973" i="24"/>
  <c r="O974" i="24"/>
  <c r="O975" i="24"/>
  <c r="O976" i="24"/>
  <c r="O977" i="24"/>
  <c r="O978" i="24"/>
  <c r="O979" i="24"/>
  <c r="O980" i="24"/>
  <c r="O981" i="24"/>
  <c r="O982" i="24"/>
  <c r="O983" i="24"/>
  <c r="O984" i="24"/>
  <c r="O985" i="24"/>
  <c r="O986" i="24"/>
  <c r="O987" i="24"/>
  <c r="O988" i="24"/>
  <c r="O989" i="24"/>
  <c r="O990" i="24"/>
  <c r="O991" i="24"/>
  <c r="O992" i="24"/>
  <c r="O993" i="24"/>
  <c r="O994" i="24"/>
  <c r="O995" i="24"/>
  <c r="O996" i="24"/>
  <c r="O997" i="24"/>
  <c r="O998" i="24"/>
  <c r="O999" i="24"/>
  <c r="O1000" i="24"/>
  <c r="O1001" i="24"/>
  <c r="O1002" i="24"/>
  <c r="O1003" i="24"/>
  <c r="M6" i="32" l="1"/>
  <c r="L9" i="32"/>
  <c r="L8" i="32"/>
  <c r="L7" i="32"/>
  <c r="Q11" i="24"/>
  <c r="P11" i="24" s="1"/>
  <c r="Q1003" i="24"/>
  <c r="P1003" i="24" s="1"/>
  <c r="Q991" i="24"/>
  <c r="P991" i="24" s="1"/>
  <c r="Q979" i="24"/>
  <c r="P979" i="24" s="1"/>
  <c r="Q967" i="24"/>
  <c r="P967" i="24" s="1"/>
  <c r="Q955" i="24"/>
  <c r="P955" i="24" s="1"/>
  <c r="Q943" i="24"/>
  <c r="P943" i="24" s="1"/>
  <c r="Q931" i="24"/>
  <c r="P931" i="24" s="1"/>
  <c r="Q919" i="24"/>
  <c r="P919" i="24" s="1"/>
  <c r="Q907" i="24"/>
  <c r="P907" i="24" s="1"/>
  <c r="Q895" i="24"/>
  <c r="P895" i="24" s="1"/>
  <c r="Q883" i="24"/>
  <c r="P883" i="24" s="1"/>
  <c r="Q871" i="24"/>
  <c r="P871" i="24" s="1"/>
  <c r="Q851" i="24"/>
  <c r="P851" i="24" s="1"/>
  <c r="Q839" i="24"/>
  <c r="P839" i="24" s="1"/>
  <c r="Q827" i="24"/>
  <c r="P827" i="24" s="1"/>
  <c r="Q815" i="24"/>
  <c r="P815" i="24" s="1"/>
  <c r="Q803" i="24"/>
  <c r="P803" i="24" s="1"/>
  <c r="Q783" i="24"/>
  <c r="P783" i="24" s="1"/>
  <c r="Q771" i="24"/>
  <c r="P771" i="24" s="1"/>
  <c r="Q759" i="24"/>
  <c r="P759" i="24" s="1"/>
  <c r="Q747" i="24"/>
  <c r="P747" i="24" s="1"/>
  <c r="Q727" i="24"/>
  <c r="P727" i="24" s="1"/>
  <c r="Q715" i="24"/>
  <c r="P715" i="24" s="1"/>
  <c r="Q703" i="24"/>
  <c r="P703" i="24" s="1"/>
  <c r="Q683" i="24"/>
  <c r="P683" i="24" s="1"/>
  <c r="Q671" i="24"/>
  <c r="P671" i="24" s="1"/>
  <c r="Q659" i="24"/>
  <c r="P659" i="24" s="1"/>
  <c r="Q647" i="24"/>
  <c r="P647" i="24" s="1"/>
  <c r="Q635" i="24"/>
  <c r="P635" i="24" s="1"/>
  <c r="Q623" i="24"/>
  <c r="P623" i="24" s="1"/>
  <c r="Q603" i="24"/>
  <c r="P603" i="24" s="1"/>
  <c r="Q591" i="24"/>
  <c r="P591" i="24" s="1"/>
  <c r="Q579" i="24"/>
  <c r="P579" i="24" s="1"/>
  <c r="Q567" i="24"/>
  <c r="P567" i="24" s="1"/>
  <c r="Q555" i="24"/>
  <c r="P555" i="24" s="1"/>
  <c r="Q543" i="24"/>
  <c r="P543" i="24" s="1"/>
  <c r="Q531" i="24"/>
  <c r="P531" i="24" s="1"/>
  <c r="Q519" i="24"/>
  <c r="P519" i="24" s="1"/>
  <c r="Q507" i="24"/>
  <c r="P507" i="24" s="1"/>
  <c r="Q495" i="24"/>
  <c r="P495" i="24" s="1"/>
  <c r="Q483" i="24"/>
  <c r="P483" i="24" s="1"/>
  <c r="Q463" i="24"/>
  <c r="P463" i="24" s="1"/>
  <c r="Q451" i="24"/>
  <c r="P451" i="24" s="1"/>
  <c r="Q439" i="24"/>
  <c r="P439" i="24" s="1"/>
  <c r="Q427" i="24"/>
  <c r="P427" i="24" s="1"/>
  <c r="Q415" i="24"/>
  <c r="P415" i="24" s="1"/>
  <c r="Q403" i="24"/>
  <c r="P403" i="24" s="1"/>
  <c r="Q391" i="24"/>
  <c r="P391" i="24" s="1"/>
  <c r="Q379" i="24"/>
  <c r="P379" i="24" s="1"/>
  <c r="Q359" i="24"/>
  <c r="P359" i="24" s="1"/>
  <c r="Q347" i="24"/>
  <c r="P347" i="24" s="1"/>
  <c r="Q335" i="24"/>
  <c r="P335" i="24" s="1"/>
  <c r="Q323" i="24"/>
  <c r="P323" i="24" s="1"/>
  <c r="Q311" i="24"/>
  <c r="P311" i="24" s="1"/>
  <c r="Q299" i="24"/>
  <c r="P299" i="24" s="1"/>
  <c r="Q287" i="24"/>
  <c r="P287" i="24" s="1"/>
  <c r="Q275" i="24"/>
  <c r="P275" i="24" s="1"/>
  <c r="Q263" i="24"/>
  <c r="P263" i="24" s="1"/>
  <c r="Q251" i="24"/>
  <c r="P251" i="24" s="1"/>
  <c r="Q235" i="24"/>
  <c r="P235" i="24" s="1"/>
  <c r="Q223" i="24"/>
  <c r="P223" i="24" s="1"/>
  <c r="Q207" i="24"/>
  <c r="P207" i="24" s="1"/>
  <c r="Q195" i="24"/>
  <c r="P195" i="24" s="1"/>
  <c r="Q183" i="24"/>
  <c r="P183" i="24" s="1"/>
  <c r="Q171" i="24"/>
  <c r="P171" i="24" s="1"/>
  <c r="Q155" i="24"/>
  <c r="P155" i="24" s="1"/>
  <c r="Q143" i="24"/>
  <c r="P143" i="24" s="1"/>
  <c r="Q131" i="24"/>
  <c r="P131" i="24" s="1"/>
  <c r="Q119" i="24"/>
  <c r="P119" i="24" s="1"/>
  <c r="Q115" i="24"/>
  <c r="P115" i="24" s="1"/>
  <c r="Q103" i="24"/>
  <c r="P103" i="24" s="1"/>
  <c r="Q99" i="24"/>
  <c r="P99" i="24" s="1"/>
  <c r="Q95" i="24"/>
  <c r="P95" i="24" s="1"/>
  <c r="Q91" i="24"/>
  <c r="P91" i="24" s="1"/>
  <c r="Q87" i="24"/>
  <c r="P87" i="24" s="1"/>
  <c r="Q83" i="24"/>
  <c r="P83" i="24" s="1"/>
  <c r="Q79" i="24"/>
  <c r="P79" i="24" s="1"/>
  <c r="Q75" i="24"/>
  <c r="P75" i="24" s="1"/>
  <c r="Q67" i="24"/>
  <c r="P67" i="24" s="1"/>
  <c r="Q59" i="24"/>
  <c r="P59" i="24" s="1"/>
  <c r="Q55" i="24"/>
  <c r="P55" i="24" s="1"/>
  <c r="Q51" i="24"/>
  <c r="P51" i="24" s="1"/>
  <c r="Q47" i="24"/>
  <c r="P47" i="24" s="1"/>
  <c r="Q43" i="24"/>
  <c r="P43" i="24" s="1"/>
  <c r="Q39" i="24"/>
  <c r="P39" i="24" s="1"/>
  <c r="Q35" i="24"/>
  <c r="P35" i="24" s="1"/>
  <c r="Q31" i="24"/>
  <c r="P31" i="24" s="1"/>
  <c r="Q27" i="24"/>
  <c r="P27" i="24" s="1"/>
  <c r="Q23" i="24"/>
  <c r="P23" i="24" s="1"/>
  <c r="Q19" i="24"/>
  <c r="P19" i="24" s="1"/>
  <c r="Q15" i="24"/>
  <c r="P15" i="24" s="1"/>
  <c r="Q7" i="24"/>
  <c r="P7" i="24" s="1"/>
  <c r="Q1002" i="24"/>
  <c r="P1002" i="24" s="1"/>
  <c r="Q998" i="24"/>
  <c r="P998" i="24" s="1"/>
  <c r="Q994" i="24"/>
  <c r="P994" i="24" s="1"/>
  <c r="Q990" i="24"/>
  <c r="P990" i="24" s="1"/>
  <c r="Q986" i="24"/>
  <c r="P986" i="24" s="1"/>
  <c r="Q982" i="24"/>
  <c r="P982" i="24" s="1"/>
  <c r="Q978" i="24"/>
  <c r="P978" i="24" s="1"/>
  <c r="Q974" i="24"/>
  <c r="P974" i="24" s="1"/>
  <c r="Q970" i="24"/>
  <c r="P970" i="24" s="1"/>
  <c r="Q966" i="24"/>
  <c r="P966" i="24" s="1"/>
  <c r="Q962" i="24"/>
  <c r="P962" i="24" s="1"/>
  <c r="Q958" i="24"/>
  <c r="P958" i="24" s="1"/>
  <c r="Q954" i="24"/>
  <c r="P954" i="24" s="1"/>
  <c r="Q950" i="24"/>
  <c r="P950" i="24" s="1"/>
  <c r="Q946" i="24"/>
  <c r="P946" i="24" s="1"/>
  <c r="Q942" i="24"/>
  <c r="P942" i="24" s="1"/>
  <c r="Q938" i="24"/>
  <c r="P938" i="24" s="1"/>
  <c r="Q934" i="24"/>
  <c r="P934" i="24" s="1"/>
  <c r="Q930" i="24"/>
  <c r="P930" i="24" s="1"/>
  <c r="Q926" i="24"/>
  <c r="P926" i="24" s="1"/>
  <c r="Q922" i="24"/>
  <c r="P922" i="24" s="1"/>
  <c r="Q918" i="24"/>
  <c r="P918" i="24" s="1"/>
  <c r="Q914" i="24"/>
  <c r="P914" i="24" s="1"/>
  <c r="Q910" i="24"/>
  <c r="P910" i="24" s="1"/>
  <c r="Q906" i="24"/>
  <c r="P906" i="24" s="1"/>
  <c r="Q902" i="24"/>
  <c r="P902" i="24" s="1"/>
  <c r="Q898" i="24"/>
  <c r="P898" i="24" s="1"/>
  <c r="Q894" i="24"/>
  <c r="P894" i="24" s="1"/>
  <c r="Q890" i="24"/>
  <c r="P890" i="24" s="1"/>
  <c r="Q886" i="24"/>
  <c r="P886" i="24" s="1"/>
  <c r="Q882" i="24"/>
  <c r="P882" i="24" s="1"/>
  <c r="Q878" i="24"/>
  <c r="P878" i="24" s="1"/>
  <c r="Q874" i="24"/>
  <c r="P874" i="24" s="1"/>
  <c r="Q870" i="24"/>
  <c r="P870" i="24" s="1"/>
  <c r="Q866" i="24"/>
  <c r="P866" i="24" s="1"/>
  <c r="Q862" i="24"/>
  <c r="P862" i="24" s="1"/>
  <c r="Q858" i="24"/>
  <c r="P858" i="24" s="1"/>
  <c r="Q854" i="24"/>
  <c r="P854" i="24" s="1"/>
  <c r="Q850" i="24"/>
  <c r="P850" i="24" s="1"/>
  <c r="Q846" i="24"/>
  <c r="P846" i="24" s="1"/>
  <c r="Q842" i="24"/>
  <c r="P842" i="24" s="1"/>
  <c r="Q838" i="24"/>
  <c r="P838" i="24" s="1"/>
  <c r="Q834" i="24"/>
  <c r="P834" i="24" s="1"/>
  <c r="Q830" i="24"/>
  <c r="P830" i="24" s="1"/>
  <c r="Q826" i="24"/>
  <c r="P826" i="24" s="1"/>
  <c r="Q822" i="24"/>
  <c r="P822" i="24" s="1"/>
  <c r="Q818" i="24"/>
  <c r="P818" i="24" s="1"/>
  <c r="Q814" i="24"/>
  <c r="P814" i="24" s="1"/>
  <c r="Q810" i="24"/>
  <c r="P810" i="24" s="1"/>
  <c r="Q806" i="24"/>
  <c r="P806" i="24" s="1"/>
  <c r="Q802" i="24"/>
  <c r="P802" i="24" s="1"/>
  <c r="Q798" i="24"/>
  <c r="P798" i="24" s="1"/>
  <c r="Q794" i="24"/>
  <c r="P794" i="24" s="1"/>
  <c r="Q790" i="24"/>
  <c r="P790" i="24" s="1"/>
  <c r="Q786" i="24"/>
  <c r="P786" i="24" s="1"/>
  <c r="Q782" i="24"/>
  <c r="P782" i="24" s="1"/>
  <c r="Q778" i="24"/>
  <c r="P778" i="24" s="1"/>
  <c r="Q774" i="24"/>
  <c r="P774" i="24" s="1"/>
  <c r="Q770" i="24"/>
  <c r="P770" i="24" s="1"/>
  <c r="Q766" i="24"/>
  <c r="P766" i="24" s="1"/>
  <c r="Q762" i="24"/>
  <c r="P762" i="24" s="1"/>
  <c r="Q758" i="24"/>
  <c r="P758" i="24" s="1"/>
  <c r="Q754" i="24"/>
  <c r="P754" i="24" s="1"/>
  <c r="Q750" i="24"/>
  <c r="P750" i="24" s="1"/>
  <c r="Q746" i="24"/>
  <c r="P746" i="24" s="1"/>
  <c r="Q742" i="24"/>
  <c r="P742" i="24" s="1"/>
  <c r="Q738" i="24"/>
  <c r="P738" i="24" s="1"/>
  <c r="Q734" i="24"/>
  <c r="P734" i="24" s="1"/>
  <c r="Q730" i="24"/>
  <c r="P730" i="24" s="1"/>
  <c r="Q726" i="24"/>
  <c r="P726" i="24" s="1"/>
  <c r="Q722" i="24"/>
  <c r="P722" i="24" s="1"/>
  <c r="Q718" i="24"/>
  <c r="P718" i="24" s="1"/>
  <c r="Q714" i="24"/>
  <c r="P714" i="24" s="1"/>
  <c r="Q710" i="24"/>
  <c r="P710" i="24" s="1"/>
  <c r="Q706" i="24"/>
  <c r="P706" i="24" s="1"/>
  <c r="Q702" i="24"/>
  <c r="P702" i="24" s="1"/>
  <c r="Q698" i="24"/>
  <c r="P698" i="24" s="1"/>
  <c r="Q694" i="24"/>
  <c r="P694" i="24" s="1"/>
  <c r="Q690" i="24"/>
  <c r="P690" i="24" s="1"/>
  <c r="Q686" i="24"/>
  <c r="P686" i="24" s="1"/>
  <c r="Q682" i="24"/>
  <c r="P682" i="24" s="1"/>
  <c r="Q678" i="24"/>
  <c r="P678" i="24" s="1"/>
  <c r="Q674" i="24"/>
  <c r="P674" i="24" s="1"/>
  <c r="Q670" i="24"/>
  <c r="P670" i="24" s="1"/>
  <c r="Q666" i="24"/>
  <c r="P666" i="24" s="1"/>
  <c r="Q662" i="24"/>
  <c r="P662" i="24" s="1"/>
  <c r="Q658" i="24"/>
  <c r="P658" i="24" s="1"/>
  <c r="Q654" i="24"/>
  <c r="P654" i="24" s="1"/>
  <c r="Q650" i="24"/>
  <c r="P650" i="24" s="1"/>
  <c r="Q646" i="24"/>
  <c r="P646" i="24" s="1"/>
  <c r="Q642" i="24"/>
  <c r="P642" i="24" s="1"/>
  <c r="Q638" i="24"/>
  <c r="P638" i="24" s="1"/>
  <c r="Q634" i="24"/>
  <c r="P634" i="24" s="1"/>
  <c r="Q630" i="24"/>
  <c r="P630" i="24" s="1"/>
  <c r="Q626" i="24"/>
  <c r="P626" i="24" s="1"/>
  <c r="Q622" i="24"/>
  <c r="P622" i="24" s="1"/>
  <c r="Q618" i="24"/>
  <c r="P618" i="24" s="1"/>
  <c r="Q614" i="24"/>
  <c r="P614" i="24" s="1"/>
  <c r="Q610" i="24"/>
  <c r="P610" i="24" s="1"/>
  <c r="Q606" i="24"/>
  <c r="P606" i="24" s="1"/>
  <c r="Q602" i="24"/>
  <c r="P602" i="24" s="1"/>
  <c r="Q598" i="24"/>
  <c r="P598" i="24" s="1"/>
  <c r="Q594" i="24"/>
  <c r="P594" i="24" s="1"/>
  <c r="Q590" i="24"/>
  <c r="P590" i="24" s="1"/>
  <c r="Q586" i="24"/>
  <c r="P586" i="24" s="1"/>
  <c r="Q582" i="24"/>
  <c r="P582" i="24" s="1"/>
  <c r="Q578" i="24"/>
  <c r="P578" i="24" s="1"/>
  <c r="Q574" i="24"/>
  <c r="P574" i="24" s="1"/>
  <c r="Q570" i="24"/>
  <c r="P570" i="24" s="1"/>
  <c r="Q566" i="24"/>
  <c r="P566" i="24" s="1"/>
  <c r="Q562" i="24"/>
  <c r="P562" i="24" s="1"/>
  <c r="Q558" i="24"/>
  <c r="P558" i="24" s="1"/>
  <c r="Q554" i="24"/>
  <c r="P554" i="24" s="1"/>
  <c r="Q550" i="24"/>
  <c r="P550" i="24" s="1"/>
  <c r="Q546" i="24"/>
  <c r="P546" i="24" s="1"/>
  <c r="Q542" i="24"/>
  <c r="P542" i="24" s="1"/>
  <c r="Q538" i="24"/>
  <c r="P538" i="24" s="1"/>
  <c r="Q534" i="24"/>
  <c r="P534" i="24" s="1"/>
  <c r="Q530" i="24"/>
  <c r="P530" i="24" s="1"/>
  <c r="Q526" i="24"/>
  <c r="P526" i="24" s="1"/>
  <c r="Q522" i="24"/>
  <c r="P522" i="24" s="1"/>
  <c r="Q518" i="24"/>
  <c r="P518" i="24" s="1"/>
  <c r="Q514" i="24"/>
  <c r="P514" i="24" s="1"/>
  <c r="Q510" i="24"/>
  <c r="P510" i="24" s="1"/>
  <c r="Q506" i="24"/>
  <c r="P506" i="24" s="1"/>
  <c r="Q502" i="24"/>
  <c r="P502" i="24" s="1"/>
  <c r="Q498" i="24"/>
  <c r="P498" i="24" s="1"/>
  <c r="Q494" i="24"/>
  <c r="P494" i="24" s="1"/>
  <c r="Q490" i="24"/>
  <c r="P490" i="24" s="1"/>
  <c r="Q486" i="24"/>
  <c r="P486" i="24" s="1"/>
  <c r="Q482" i="24"/>
  <c r="P482" i="24" s="1"/>
  <c r="Q478" i="24"/>
  <c r="P478" i="24" s="1"/>
  <c r="Q474" i="24"/>
  <c r="P474" i="24" s="1"/>
  <c r="Q470" i="24"/>
  <c r="P470" i="24" s="1"/>
  <c r="Q466" i="24"/>
  <c r="P466" i="24" s="1"/>
  <c r="Q462" i="24"/>
  <c r="P462" i="24" s="1"/>
  <c r="Q458" i="24"/>
  <c r="P458" i="24" s="1"/>
  <c r="Q454" i="24"/>
  <c r="P454" i="24" s="1"/>
  <c r="Q450" i="24"/>
  <c r="P450" i="24" s="1"/>
  <c r="Q446" i="24"/>
  <c r="P446" i="24" s="1"/>
  <c r="Q442" i="24"/>
  <c r="P442" i="24" s="1"/>
  <c r="Q438" i="24"/>
  <c r="P438" i="24" s="1"/>
  <c r="Q434" i="24"/>
  <c r="P434" i="24" s="1"/>
  <c r="Q430" i="24"/>
  <c r="P430" i="24" s="1"/>
  <c r="Q426" i="24"/>
  <c r="P426" i="24" s="1"/>
  <c r="Q422" i="24"/>
  <c r="P422" i="24" s="1"/>
  <c r="Q418" i="24"/>
  <c r="P418" i="24" s="1"/>
  <c r="Q414" i="24"/>
  <c r="P414" i="24" s="1"/>
  <c r="Q410" i="24"/>
  <c r="P410" i="24" s="1"/>
  <c r="Q406" i="24"/>
  <c r="P406" i="24" s="1"/>
  <c r="Q402" i="24"/>
  <c r="P402" i="24" s="1"/>
  <c r="Q398" i="24"/>
  <c r="P398" i="24" s="1"/>
  <c r="Q394" i="24"/>
  <c r="P394" i="24" s="1"/>
  <c r="Q390" i="24"/>
  <c r="P390" i="24" s="1"/>
  <c r="Q386" i="24"/>
  <c r="P386" i="24" s="1"/>
  <c r="Q382" i="24"/>
  <c r="P382" i="24" s="1"/>
  <c r="Q378" i="24"/>
  <c r="P378" i="24" s="1"/>
  <c r="Q374" i="24"/>
  <c r="P374" i="24" s="1"/>
  <c r="Q370" i="24"/>
  <c r="P370" i="24" s="1"/>
  <c r="Q366" i="24"/>
  <c r="P366" i="24" s="1"/>
  <c r="Q362" i="24"/>
  <c r="P362" i="24" s="1"/>
  <c r="Q358" i="24"/>
  <c r="P358" i="24" s="1"/>
  <c r="Q354" i="24"/>
  <c r="P354" i="24" s="1"/>
  <c r="Q350" i="24"/>
  <c r="P350" i="24" s="1"/>
  <c r="Q346" i="24"/>
  <c r="P346" i="24" s="1"/>
  <c r="Q342" i="24"/>
  <c r="P342" i="24" s="1"/>
  <c r="Q338" i="24"/>
  <c r="P338" i="24" s="1"/>
  <c r="Q334" i="24"/>
  <c r="P334" i="24" s="1"/>
  <c r="Q330" i="24"/>
  <c r="P330" i="24" s="1"/>
  <c r="Q326" i="24"/>
  <c r="P326" i="24" s="1"/>
  <c r="Q322" i="24"/>
  <c r="P322" i="24" s="1"/>
  <c r="Q318" i="24"/>
  <c r="P318" i="24" s="1"/>
  <c r="Q314" i="24"/>
  <c r="P314" i="24" s="1"/>
  <c r="Q310" i="24"/>
  <c r="P310" i="24" s="1"/>
  <c r="Q306" i="24"/>
  <c r="P306" i="24" s="1"/>
  <c r="Q302" i="24"/>
  <c r="P302" i="24" s="1"/>
  <c r="Q298" i="24"/>
  <c r="P298" i="24" s="1"/>
  <c r="Q294" i="24"/>
  <c r="P294" i="24" s="1"/>
  <c r="Q290" i="24"/>
  <c r="P290" i="24" s="1"/>
  <c r="Q286" i="24"/>
  <c r="P286" i="24" s="1"/>
  <c r="Q282" i="24"/>
  <c r="P282" i="24" s="1"/>
  <c r="Q278" i="24"/>
  <c r="P278" i="24" s="1"/>
  <c r="Q274" i="24"/>
  <c r="P274" i="24" s="1"/>
  <c r="Q270" i="24"/>
  <c r="P270" i="24" s="1"/>
  <c r="Q266" i="24"/>
  <c r="P266" i="24" s="1"/>
  <c r="Q262" i="24"/>
  <c r="P262" i="24" s="1"/>
  <c r="Q258" i="24"/>
  <c r="P258" i="24" s="1"/>
  <c r="Q254" i="24"/>
  <c r="P254" i="24" s="1"/>
  <c r="Q250" i="24"/>
  <c r="P250" i="24" s="1"/>
  <c r="Q246" i="24"/>
  <c r="P246" i="24" s="1"/>
  <c r="Q242" i="24"/>
  <c r="P242" i="24" s="1"/>
  <c r="Q238" i="24"/>
  <c r="P238" i="24" s="1"/>
  <c r="Q234" i="24"/>
  <c r="P234" i="24" s="1"/>
  <c r="Q230" i="24"/>
  <c r="P230" i="24" s="1"/>
  <c r="Q226" i="24"/>
  <c r="P226" i="24" s="1"/>
  <c r="Q222" i="24"/>
  <c r="P222" i="24" s="1"/>
  <c r="Q218" i="24"/>
  <c r="P218" i="24" s="1"/>
  <c r="Q214" i="24"/>
  <c r="P214" i="24" s="1"/>
  <c r="Q210" i="24"/>
  <c r="P210" i="24" s="1"/>
  <c r="Q206" i="24"/>
  <c r="P206" i="24" s="1"/>
  <c r="Q202" i="24"/>
  <c r="P202" i="24" s="1"/>
  <c r="Q198" i="24"/>
  <c r="P198" i="24" s="1"/>
  <c r="Q194" i="24"/>
  <c r="P194" i="24" s="1"/>
  <c r="Q190" i="24"/>
  <c r="P190" i="24" s="1"/>
  <c r="Q186" i="24"/>
  <c r="P186" i="24" s="1"/>
  <c r="Q182" i="24"/>
  <c r="P182" i="24" s="1"/>
  <c r="Q178" i="24"/>
  <c r="P178" i="24" s="1"/>
  <c r="Q174" i="24"/>
  <c r="P174" i="24" s="1"/>
  <c r="Q170" i="24"/>
  <c r="P170" i="24" s="1"/>
  <c r="Q166" i="24"/>
  <c r="P166" i="24" s="1"/>
  <c r="Q162" i="24"/>
  <c r="P162" i="24" s="1"/>
  <c r="Q158" i="24"/>
  <c r="P158" i="24" s="1"/>
  <c r="Q154" i="24"/>
  <c r="P154" i="24" s="1"/>
  <c r="Q150" i="24"/>
  <c r="P150" i="24" s="1"/>
  <c r="Q146" i="24"/>
  <c r="P146" i="24" s="1"/>
  <c r="Q142" i="24"/>
  <c r="P142" i="24" s="1"/>
  <c r="Q138" i="24"/>
  <c r="P138" i="24" s="1"/>
  <c r="Q134" i="24"/>
  <c r="P134" i="24" s="1"/>
  <c r="Q130" i="24"/>
  <c r="P130" i="24" s="1"/>
  <c r="Q126" i="24"/>
  <c r="P126" i="24" s="1"/>
  <c r="Q122" i="24"/>
  <c r="P122" i="24" s="1"/>
  <c r="Q118" i="24"/>
  <c r="P118" i="24" s="1"/>
  <c r="Q114" i="24"/>
  <c r="P114" i="24" s="1"/>
  <c r="Q110" i="24"/>
  <c r="P110" i="24" s="1"/>
  <c r="Q106" i="24"/>
  <c r="P106" i="24" s="1"/>
  <c r="Q102" i="24"/>
  <c r="P102" i="24" s="1"/>
  <c r="Q98" i="24"/>
  <c r="P98" i="24" s="1"/>
  <c r="Q94" i="24"/>
  <c r="P94" i="24" s="1"/>
  <c r="Q90" i="24"/>
  <c r="P90" i="24" s="1"/>
  <c r="Q86" i="24"/>
  <c r="P86" i="24" s="1"/>
  <c r="Q82" i="24"/>
  <c r="P82" i="24" s="1"/>
  <c r="Q78" i="24"/>
  <c r="P78" i="24" s="1"/>
  <c r="Q74" i="24"/>
  <c r="P74" i="24" s="1"/>
  <c r="Q70" i="24"/>
  <c r="P70" i="24" s="1"/>
  <c r="Q66" i="24"/>
  <c r="P66" i="24" s="1"/>
  <c r="Q62" i="24"/>
  <c r="P62" i="24" s="1"/>
  <c r="Q58" i="24"/>
  <c r="P58" i="24" s="1"/>
  <c r="Q54" i="24"/>
  <c r="P54" i="24" s="1"/>
  <c r="Q50" i="24"/>
  <c r="P50" i="24" s="1"/>
  <c r="Q46" i="24"/>
  <c r="P46" i="24" s="1"/>
  <c r="Q42" i="24"/>
  <c r="P42" i="24" s="1"/>
  <c r="Q38" i="24"/>
  <c r="P38" i="24" s="1"/>
  <c r="Q34" i="24"/>
  <c r="P34" i="24" s="1"/>
  <c r="Q30" i="24"/>
  <c r="P30" i="24" s="1"/>
  <c r="Q26" i="24"/>
  <c r="P26" i="24" s="1"/>
  <c r="Q22" i="24"/>
  <c r="P22" i="24" s="1"/>
  <c r="Q18" i="24"/>
  <c r="P18" i="24" s="1"/>
  <c r="Q14" i="24"/>
  <c r="P14" i="24" s="1"/>
  <c r="Q10" i="24"/>
  <c r="P10" i="24" s="1"/>
  <c r="Q6" i="24"/>
  <c r="P6" i="24" s="1"/>
  <c r="Q999" i="24"/>
  <c r="P999" i="24" s="1"/>
  <c r="Q983" i="24"/>
  <c r="P983" i="24" s="1"/>
  <c r="Q975" i="24"/>
  <c r="P975" i="24" s="1"/>
  <c r="Q963" i="24"/>
  <c r="P963" i="24" s="1"/>
  <c r="Q947" i="24"/>
  <c r="P947" i="24" s="1"/>
  <c r="Q939" i="24"/>
  <c r="P939" i="24" s="1"/>
  <c r="Q923" i="24"/>
  <c r="P923" i="24" s="1"/>
  <c r="Q911" i="24"/>
  <c r="P911" i="24" s="1"/>
  <c r="Q899" i="24"/>
  <c r="P899" i="24" s="1"/>
  <c r="Q891" i="24"/>
  <c r="P891" i="24" s="1"/>
  <c r="Q879" i="24"/>
  <c r="P879" i="24" s="1"/>
  <c r="Q867" i="24"/>
  <c r="P867" i="24" s="1"/>
  <c r="Q859" i="24"/>
  <c r="P859" i="24" s="1"/>
  <c r="Q847" i="24"/>
  <c r="P847" i="24" s="1"/>
  <c r="Q835" i="24"/>
  <c r="P835" i="24" s="1"/>
  <c r="Q823" i="24"/>
  <c r="P823" i="24" s="1"/>
  <c r="Q811" i="24"/>
  <c r="P811" i="24" s="1"/>
  <c r="Q799" i="24"/>
  <c r="P799" i="24" s="1"/>
  <c r="Q791" i="24"/>
  <c r="P791" i="24" s="1"/>
  <c r="Q775" i="24"/>
  <c r="P775" i="24" s="1"/>
  <c r="Q763" i="24"/>
  <c r="P763" i="24" s="1"/>
  <c r="Q755" i="24"/>
  <c r="P755" i="24" s="1"/>
  <c r="Q743" i="24"/>
  <c r="P743" i="24" s="1"/>
  <c r="Q731" i="24"/>
  <c r="P731" i="24" s="1"/>
  <c r="Q723" i="24"/>
  <c r="P723" i="24" s="1"/>
  <c r="Q707" i="24"/>
  <c r="P707" i="24" s="1"/>
  <c r="Q695" i="24"/>
  <c r="P695" i="24" s="1"/>
  <c r="Q687" i="24"/>
  <c r="P687" i="24" s="1"/>
  <c r="Q679" i="24"/>
  <c r="P679" i="24" s="1"/>
  <c r="Q667" i="24"/>
  <c r="P667" i="24" s="1"/>
  <c r="Q655" i="24"/>
  <c r="P655" i="24" s="1"/>
  <c r="Q643" i="24"/>
  <c r="P643" i="24" s="1"/>
  <c r="Q627" i="24"/>
  <c r="P627" i="24" s="1"/>
  <c r="Q615" i="24"/>
  <c r="P615" i="24" s="1"/>
  <c r="Q611" i="24"/>
  <c r="P611" i="24" s="1"/>
  <c r="Q599" i="24"/>
  <c r="P599" i="24" s="1"/>
  <c r="Q583" i="24"/>
  <c r="P583" i="24" s="1"/>
  <c r="Q575" i="24"/>
  <c r="P575" i="24" s="1"/>
  <c r="Q563" i="24"/>
  <c r="P563" i="24" s="1"/>
  <c r="Q547" i="24"/>
  <c r="P547" i="24" s="1"/>
  <c r="Q535" i="24"/>
  <c r="P535" i="24" s="1"/>
  <c r="Q523" i="24"/>
  <c r="P523" i="24" s="1"/>
  <c r="Q511" i="24"/>
  <c r="P511" i="24" s="1"/>
  <c r="Q499" i="24"/>
  <c r="P499" i="24" s="1"/>
  <c r="Q487" i="24"/>
  <c r="P487" i="24" s="1"/>
  <c r="Q475" i="24"/>
  <c r="P475" i="24" s="1"/>
  <c r="Q471" i="24"/>
  <c r="P471" i="24" s="1"/>
  <c r="Q459" i="24"/>
  <c r="P459" i="24" s="1"/>
  <c r="Q447" i="24"/>
  <c r="P447" i="24" s="1"/>
  <c r="Q435" i="24"/>
  <c r="P435" i="24" s="1"/>
  <c r="Q423" i="24"/>
  <c r="P423" i="24" s="1"/>
  <c r="Q411" i="24"/>
  <c r="P411" i="24" s="1"/>
  <c r="Q399" i="24"/>
  <c r="P399" i="24" s="1"/>
  <c r="Q387" i="24"/>
  <c r="P387" i="24" s="1"/>
  <c r="Q375" i="24"/>
  <c r="P375" i="24" s="1"/>
  <c r="Q367" i="24"/>
  <c r="P367" i="24" s="1"/>
  <c r="Q355" i="24"/>
  <c r="P355" i="24" s="1"/>
  <c r="Q343" i="24"/>
  <c r="P343" i="24" s="1"/>
  <c r="Q331" i="24"/>
  <c r="P331" i="24" s="1"/>
  <c r="Q319" i="24"/>
  <c r="P319" i="24" s="1"/>
  <c r="Q307" i="24"/>
  <c r="P307" i="24" s="1"/>
  <c r="Q295" i="24"/>
  <c r="P295" i="24" s="1"/>
  <c r="Q283" i="24"/>
  <c r="P283" i="24" s="1"/>
  <c r="Q271" i="24"/>
  <c r="P271" i="24" s="1"/>
  <c r="Q255" i="24"/>
  <c r="P255" i="24" s="1"/>
  <c r="Q243" i="24"/>
  <c r="P243" i="24" s="1"/>
  <c r="Q231" i="24"/>
  <c r="P231" i="24" s="1"/>
  <c r="Q219" i="24"/>
  <c r="P219" i="24" s="1"/>
  <c r="Q211" i="24"/>
  <c r="P211" i="24" s="1"/>
  <c r="Q199" i="24"/>
  <c r="P199" i="24" s="1"/>
  <c r="Q187" i="24"/>
  <c r="P187" i="24" s="1"/>
  <c r="Q175" i="24"/>
  <c r="P175" i="24" s="1"/>
  <c r="Q163" i="24"/>
  <c r="P163" i="24" s="1"/>
  <c r="Q151" i="24"/>
  <c r="P151" i="24" s="1"/>
  <c r="Q135" i="24"/>
  <c r="P135" i="24" s="1"/>
  <c r="Q127" i="24"/>
  <c r="P127" i="24" s="1"/>
  <c r="Q107" i="24"/>
  <c r="P107" i="24" s="1"/>
  <c r="Q63" i="24"/>
  <c r="P63" i="24" s="1"/>
  <c r="Q1001" i="24"/>
  <c r="P1001" i="24" s="1"/>
  <c r="Q997" i="24"/>
  <c r="P997" i="24" s="1"/>
  <c r="Q993" i="24"/>
  <c r="P993" i="24" s="1"/>
  <c r="Q989" i="24"/>
  <c r="P989" i="24" s="1"/>
  <c r="Q985" i="24"/>
  <c r="P985" i="24" s="1"/>
  <c r="Q981" i="24"/>
  <c r="P981" i="24" s="1"/>
  <c r="Q977" i="24"/>
  <c r="P977" i="24" s="1"/>
  <c r="Q973" i="24"/>
  <c r="P973" i="24" s="1"/>
  <c r="Q969" i="24"/>
  <c r="P969" i="24" s="1"/>
  <c r="Q965" i="24"/>
  <c r="P965" i="24" s="1"/>
  <c r="Q961" i="24"/>
  <c r="P961" i="24" s="1"/>
  <c r="Q957" i="24"/>
  <c r="P957" i="24" s="1"/>
  <c r="Q953" i="24"/>
  <c r="P953" i="24" s="1"/>
  <c r="Q949" i="24"/>
  <c r="P949" i="24" s="1"/>
  <c r="Q945" i="24"/>
  <c r="P945" i="24" s="1"/>
  <c r="Q941" i="24"/>
  <c r="P941" i="24" s="1"/>
  <c r="Q937" i="24"/>
  <c r="P937" i="24" s="1"/>
  <c r="Q933" i="24"/>
  <c r="P933" i="24" s="1"/>
  <c r="Q929" i="24"/>
  <c r="P929" i="24" s="1"/>
  <c r="Q925" i="24"/>
  <c r="P925" i="24" s="1"/>
  <c r="Q921" i="24"/>
  <c r="P921" i="24" s="1"/>
  <c r="Q917" i="24"/>
  <c r="P917" i="24" s="1"/>
  <c r="Q913" i="24"/>
  <c r="P913" i="24" s="1"/>
  <c r="Q909" i="24"/>
  <c r="P909" i="24" s="1"/>
  <c r="Q905" i="24"/>
  <c r="P905" i="24" s="1"/>
  <c r="Q901" i="24"/>
  <c r="P901" i="24" s="1"/>
  <c r="Q897" i="24"/>
  <c r="P897" i="24" s="1"/>
  <c r="Q893" i="24"/>
  <c r="P893" i="24" s="1"/>
  <c r="Q889" i="24"/>
  <c r="P889" i="24" s="1"/>
  <c r="Q885" i="24"/>
  <c r="P885" i="24" s="1"/>
  <c r="Q881" i="24"/>
  <c r="P881" i="24" s="1"/>
  <c r="Q877" i="24"/>
  <c r="P877" i="24" s="1"/>
  <c r="Q873" i="24"/>
  <c r="P873" i="24" s="1"/>
  <c r="Q869" i="24"/>
  <c r="P869" i="24" s="1"/>
  <c r="Q865" i="24"/>
  <c r="P865" i="24" s="1"/>
  <c r="Q861" i="24"/>
  <c r="P861" i="24" s="1"/>
  <c r="Q857" i="24"/>
  <c r="P857" i="24" s="1"/>
  <c r="Q853" i="24"/>
  <c r="P853" i="24" s="1"/>
  <c r="Q849" i="24"/>
  <c r="P849" i="24" s="1"/>
  <c r="Q845" i="24"/>
  <c r="P845" i="24" s="1"/>
  <c r="Q841" i="24"/>
  <c r="P841" i="24" s="1"/>
  <c r="Q837" i="24"/>
  <c r="P837" i="24" s="1"/>
  <c r="Q833" i="24"/>
  <c r="P833" i="24" s="1"/>
  <c r="Q829" i="24"/>
  <c r="P829" i="24" s="1"/>
  <c r="Q825" i="24"/>
  <c r="P825" i="24" s="1"/>
  <c r="Q821" i="24"/>
  <c r="P821" i="24" s="1"/>
  <c r="Q817" i="24"/>
  <c r="P817" i="24" s="1"/>
  <c r="Q813" i="24"/>
  <c r="P813" i="24" s="1"/>
  <c r="Q809" i="24"/>
  <c r="P809" i="24" s="1"/>
  <c r="Q805" i="24"/>
  <c r="P805" i="24" s="1"/>
  <c r="Q801" i="24"/>
  <c r="P801" i="24" s="1"/>
  <c r="Q797" i="24"/>
  <c r="P797" i="24" s="1"/>
  <c r="Q793" i="24"/>
  <c r="P793" i="24" s="1"/>
  <c r="Q789" i="24"/>
  <c r="P789" i="24" s="1"/>
  <c r="Q785" i="24"/>
  <c r="P785" i="24" s="1"/>
  <c r="Q781" i="24"/>
  <c r="P781" i="24" s="1"/>
  <c r="Q777" i="24"/>
  <c r="P777" i="24" s="1"/>
  <c r="Q773" i="24"/>
  <c r="P773" i="24" s="1"/>
  <c r="Q769" i="24"/>
  <c r="P769" i="24" s="1"/>
  <c r="Q765" i="24"/>
  <c r="P765" i="24" s="1"/>
  <c r="Q761" i="24"/>
  <c r="P761" i="24" s="1"/>
  <c r="Q757" i="24"/>
  <c r="P757" i="24" s="1"/>
  <c r="Q753" i="24"/>
  <c r="P753" i="24" s="1"/>
  <c r="Q749" i="24"/>
  <c r="P749" i="24" s="1"/>
  <c r="Q745" i="24"/>
  <c r="P745" i="24" s="1"/>
  <c r="Q741" i="24"/>
  <c r="P741" i="24" s="1"/>
  <c r="Q737" i="24"/>
  <c r="P737" i="24" s="1"/>
  <c r="Q733" i="24"/>
  <c r="P733" i="24" s="1"/>
  <c r="Q729" i="24"/>
  <c r="P729" i="24" s="1"/>
  <c r="Q725" i="24"/>
  <c r="P725" i="24" s="1"/>
  <c r="Q721" i="24"/>
  <c r="P721" i="24" s="1"/>
  <c r="Q717" i="24"/>
  <c r="P717" i="24" s="1"/>
  <c r="Q713" i="24"/>
  <c r="P713" i="24" s="1"/>
  <c r="Q709" i="24"/>
  <c r="P709" i="24" s="1"/>
  <c r="Q705" i="24"/>
  <c r="P705" i="24" s="1"/>
  <c r="Q701" i="24"/>
  <c r="P701" i="24" s="1"/>
  <c r="Q697" i="24"/>
  <c r="P697" i="24" s="1"/>
  <c r="Q693" i="24"/>
  <c r="P693" i="24" s="1"/>
  <c r="Q689" i="24"/>
  <c r="P689" i="24" s="1"/>
  <c r="Q685" i="24"/>
  <c r="P685" i="24" s="1"/>
  <c r="Q681" i="24"/>
  <c r="P681" i="24" s="1"/>
  <c r="Q677" i="24"/>
  <c r="P677" i="24" s="1"/>
  <c r="Q673" i="24"/>
  <c r="P673" i="24" s="1"/>
  <c r="Q669" i="24"/>
  <c r="P669" i="24" s="1"/>
  <c r="Q665" i="24"/>
  <c r="P665" i="24" s="1"/>
  <c r="Q661" i="24"/>
  <c r="P661" i="24" s="1"/>
  <c r="Q657" i="24"/>
  <c r="P657" i="24" s="1"/>
  <c r="Q653" i="24"/>
  <c r="P653" i="24" s="1"/>
  <c r="Q649" i="24"/>
  <c r="P649" i="24" s="1"/>
  <c r="Q645" i="24"/>
  <c r="P645" i="24" s="1"/>
  <c r="Q641" i="24"/>
  <c r="P641" i="24" s="1"/>
  <c r="Q637" i="24"/>
  <c r="P637" i="24" s="1"/>
  <c r="Q633" i="24"/>
  <c r="P633" i="24" s="1"/>
  <c r="Q629" i="24"/>
  <c r="P629" i="24" s="1"/>
  <c r="Q625" i="24"/>
  <c r="P625" i="24" s="1"/>
  <c r="Q621" i="24"/>
  <c r="P621" i="24" s="1"/>
  <c r="Q617" i="24"/>
  <c r="P617" i="24" s="1"/>
  <c r="Q613" i="24"/>
  <c r="P613" i="24" s="1"/>
  <c r="Q609" i="24"/>
  <c r="P609" i="24" s="1"/>
  <c r="Q605" i="24"/>
  <c r="P605" i="24" s="1"/>
  <c r="Q601" i="24"/>
  <c r="P601" i="24" s="1"/>
  <c r="Q597" i="24"/>
  <c r="P597" i="24" s="1"/>
  <c r="Q593" i="24"/>
  <c r="P593" i="24" s="1"/>
  <c r="Q589" i="24"/>
  <c r="P589" i="24" s="1"/>
  <c r="Q585" i="24"/>
  <c r="P585" i="24" s="1"/>
  <c r="Q581" i="24"/>
  <c r="P581" i="24" s="1"/>
  <c r="Q577" i="24"/>
  <c r="P577" i="24" s="1"/>
  <c r="Q573" i="24"/>
  <c r="P573" i="24" s="1"/>
  <c r="Q569" i="24"/>
  <c r="P569" i="24" s="1"/>
  <c r="Q565" i="24"/>
  <c r="P565" i="24" s="1"/>
  <c r="Q561" i="24"/>
  <c r="P561" i="24" s="1"/>
  <c r="Q557" i="24"/>
  <c r="P557" i="24" s="1"/>
  <c r="Q553" i="24"/>
  <c r="P553" i="24" s="1"/>
  <c r="Q549" i="24"/>
  <c r="P549" i="24" s="1"/>
  <c r="Q545" i="24"/>
  <c r="P545" i="24" s="1"/>
  <c r="Q541" i="24"/>
  <c r="P541" i="24" s="1"/>
  <c r="Q537" i="24"/>
  <c r="P537" i="24" s="1"/>
  <c r="Q533" i="24"/>
  <c r="P533" i="24" s="1"/>
  <c r="Q529" i="24"/>
  <c r="P529" i="24" s="1"/>
  <c r="Q525" i="24"/>
  <c r="P525" i="24" s="1"/>
  <c r="Q521" i="24"/>
  <c r="P521" i="24" s="1"/>
  <c r="Q517" i="24"/>
  <c r="P517" i="24" s="1"/>
  <c r="Q513" i="24"/>
  <c r="P513" i="24" s="1"/>
  <c r="Q509" i="24"/>
  <c r="P509" i="24" s="1"/>
  <c r="Q505" i="24"/>
  <c r="P505" i="24" s="1"/>
  <c r="Q501" i="24"/>
  <c r="P501" i="24" s="1"/>
  <c r="Q497" i="24"/>
  <c r="P497" i="24" s="1"/>
  <c r="Q493" i="24"/>
  <c r="P493" i="24" s="1"/>
  <c r="Q489" i="24"/>
  <c r="P489" i="24" s="1"/>
  <c r="Q485" i="24"/>
  <c r="P485" i="24" s="1"/>
  <c r="Q481" i="24"/>
  <c r="P481" i="24" s="1"/>
  <c r="Q477" i="24"/>
  <c r="P477" i="24" s="1"/>
  <c r="Q473" i="24"/>
  <c r="P473" i="24" s="1"/>
  <c r="Q469" i="24"/>
  <c r="P469" i="24" s="1"/>
  <c r="Q465" i="24"/>
  <c r="P465" i="24" s="1"/>
  <c r="Q461" i="24"/>
  <c r="P461" i="24" s="1"/>
  <c r="Q457" i="24"/>
  <c r="P457" i="24" s="1"/>
  <c r="Q453" i="24"/>
  <c r="P453" i="24" s="1"/>
  <c r="Q449" i="24"/>
  <c r="P449" i="24" s="1"/>
  <c r="Q445" i="24"/>
  <c r="P445" i="24" s="1"/>
  <c r="Q441" i="24"/>
  <c r="P441" i="24" s="1"/>
  <c r="Q437" i="24"/>
  <c r="P437" i="24" s="1"/>
  <c r="Q433" i="24"/>
  <c r="P433" i="24" s="1"/>
  <c r="Q429" i="24"/>
  <c r="P429" i="24" s="1"/>
  <c r="Q425" i="24"/>
  <c r="P425" i="24" s="1"/>
  <c r="Q421" i="24"/>
  <c r="P421" i="24" s="1"/>
  <c r="Q417" i="24"/>
  <c r="P417" i="24" s="1"/>
  <c r="Q413" i="24"/>
  <c r="P413" i="24" s="1"/>
  <c r="Q409" i="24"/>
  <c r="P409" i="24" s="1"/>
  <c r="Q405" i="24"/>
  <c r="P405" i="24" s="1"/>
  <c r="Q401" i="24"/>
  <c r="P401" i="24" s="1"/>
  <c r="Q397" i="24"/>
  <c r="P397" i="24" s="1"/>
  <c r="Q393" i="24"/>
  <c r="P393" i="24" s="1"/>
  <c r="Q389" i="24"/>
  <c r="P389" i="24" s="1"/>
  <c r="Q385" i="24"/>
  <c r="P385" i="24" s="1"/>
  <c r="Q381" i="24"/>
  <c r="P381" i="24" s="1"/>
  <c r="Q377" i="24"/>
  <c r="P377" i="24" s="1"/>
  <c r="Q373" i="24"/>
  <c r="P373" i="24" s="1"/>
  <c r="Q369" i="24"/>
  <c r="P369" i="24" s="1"/>
  <c r="Q365" i="24"/>
  <c r="P365" i="24" s="1"/>
  <c r="Q361" i="24"/>
  <c r="P361" i="24" s="1"/>
  <c r="Q357" i="24"/>
  <c r="P357" i="24" s="1"/>
  <c r="Q353" i="24"/>
  <c r="P353" i="24" s="1"/>
  <c r="Q349" i="24"/>
  <c r="P349" i="24" s="1"/>
  <c r="Q345" i="24"/>
  <c r="P345" i="24" s="1"/>
  <c r="Q341" i="24"/>
  <c r="P341" i="24" s="1"/>
  <c r="Q337" i="24"/>
  <c r="P337" i="24" s="1"/>
  <c r="Q333" i="24"/>
  <c r="P333" i="24" s="1"/>
  <c r="Q329" i="24"/>
  <c r="P329" i="24" s="1"/>
  <c r="Q325" i="24"/>
  <c r="P325" i="24" s="1"/>
  <c r="Q321" i="24"/>
  <c r="P321" i="24" s="1"/>
  <c r="Q317" i="24"/>
  <c r="P317" i="24" s="1"/>
  <c r="Q313" i="24"/>
  <c r="P313" i="24" s="1"/>
  <c r="Q309" i="24"/>
  <c r="P309" i="24" s="1"/>
  <c r="Q305" i="24"/>
  <c r="P305" i="24" s="1"/>
  <c r="Q301" i="24"/>
  <c r="P301" i="24" s="1"/>
  <c r="Q297" i="24"/>
  <c r="P297" i="24" s="1"/>
  <c r="Q293" i="24"/>
  <c r="P293" i="24" s="1"/>
  <c r="Q289" i="24"/>
  <c r="P289" i="24" s="1"/>
  <c r="Q285" i="24"/>
  <c r="P285" i="24" s="1"/>
  <c r="Q281" i="24"/>
  <c r="P281" i="24" s="1"/>
  <c r="Q277" i="24"/>
  <c r="P277" i="24" s="1"/>
  <c r="Q273" i="24"/>
  <c r="P273" i="24" s="1"/>
  <c r="Q269" i="24"/>
  <c r="P269" i="24" s="1"/>
  <c r="Q265" i="24"/>
  <c r="P265" i="24" s="1"/>
  <c r="Q261" i="24"/>
  <c r="P261" i="24" s="1"/>
  <c r="Q257" i="24"/>
  <c r="P257" i="24" s="1"/>
  <c r="Q253" i="24"/>
  <c r="P253" i="24" s="1"/>
  <c r="Q249" i="24"/>
  <c r="P249" i="24" s="1"/>
  <c r="Q245" i="24"/>
  <c r="P245" i="24" s="1"/>
  <c r="Q241" i="24"/>
  <c r="P241" i="24" s="1"/>
  <c r="Q237" i="24"/>
  <c r="P237" i="24" s="1"/>
  <c r="Q233" i="24"/>
  <c r="P233" i="24" s="1"/>
  <c r="Q229" i="24"/>
  <c r="P229" i="24" s="1"/>
  <c r="Q225" i="24"/>
  <c r="P225" i="24" s="1"/>
  <c r="Q221" i="24"/>
  <c r="P221" i="24" s="1"/>
  <c r="Q217" i="24"/>
  <c r="P217" i="24" s="1"/>
  <c r="Q213" i="24"/>
  <c r="P213" i="24" s="1"/>
  <c r="Q209" i="24"/>
  <c r="P209" i="24" s="1"/>
  <c r="Q205" i="24"/>
  <c r="P205" i="24" s="1"/>
  <c r="Q201" i="24"/>
  <c r="P201" i="24" s="1"/>
  <c r="Q197" i="24"/>
  <c r="P197" i="24" s="1"/>
  <c r="Q193" i="24"/>
  <c r="P193" i="24" s="1"/>
  <c r="Q189" i="24"/>
  <c r="P189" i="24" s="1"/>
  <c r="Q185" i="24"/>
  <c r="P185" i="24" s="1"/>
  <c r="Q181" i="24"/>
  <c r="P181" i="24" s="1"/>
  <c r="Q177" i="24"/>
  <c r="P177" i="24" s="1"/>
  <c r="Q173" i="24"/>
  <c r="P173" i="24" s="1"/>
  <c r="Q169" i="24"/>
  <c r="P169" i="24" s="1"/>
  <c r="Q165" i="24"/>
  <c r="P165" i="24" s="1"/>
  <c r="Q161" i="24"/>
  <c r="P161" i="24" s="1"/>
  <c r="Q157" i="24"/>
  <c r="P157" i="24" s="1"/>
  <c r="Q153" i="24"/>
  <c r="P153" i="24" s="1"/>
  <c r="Q149" i="24"/>
  <c r="P149" i="24" s="1"/>
  <c r="Q145" i="24"/>
  <c r="P145" i="24" s="1"/>
  <c r="Q141" i="24"/>
  <c r="P141" i="24" s="1"/>
  <c r="Q137" i="24"/>
  <c r="P137" i="24" s="1"/>
  <c r="Q133" i="24"/>
  <c r="P133" i="24" s="1"/>
  <c r="Q129" i="24"/>
  <c r="P129" i="24" s="1"/>
  <c r="Q125" i="24"/>
  <c r="P125" i="24" s="1"/>
  <c r="Q121" i="24"/>
  <c r="P121" i="24" s="1"/>
  <c r="Q117" i="24"/>
  <c r="P117" i="24" s="1"/>
  <c r="Q113" i="24"/>
  <c r="P113" i="24" s="1"/>
  <c r="Q109" i="24"/>
  <c r="P109" i="24" s="1"/>
  <c r="Q105" i="24"/>
  <c r="P105" i="24" s="1"/>
  <c r="Q101" i="24"/>
  <c r="P101" i="24" s="1"/>
  <c r="Q97" i="24"/>
  <c r="P97" i="24" s="1"/>
  <c r="Q93" i="24"/>
  <c r="P93" i="24" s="1"/>
  <c r="Q89" i="24"/>
  <c r="P89" i="24" s="1"/>
  <c r="Q85" i="24"/>
  <c r="P85" i="24" s="1"/>
  <c r="Q81" i="24"/>
  <c r="P81" i="24" s="1"/>
  <c r="Q77" i="24"/>
  <c r="P77" i="24" s="1"/>
  <c r="Q73" i="24"/>
  <c r="P73" i="24" s="1"/>
  <c r="Q69" i="24"/>
  <c r="P69" i="24" s="1"/>
  <c r="Q65" i="24"/>
  <c r="P65" i="24" s="1"/>
  <c r="Q61" i="24"/>
  <c r="P61" i="24" s="1"/>
  <c r="Q57" i="24"/>
  <c r="P57" i="24" s="1"/>
  <c r="Q53" i="24"/>
  <c r="P53" i="24" s="1"/>
  <c r="Q49" i="24"/>
  <c r="P49" i="24" s="1"/>
  <c r="Q45" i="24"/>
  <c r="P45" i="24" s="1"/>
  <c r="Q41" i="24"/>
  <c r="P41" i="24" s="1"/>
  <c r="Q37" i="24"/>
  <c r="P37" i="24" s="1"/>
  <c r="Q33" i="24"/>
  <c r="P33" i="24" s="1"/>
  <c r="Q29" i="24"/>
  <c r="P29" i="24" s="1"/>
  <c r="Q25" i="24"/>
  <c r="P25" i="24" s="1"/>
  <c r="Q21" i="24"/>
  <c r="P21" i="24" s="1"/>
  <c r="Q17" i="24"/>
  <c r="P17" i="24" s="1"/>
  <c r="Q13" i="24"/>
  <c r="P13" i="24" s="1"/>
  <c r="Q9" i="24"/>
  <c r="P9" i="24" s="1"/>
  <c r="Q5" i="24"/>
  <c r="P5" i="24" s="1"/>
  <c r="Q995" i="24"/>
  <c r="P995" i="24" s="1"/>
  <c r="Q987" i="24"/>
  <c r="P987" i="24" s="1"/>
  <c r="Q971" i="24"/>
  <c r="P971" i="24" s="1"/>
  <c r="Q959" i="24"/>
  <c r="P959" i="24" s="1"/>
  <c r="Q951" i="24"/>
  <c r="P951" i="24" s="1"/>
  <c r="Q935" i="24"/>
  <c r="P935" i="24" s="1"/>
  <c r="Q927" i="24"/>
  <c r="P927" i="24" s="1"/>
  <c r="Q915" i="24"/>
  <c r="P915" i="24" s="1"/>
  <c r="Q903" i="24"/>
  <c r="P903" i="24" s="1"/>
  <c r="Q887" i="24"/>
  <c r="P887" i="24" s="1"/>
  <c r="Q875" i="24"/>
  <c r="P875" i="24" s="1"/>
  <c r="Q863" i="24"/>
  <c r="P863" i="24" s="1"/>
  <c r="Q855" i="24"/>
  <c r="P855" i="24" s="1"/>
  <c r="Q843" i="24"/>
  <c r="P843" i="24" s="1"/>
  <c r="Q831" i="24"/>
  <c r="P831" i="24" s="1"/>
  <c r="Q819" i="24"/>
  <c r="P819" i="24" s="1"/>
  <c r="Q807" i="24"/>
  <c r="P807" i="24" s="1"/>
  <c r="Q795" i="24"/>
  <c r="P795" i="24" s="1"/>
  <c r="Q787" i="24"/>
  <c r="P787" i="24" s="1"/>
  <c r="Q779" i="24"/>
  <c r="P779" i="24" s="1"/>
  <c r="Q767" i="24"/>
  <c r="P767" i="24" s="1"/>
  <c r="Q751" i="24"/>
  <c r="P751" i="24" s="1"/>
  <c r="Q739" i="24"/>
  <c r="P739" i="24" s="1"/>
  <c r="Q735" i="24"/>
  <c r="P735" i="24" s="1"/>
  <c r="Q719" i="24"/>
  <c r="P719" i="24" s="1"/>
  <c r="Q711" i="24"/>
  <c r="P711" i="24" s="1"/>
  <c r="Q699" i="24"/>
  <c r="P699" i="24" s="1"/>
  <c r="Q691" i="24"/>
  <c r="P691" i="24" s="1"/>
  <c r="Q675" i="24"/>
  <c r="P675" i="24" s="1"/>
  <c r="Q663" i="24"/>
  <c r="P663" i="24" s="1"/>
  <c r="Q651" i="24"/>
  <c r="P651" i="24" s="1"/>
  <c r="Q639" i="24"/>
  <c r="P639" i="24" s="1"/>
  <c r="Q631" i="24"/>
  <c r="P631" i="24" s="1"/>
  <c r="Q619" i="24"/>
  <c r="P619" i="24" s="1"/>
  <c r="Q607" i="24"/>
  <c r="P607" i="24" s="1"/>
  <c r="Q595" i="24"/>
  <c r="P595" i="24" s="1"/>
  <c r="Q587" i="24"/>
  <c r="P587" i="24" s="1"/>
  <c r="Q571" i="24"/>
  <c r="P571" i="24" s="1"/>
  <c r="Q559" i="24"/>
  <c r="P559" i="24" s="1"/>
  <c r="Q551" i="24"/>
  <c r="P551" i="24" s="1"/>
  <c r="Q539" i="24"/>
  <c r="P539" i="24" s="1"/>
  <c r="Q527" i="24"/>
  <c r="P527" i="24" s="1"/>
  <c r="Q515" i="24"/>
  <c r="P515" i="24" s="1"/>
  <c r="Q503" i="24"/>
  <c r="P503" i="24" s="1"/>
  <c r="Q491" i="24"/>
  <c r="P491" i="24" s="1"/>
  <c r="Q479" i="24"/>
  <c r="P479" i="24" s="1"/>
  <c r="Q467" i="24"/>
  <c r="P467" i="24" s="1"/>
  <c r="Q455" i="24"/>
  <c r="P455" i="24" s="1"/>
  <c r="Q443" i="24"/>
  <c r="P443" i="24" s="1"/>
  <c r="Q431" i="24"/>
  <c r="P431" i="24" s="1"/>
  <c r="Q419" i="24"/>
  <c r="P419" i="24" s="1"/>
  <c r="Q407" i="24"/>
  <c r="P407" i="24" s="1"/>
  <c r="Q395" i="24"/>
  <c r="P395" i="24" s="1"/>
  <c r="Q383" i="24"/>
  <c r="P383" i="24" s="1"/>
  <c r="Q371" i="24"/>
  <c r="P371" i="24" s="1"/>
  <c r="Q363" i="24"/>
  <c r="P363" i="24" s="1"/>
  <c r="Q351" i="24"/>
  <c r="P351" i="24" s="1"/>
  <c r="Q339" i="24"/>
  <c r="P339" i="24" s="1"/>
  <c r="Q327" i="24"/>
  <c r="P327" i="24" s="1"/>
  <c r="Q315" i="24"/>
  <c r="P315" i="24" s="1"/>
  <c r="Q303" i="24"/>
  <c r="P303" i="24" s="1"/>
  <c r="Q291" i="24"/>
  <c r="P291" i="24" s="1"/>
  <c r="Q279" i="24"/>
  <c r="P279" i="24" s="1"/>
  <c r="Q267" i="24"/>
  <c r="P267" i="24" s="1"/>
  <c r="Q259" i="24"/>
  <c r="P259" i="24" s="1"/>
  <c r="Q247" i="24"/>
  <c r="P247" i="24" s="1"/>
  <c r="Q239" i="24"/>
  <c r="P239" i="24" s="1"/>
  <c r="Q227" i="24"/>
  <c r="P227" i="24" s="1"/>
  <c r="Q215" i="24"/>
  <c r="P215" i="24" s="1"/>
  <c r="Q203" i="24"/>
  <c r="P203" i="24" s="1"/>
  <c r="Q191" i="24"/>
  <c r="P191" i="24" s="1"/>
  <c r="Q179" i="24"/>
  <c r="P179" i="24" s="1"/>
  <c r="Q167" i="24"/>
  <c r="P167" i="24" s="1"/>
  <c r="Q159" i="24"/>
  <c r="P159" i="24" s="1"/>
  <c r="Q147" i="24"/>
  <c r="P147" i="24" s="1"/>
  <c r="Q139" i="24"/>
  <c r="P139" i="24" s="1"/>
  <c r="Q123" i="24"/>
  <c r="P123" i="24" s="1"/>
  <c r="Q111" i="24"/>
  <c r="P111" i="24" s="1"/>
  <c r="Q71" i="24"/>
  <c r="P71" i="24" s="1"/>
  <c r="Q1000" i="24"/>
  <c r="P1000" i="24" s="1"/>
  <c r="Q996" i="24"/>
  <c r="P996" i="24" s="1"/>
  <c r="Q992" i="24"/>
  <c r="P992" i="24" s="1"/>
  <c r="Q988" i="24"/>
  <c r="P988" i="24" s="1"/>
  <c r="Q984" i="24"/>
  <c r="P984" i="24" s="1"/>
  <c r="Q980" i="24"/>
  <c r="P980" i="24" s="1"/>
  <c r="Q976" i="24"/>
  <c r="P976" i="24" s="1"/>
  <c r="Q972" i="24"/>
  <c r="P972" i="24" s="1"/>
  <c r="Q968" i="24"/>
  <c r="P968" i="24" s="1"/>
  <c r="Q964" i="24"/>
  <c r="P964" i="24" s="1"/>
  <c r="Q960" i="24"/>
  <c r="P960" i="24" s="1"/>
  <c r="Q956" i="24"/>
  <c r="P956" i="24" s="1"/>
  <c r="Q952" i="24"/>
  <c r="P952" i="24" s="1"/>
  <c r="Q948" i="24"/>
  <c r="P948" i="24" s="1"/>
  <c r="Q944" i="24"/>
  <c r="P944" i="24" s="1"/>
  <c r="Q940" i="24"/>
  <c r="P940" i="24" s="1"/>
  <c r="Q936" i="24"/>
  <c r="P936" i="24" s="1"/>
  <c r="Q932" i="24"/>
  <c r="P932" i="24" s="1"/>
  <c r="Q928" i="24"/>
  <c r="P928" i="24" s="1"/>
  <c r="Q924" i="24"/>
  <c r="P924" i="24" s="1"/>
  <c r="Q920" i="24"/>
  <c r="P920" i="24" s="1"/>
  <c r="Q916" i="24"/>
  <c r="P916" i="24" s="1"/>
  <c r="Q912" i="24"/>
  <c r="P912" i="24" s="1"/>
  <c r="Q908" i="24"/>
  <c r="P908" i="24" s="1"/>
  <c r="Q904" i="24"/>
  <c r="P904" i="24" s="1"/>
  <c r="Q900" i="24"/>
  <c r="P900" i="24" s="1"/>
  <c r="Q896" i="24"/>
  <c r="P896" i="24" s="1"/>
  <c r="Q892" i="24"/>
  <c r="P892" i="24" s="1"/>
  <c r="Q888" i="24"/>
  <c r="P888" i="24" s="1"/>
  <c r="Q884" i="24"/>
  <c r="P884" i="24" s="1"/>
  <c r="Q880" i="24"/>
  <c r="P880" i="24" s="1"/>
  <c r="Q876" i="24"/>
  <c r="P876" i="24" s="1"/>
  <c r="Q872" i="24"/>
  <c r="P872" i="24" s="1"/>
  <c r="Q868" i="24"/>
  <c r="P868" i="24" s="1"/>
  <c r="Q864" i="24"/>
  <c r="P864" i="24" s="1"/>
  <c r="Q860" i="24"/>
  <c r="P860" i="24" s="1"/>
  <c r="Q856" i="24"/>
  <c r="P856" i="24" s="1"/>
  <c r="Q852" i="24"/>
  <c r="P852" i="24" s="1"/>
  <c r="Q848" i="24"/>
  <c r="P848" i="24" s="1"/>
  <c r="Q844" i="24"/>
  <c r="P844" i="24" s="1"/>
  <c r="Q840" i="24"/>
  <c r="P840" i="24" s="1"/>
  <c r="Q836" i="24"/>
  <c r="P836" i="24" s="1"/>
  <c r="Q832" i="24"/>
  <c r="P832" i="24" s="1"/>
  <c r="Q828" i="24"/>
  <c r="P828" i="24" s="1"/>
  <c r="Q824" i="24"/>
  <c r="P824" i="24" s="1"/>
  <c r="Q820" i="24"/>
  <c r="P820" i="24" s="1"/>
  <c r="Q816" i="24"/>
  <c r="P816" i="24" s="1"/>
  <c r="Q812" i="24"/>
  <c r="P812" i="24" s="1"/>
  <c r="Q808" i="24"/>
  <c r="P808" i="24" s="1"/>
  <c r="Q804" i="24"/>
  <c r="P804" i="24" s="1"/>
  <c r="Q800" i="24"/>
  <c r="P800" i="24" s="1"/>
  <c r="Q796" i="24"/>
  <c r="P796" i="24" s="1"/>
  <c r="Q792" i="24"/>
  <c r="P792" i="24" s="1"/>
  <c r="Q788" i="24"/>
  <c r="P788" i="24" s="1"/>
  <c r="Q784" i="24"/>
  <c r="P784" i="24" s="1"/>
  <c r="Q780" i="24"/>
  <c r="P780" i="24" s="1"/>
  <c r="Q776" i="24"/>
  <c r="P776" i="24" s="1"/>
  <c r="Q772" i="24"/>
  <c r="P772" i="24" s="1"/>
  <c r="Q768" i="24"/>
  <c r="P768" i="24" s="1"/>
  <c r="Q764" i="24"/>
  <c r="P764" i="24" s="1"/>
  <c r="Q760" i="24"/>
  <c r="P760" i="24" s="1"/>
  <c r="Q756" i="24"/>
  <c r="P756" i="24" s="1"/>
  <c r="Q752" i="24"/>
  <c r="P752" i="24" s="1"/>
  <c r="Q748" i="24"/>
  <c r="P748" i="24" s="1"/>
  <c r="Q744" i="24"/>
  <c r="P744" i="24" s="1"/>
  <c r="Q740" i="24"/>
  <c r="P740" i="24" s="1"/>
  <c r="Q736" i="24"/>
  <c r="P736" i="24" s="1"/>
  <c r="Q732" i="24"/>
  <c r="P732" i="24" s="1"/>
  <c r="Q728" i="24"/>
  <c r="P728" i="24" s="1"/>
  <c r="Q724" i="24"/>
  <c r="P724" i="24" s="1"/>
  <c r="Q720" i="24"/>
  <c r="P720" i="24" s="1"/>
  <c r="Q716" i="24"/>
  <c r="P716" i="24" s="1"/>
  <c r="Q712" i="24"/>
  <c r="P712" i="24" s="1"/>
  <c r="Q708" i="24"/>
  <c r="P708" i="24" s="1"/>
  <c r="Q704" i="24"/>
  <c r="P704" i="24" s="1"/>
  <c r="Q700" i="24"/>
  <c r="P700" i="24" s="1"/>
  <c r="Q696" i="24"/>
  <c r="P696" i="24" s="1"/>
  <c r="Q692" i="24"/>
  <c r="P692" i="24" s="1"/>
  <c r="Q688" i="24"/>
  <c r="P688" i="24" s="1"/>
  <c r="Q684" i="24"/>
  <c r="P684" i="24" s="1"/>
  <c r="Q680" i="24"/>
  <c r="P680" i="24" s="1"/>
  <c r="Q676" i="24"/>
  <c r="P676" i="24" s="1"/>
  <c r="Q672" i="24"/>
  <c r="P672" i="24" s="1"/>
  <c r="Q668" i="24"/>
  <c r="P668" i="24" s="1"/>
  <c r="Q664" i="24"/>
  <c r="P664" i="24" s="1"/>
  <c r="Q660" i="24"/>
  <c r="P660" i="24" s="1"/>
  <c r="Q656" i="24"/>
  <c r="P656" i="24" s="1"/>
  <c r="Q652" i="24"/>
  <c r="P652" i="24" s="1"/>
  <c r="Q648" i="24"/>
  <c r="P648" i="24" s="1"/>
  <c r="Q644" i="24"/>
  <c r="P644" i="24" s="1"/>
  <c r="Q640" i="24"/>
  <c r="P640" i="24" s="1"/>
  <c r="Q636" i="24"/>
  <c r="P636" i="24" s="1"/>
  <c r="Q632" i="24"/>
  <c r="P632" i="24" s="1"/>
  <c r="Q628" i="24"/>
  <c r="P628" i="24" s="1"/>
  <c r="Q624" i="24"/>
  <c r="P624" i="24" s="1"/>
  <c r="Q620" i="24"/>
  <c r="P620" i="24" s="1"/>
  <c r="Q616" i="24"/>
  <c r="P616" i="24" s="1"/>
  <c r="Q612" i="24"/>
  <c r="P612" i="24" s="1"/>
  <c r="Q608" i="24"/>
  <c r="P608" i="24" s="1"/>
  <c r="Q604" i="24"/>
  <c r="P604" i="24" s="1"/>
  <c r="Q600" i="24"/>
  <c r="P600" i="24" s="1"/>
  <c r="Q596" i="24"/>
  <c r="P596" i="24" s="1"/>
  <c r="Q592" i="24"/>
  <c r="P592" i="24" s="1"/>
  <c r="Q588" i="24"/>
  <c r="P588" i="24" s="1"/>
  <c r="Q584" i="24"/>
  <c r="P584" i="24" s="1"/>
  <c r="Q580" i="24"/>
  <c r="P580" i="24" s="1"/>
  <c r="Q576" i="24"/>
  <c r="P576" i="24" s="1"/>
  <c r="Q572" i="24"/>
  <c r="P572" i="24" s="1"/>
  <c r="Q568" i="24"/>
  <c r="P568" i="24" s="1"/>
  <c r="Q564" i="24"/>
  <c r="P564" i="24" s="1"/>
  <c r="Q560" i="24"/>
  <c r="P560" i="24" s="1"/>
  <c r="Q556" i="24"/>
  <c r="P556" i="24" s="1"/>
  <c r="Q552" i="24"/>
  <c r="P552" i="24" s="1"/>
  <c r="Q548" i="24"/>
  <c r="P548" i="24" s="1"/>
  <c r="Q544" i="24"/>
  <c r="P544" i="24" s="1"/>
  <c r="Q540" i="24"/>
  <c r="P540" i="24" s="1"/>
  <c r="Q536" i="24"/>
  <c r="P536" i="24" s="1"/>
  <c r="Q532" i="24"/>
  <c r="P532" i="24" s="1"/>
  <c r="Q528" i="24"/>
  <c r="P528" i="24" s="1"/>
  <c r="Q524" i="24"/>
  <c r="P524" i="24" s="1"/>
  <c r="Q520" i="24"/>
  <c r="P520" i="24" s="1"/>
  <c r="Q516" i="24"/>
  <c r="P516" i="24" s="1"/>
  <c r="Q512" i="24"/>
  <c r="P512" i="24" s="1"/>
  <c r="Q508" i="24"/>
  <c r="P508" i="24" s="1"/>
  <c r="Q504" i="24"/>
  <c r="P504" i="24" s="1"/>
  <c r="Q500" i="24"/>
  <c r="P500" i="24" s="1"/>
  <c r="Q496" i="24"/>
  <c r="P496" i="24" s="1"/>
  <c r="Q492" i="24"/>
  <c r="P492" i="24" s="1"/>
  <c r="Q488" i="24"/>
  <c r="P488" i="24" s="1"/>
  <c r="Q484" i="24"/>
  <c r="P484" i="24" s="1"/>
  <c r="Q480" i="24"/>
  <c r="P480" i="24" s="1"/>
  <c r="Q476" i="24"/>
  <c r="P476" i="24" s="1"/>
  <c r="Q472" i="24"/>
  <c r="P472" i="24" s="1"/>
  <c r="Q468" i="24"/>
  <c r="P468" i="24" s="1"/>
  <c r="Q464" i="24"/>
  <c r="P464" i="24" s="1"/>
  <c r="Q460" i="24"/>
  <c r="P460" i="24" s="1"/>
  <c r="Q456" i="24"/>
  <c r="P456" i="24" s="1"/>
  <c r="Q452" i="24"/>
  <c r="P452" i="24" s="1"/>
  <c r="Q448" i="24"/>
  <c r="P448" i="24" s="1"/>
  <c r="Q444" i="24"/>
  <c r="P444" i="24" s="1"/>
  <c r="Q440" i="24"/>
  <c r="P440" i="24" s="1"/>
  <c r="Q436" i="24"/>
  <c r="P436" i="24" s="1"/>
  <c r="Q432" i="24"/>
  <c r="P432" i="24" s="1"/>
  <c r="Q428" i="24"/>
  <c r="P428" i="24" s="1"/>
  <c r="Q424" i="24"/>
  <c r="P424" i="24" s="1"/>
  <c r="Q420" i="24"/>
  <c r="P420" i="24" s="1"/>
  <c r="Q416" i="24"/>
  <c r="P416" i="24" s="1"/>
  <c r="Q412" i="24"/>
  <c r="P412" i="24" s="1"/>
  <c r="Q408" i="24"/>
  <c r="P408" i="24" s="1"/>
  <c r="Q404" i="24"/>
  <c r="P404" i="24" s="1"/>
  <c r="Q400" i="24"/>
  <c r="P400" i="24" s="1"/>
  <c r="Q396" i="24"/>
  <c r="P396" i="24" s="1"/>
  <c r="Q392" i="24"/>
  <c r="P392" i="24" s="1"/>
  <c r="Q388" i="24"/>
  <c r="P388" i="24" s="1"/>
  <c r="Q384" i="24"/>
  <c r="P384" i="24" s="1"/>
  <c r="Q380" i="24"/>
  <c r="P380" i="24" s="1"/>
  <c r="Q376" i="24"/>
  <c r="P376" i="24" s="1"/>
  <c r="Q372" i="24"/>
  <c r="P372" i="24" s="1"/>
  <c r="Q368" i="24"/>
  <c r="P368" i="24" s="1"/>
  <c r="Q364" i="24"/>
  <c r="P364" i="24" s="1"/>
  <c r="Q360" i="24"/>
  <c r="P360" i="24" s="1"/>
  <c r="Q356" i="24"/>
  <c r="P356" i="24" s="1"/>
  <c r="Q352" i="24"/>
  <c r="P352" i="24" s="1"/>
  <c r="Q348" i="24"/>
  <c r="P348" i="24" s="1"/>
  <c r="Q344" i="24"/>
  <c r="P344" i="24" s="1"/>
  <c r="Q340" i="24"/>
  <c r="P340" i="24" s="1"/>
  <c r="Q336" i="24"/>
  <c r="P336" i="24" s="1"/>
  <c r="Q332" i="24"/>
  <c r="P332" i="24" s="1"/>
  <c r="Q328" i="24"/>
  <c r="P328" i="24" s="1"/>
  <c r="Q324" i="24"/>
  <c r="P324" i="24" s="1"/>
  <c r="Q320" i="24"/>
  <c r="P320" i="24" s="1"/>
  <c r="Q316" i="24"/>
  <c r="P316" i="24" s="1"/>
  <c r="Q312" i="24"/>
  <c r="P312" i="24" s="1"/>
  <c r="Q308" i="24"/>
  <c r="P308" i="24" s="1"/>
  <c r="Q304" i="24"/>
  <c r="P304" i="24" s="1"/>
  <c r="Q300" i="24"/>
  <c r="P300" i="24" s="1"/>
  <c r="Q296" i="24"/>
  <c r="P296" i="24" s="1"/>
  <c r="Q292" i="24"/>
  <c r="P292" i="24" s="1"/>
  <c r="Q288" i="24"/>
  <c r="P288" i="24" s="1"/>
  <c r="Q284" i="24"/>
  <c r="P284" i="24" s="1"/>
  <c r="Q280" i="24"/>
  <c r="P280" i="24" s="1"/>
  <c r="Q276" i="24"/>
  <c r="P276" i="24" s="1"/>
  <c r="Q272" i="24"/>
  <c r="P272" i="24" s="1"/>
  <c r="Q268" i="24"/>
  <c r="P268" i="24" s="1"/>
  <c r="Q264" i="24"/>
  <c r="P264" i="24" s="1"/>
  <c r="Q260" i="24"/>
  <c r="P260" i="24" s="1"/>
  <c r="Q256" i="24"/>
  <c r="P256" i="24" s="1"/>
  <c r="Q252" i="24"/>
  <c r="P252" i="24" s="1"/>
  <c r="Q248" i="24"/>
  <c r="P248" i="24" s="1"/>
  <c r="Q244" i="24"/>
  <c r="P244" i="24" s="1"/>
  <c r="Q240" i="24"/>
  <c r="P240" i="24" s="1"/>
  <c r="Q236" i="24"/>
  <c r="P236" i="24" s="1"/>
  <c r="Q232" i="24"/>
  <c r="P232" i="24" s="1"/>
  <c r="Q228" i="24"/>
  <c r="P228" i="24" s="1"/>
  <c r="Q224" i="24"/>
  <c r="P224" i="24" s="1"/>
  <c r="Q220" i="24"/>
  <c r="P220" i="24" s="1"/>
  <c r="Q216" i="24"/>
  <c r="P216" i="24" s="1"/>
  <c r="Q212" i="24"/>
  <c r="P212" i="24" s="1"/>
  <c r="Q208" i="24"/>
  <c r="P208" i="24" s="1"/>
  <c r="Q204" i="24"/>
  <c r="P204" i="24" s="1"/>
  <c r="Q200" i="24"/>
  <c r="P200" i="24" s="1"/>
  <c r="Q196" i="24"/>
  <c r="P196" i="24" s="1"/>
  <c r="Q192" i="24"/>
  <c r="P192" i="24" s="1"/>
  <c r="Q188" i="24"/>
  <c r="P188" i="24" s="1"/>
  <c r="Q184" i="24"/>
  <c r="P184" i="24" s="1"/>
  <c r="Q180" i="24"/>
  <c r="P180" i="24" s="1"/>
  <c r="Q176" i="24"/>
  <c r="P176" i="24" s="1"/>
  <c r="Q172" i="24"/>
  <c r="P172" i="24" s="1"/>
  <c r="Q168" i="24"/>
  <c r="P168" i="24" s="1"/>
  <c r="Q164" i="24"/>
  <c r="P164" i="24" s="1"/>
  <c r="Q160" i="24"/>
  <c r="P160" i="24" s="1"/>
  <c r="Q156" i="24"/>
  <c r="P156" i="24" s="1"/>
  <c r="Q152" i="24"/>
  <c r="P152" i="24" s="1"/>
  <c r="Q148" i="24"/>
  <c r="P148" i="24" s="1"/>
  <c r="Q144" i="24"/>
  <c r="P144" i="24" s="1"/>
  <c r="Q140" i="24"/>
  <c r="P140" i="24" s="1"/>
  <c r="Q136" i="24"/>
  <c r="P136" i="24" s="1"/>
  <c r="Q132" i="24"/>
  <c r="P132" i="24" s="1"/>
  <c r="Q128" i="24"/>
  <c r="P128" i="24" s="1"/>
  <c r="Q124" i="24"/>
  <c r="P124" i="24" s="1"/>
  <c r="Q120" i="24"/>
  <c r="P120" i="24" s="1"/>
  <c r="Q116" i="24"/>
  <c r="P116" i="24" s="1"/>
  <c r="Q112" i="24"/>
  <c r="P112" i="24" s="1"/>
  <c r="Q108" i="24"/>
  <c r="P108" i="24" s="1"/>
  <c r="Q104" i="24"/>
  <c r="P104" i="24" s="1"/>
  <c r="Q100" i="24"/>
  <c r="P100" i="24" s="1"/>
  <c r="Q96" i="24"/>
  <c r="P96" i="24" s="1"/>
  <c r="Q92" i="24"/>
  <c r="P92" i="24" s="1"/>
  <c r="Q88" i="24"/>
  <c r="P88" i="24" s="1"/>
  <c r="Q84" i="24"/>
  <c r="P84" i="24" s="1"/>
  <c r="Q80" i="24"/>
  <c r="P80" i="24" s="1"/>
  <c r="Q76" i="24"/>
  <c r="P76" i="24" s="1"/>
  <c r="Q72" i="24"/>
  <c r="P72" i="24" s="1"/>
  <c r="Q68" i="24"/>
  <c r="P68" i="24" s="1"/>
  <c r="Q64" i="24"/>
  <c r="P64" i="24" s="1"/>
  <c r="Q60" i="24"/>
  <c r="P60" i="24" s="1"/>
  <c r="Q56" i="24"/>
  <c r="P56" i="24" s="1"/>
  <c r="Q52" i="24"/>
  <c r="P52" i="24" s="1"/>
  <c r="Q48" i="24"/>
  <c r="P48" i="24" s="1"/>
  <c r="Q44" i="24"/>
  <c r="P44" i="24" s="1"/>
  <c r="Q40" i="24"/>
  <c r="P40" i="24" s="1"/>
  <c r="Q36" i="24"/>
  <c r="P36" i="24" s="1"/>
  <c r="Q32" i="24"/>
  <c r="P32" i="24" s="1"/>
  <c r="Q28" i="24"/>
  <c r="P28" i="24" s="1"/>
  <c r="Q24" i="24"/>
  <c r="P24" i="24" s="1"/>
  <c r="Q20" i="24"/>
  <c r="P20" i="24" s="1"/>
  <c r="Q16" i="24"/>
  <c r="P16" i="24" s="1"/>
  <c r="Q12" i="24"/>
  <c r="P12" i="24" s="1"/>
  <c r="Q8" i="24"/>
  <c r="P8" i="24" s="1"/>
  <c r="Q4" i="24"/>
  <c r="P4" i="24" s="1"/>
  <c r="N6" i="32" l="1"/>
  <c r="M9" i="32"/>
  <c r="M8" i="32"/>
  <c r="M7" i="32"/>
  <c r="N9" i="32" l="1"/>
  <c r="N8" i="32"/>
  <c r="N7" i="32"/>
  <c r="O6" i="32"/>
  <c r="O9" i="32" l="1"/>
  <c r="O8" i="32"/>
  <c r="P6" i="32"/>
  <c r="O7" i="32"/>
  <c r="P9" i="32" l="1"/>
  <c r="P8" i="32"/>
  <c r="P7" i="32"/>
  <c r="Q6" i="32"/>
  <c r="Q9" i="32" l="1"/>
  <c r="Q8" i="32"/>
  <c r="R6" i="32"/>
  <c r="Q7" i="32"/>
  <c r="R8" i="32" l="1"/>
  <c r="R9" i="32"/>
  <c r="S6" i="32"/>
  <c r="R7" i="32"/>
  <c r="S9" i="32" l="1"/>
  <c r="S8" i="32"/>
  <c r="T6" i="32"/>
  <c r="S7" i="32"/>
  <c r="T9" i="32" l="1"/>
  <c r="T8" i="32"/>
  <c r="U6" i="32"/>
  <c r="T7" i="32"/>
  <c r="U9" i="32" l="1"/>
  <c r="U8" i="32"/>
  <c r="V6" i="32"/>
  <c r="U7" i="32"/>
  <c r="V9" i="32" l="1"/>
  <c r="V8" i="32"/>
  <c r="W6" i="32"/>
  <c r="V7" i="32"/>
  <c r="W9" i="32" l="1"/>
  <c r="W8" i="32"/>
  <c r="X6" i="32"/>
  <c r="W7" i="32"/>
  <c r="X9" i="32" l="1"/>
  <c r="X8" i="32"/>
  <c r="Y6" i="32"/>
  <c r="X7" i="32"/>
  <c r="Y9" i="32" l="1"/>
  <c r="Y8" i="32"/>
  <c r="Y7" i="32"/>
  <c r="Z6" i="32"/>
  <c r="Z8" i="32" l="1"/>
  <c r="Z9" i="32"/>
  <c r="AA6" i="32"/>
  <c r="Z7" i="32"/>
  <c r="AA9" i="32" l="1"/>
  <c r="AA8" i="32"/>
  <c r="AB6" i="32"/>
  <c r="AA7" i="32"/>
  <c r="AB9" i="32" l="1"/>
  <c r="AB8" i="32"/>
  <c r="AC6" i="32"/>
  <c r="AB7" i="32"/>
  <c r="AC9" i="32" l="1"/>
  <c r="AC8" i="32"/>
  <c r="AC7" i="3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<sst xmlns="http://schemas.openxmlformats.org/spreadsheetml/2006/main" count="8546" uniqueCount="339">
  <si>
    <t>Risk ID</t>
  </si>
  <si>
    <t>Risk Title</t>
  </si>
  <si>
    <t>Risk Description</t>
  </si>
  <si>
    <t>Risk Category</t>
  </si>
  <si>
    <t>Moderate</t>
  </si>
  <si>
    <t>Likely</t>
  </si>
  <si>
    <t>Unlikely</t>
  </si>
  <si>
    <t>Rare</t>
  </si>
  <si>
    <t>High</t>
  </si>
  <si>
    <t>Medium</t>
  </si>
  <si>
    <t>Low</t>
  </si>
  <si>
    <t>Risk Analysis</t>
  </si>
  <si>
    <t>Accept</t>
  </si>
  <si>
    <t>Risk Status</t>
  </si>
  <si>
    <t>Open</t>
  </si>
  <si>
    <t>Closed</t>
  </si>
  <si>
    <t>Risk Response Type</t>
  </si>
  <si>
    <t>Avoid</t>
  </si>
  <si>
    <t>Transfer</t>
  </si>
  <si>
    <t>Mitigate</t>
  </si>
  <si>
    <t>Risk Owner</t>
  </si>
  <si>
    <t>Existing measures and controls</t>
  </si>
  <si>
    <t>Residual Impact Level</t>
  </si>
  <si>
    <t>Residual Impact Rating</t>
  </si>
  <si>
    <t>Residual Likelihood Level</t>
  </si>
  <si>
    <t>Residual Likelihood Rating</t>
  </si>
  <si>
    <t>Risk Response</t>
  </si>
  <si>
    <t>Risk Due Date</t>
  </si>
  <si>
    <t>Overdue?</t>
  </si>
  <si>
    <t>Next Review Date</t>
  </si>
  <si>
    <t>Department</t>
  </si>
  <si>
    <t>New measures and controls</t>
  </si>
  <si>
    <t>Inherent Impact Rating</t>
  </si>
  <si>
    <t>Inherent Likelihood Level</t>
  </si>
  <si>
    <t>Inherent Likelihood Rating</t>
  </si>
  <si>
    <t>Residual Risk</t>
  </si>
  <si>
    <t>Risk Response Strategy</t>
  </si>
  <si>
    <t>Risk Identification</t>
  </si>
  <si>
    <t>Tracking</t>
  </si>
  <si>
    <t>Risks of unauthorized access, exposure, or theft of sensitive data, including personal information and IP.</t>
  </si>
  <si>
    <t>Risks of infection from malicious software, including ransomware attacks that can lead to data encryption and financial demands.</t>
  </si>
  <si>
    <t>Insider Threats</t>
  </si>
  <si>
    <t>Risks posed by employees or contractors with access to systems, whether from malicious intent, negligence, or accidental data loss.</t>
  </si>
  <si>
    <t>Risks associated with the security practices of third-party service providers, vendors, and supply chain partners.</t>
  </si>
  <si>
    <t>Risks from deception techniques aimed at manipulating individuals into divulging sensitive information or granting unauthorized access.</t>
  </si>
  <si>
    <t>Risks of unauthorized access due to poor identity and access management practices, including compromised credentials.</t>
  </si>
  <si>
    <t>Risks of non-compliance with cybersecurity laws, standards, or regulations that could lead to fines, sanctions, or reputational damage.</t>
  </si>
  <si>
    <t>Operational Disruption</t>
  </si>
  <si>
    <t>Risks related to disruptions in business operations due to cyber incidents, such as DDoS attacks or IT system failures.</t>
  </si>
  <si>
    <t>Risks of inadequate or delayed response to cyber incidents, worsening impact, extending recovery times, and increasing costs.</t>
  </si>
  <si>
    <t xml:space="preserve">Supply Chain </t>
  </si>
  <si>
    <t>Risks related to weaknesses in various systems, network infrastructure, software, or hardware that could be exploited by attackers.</t>
  </si>
  <si>
    <t>Ransomware</t>
  </si>
  <si>
    <t>Data breach</t>
  </si>
  <si>
    <t>System Vulnerabilities</t>
  </si>
  <si>
    <t>Identity and Access</t>
  </si>
  <si>
    <t>Non-compliance</t>
  </si>
  <si>
    <t>Social Engineering</t>
  </si>
  <si>
    <t>Response and Recovery</t>
  </si>
  <si>
    <t>Category description</t>
  </si>
  <si>
    <t>Note: The categories above are illustrative and were created using ChatGPT and Perplexity.AI. Please adjust them to fit your organization's needs.</t>
  </si>
  <si>
    <t>Human Resources (HR)</t>
  </si>
  <si>
    <t>Finance</t>
  </si>
  <si>
    <t>Marketing</t>
  </si>
  <si>
    <t>Sales</t>
  </si>
  <si>
    <t>Information Technology (IT)</t>
  </si>
  <si>
    <t>Operations</t>
  </si>
  <si>
    <t>Research and Development (R&amp;D)</t>
  </si>
  <si>
    <t>Customer Service</t>
  </si>
  <si>
    <t>Legal</t>
  </si>
  <si>
    <t>Procurement</t>
  </si>
  <si>
    <t>Internal Audit</t>
  </si>
  <si>
    <t>Compliance</t>
  </si>
  <si>
    <t>Risk Management</t>
  </si>
  <si>
    <t>Product Development</t>
  </si>
  <si>
    <t>-- select department --</t>
  </si>
  <si>
    <t>-- Select Department --</t>
  </si>
  <si>
    <t>-- Select Risk Category --</t>
  </si>
  <si>
    <t>Description</t>
  </si>
  <si>
    <t>-- Select Likelihood --</t>
  </si>
  <si>
    <t>Highly Likely</t>
  </si>
  <si>
    <t>Risks in this category are almost certain to occur, with a likelihood of 91 percent or more.</t>
  </si>
  <si>
    <t>Likely risks have a 61-90 percent chance of occurring. They require regular attention and a consistent strategy.</t>
  </si>
  <si>
    <t>Possible</t>
  </si>
  <si>
    <t>Possible risks have a 41-60 percent chance of occurring and may happen about half the time, needing attention.</t>
  </si>
  <si>
    <t>Unlikely risks have an 11-40 percent chance of occurring, and it’s wise to monitor them.</t>
  </si>
  <si>
    <t>These risks have a low probability of occurring, as the name suggests.</t>
  </si>
  <si>
    <t>Likelihood Level</t>
  </si>
  <si>
    <t>Likelihood Rating</t>
  </si>
  <si>
    <t>Impact Level</t>
  </si>
  <si>
    <t>Impact Rating</t>
  </si>
  <si>
    <t>Very Low</t>
  </si>
  <si>
    <t>Very High</t>
  </si>
  <si>
    <r>
      <rPr>
        <b/>
        <sz val="10"/>
        <color theme="1"/>
        <rFont val="Segoe UI"/>
        <family val="2"/>
      </rPr>
      <t xml:space="preserve">Negligible adverse effect </t>
    </r>
    <r>
      <rPr>
        <sz val="10"/>
        <color theme="1"/>
        <rFont val="Segoe UI"/>
        <family val="2"/>
      </rPr>
      <t>on organizational operations, organizational assets, individuals, other organizations, or the Nation.</t>
    </r>
  </si>
  <si>
    <r>
      <rPr>
        <b/>
        <sz val="10"/>
        <color theme="1"/>
        <rFont val="Segoe UI"/>
        <family val="2"/>
      </rPr>
      <t xml:space="preserve">Limited adverse </t>
    </r>
    <r>
      <rPr>
        <sz val="10"/>
        <color theme="1"/>
        <rFont val="Segoe UI"/>
        <family val="2"/>
      </rPr>
      <t>effect on organizational operations, organizational assets, individuals, other organizations, or the Nation. A limited adverse effect means that, for example, the threat event might: 
(i) cause a degradation in mission capability to an extent and duration that the organization is able to perform its primary functions, but the effectiveness of the functions is noticeably reduced; 
(ii) result in minor damage to organizational assets; 
(iii) result in minor financial loss; or 
(iv) result in minor harm to individuals.</t>
    </r>
  </si>
  <si>
    <r>
      <rPr>
        <b/>
        <sz val="10"/>
        <color theme="1"/>
        <rFont val="Segoe UI"/>
        <family val="2"/>
      </rPr>
      <t>Serious adverse effect</t>
    </r>
    <r>
      <rPr>
        <sz val="10"/>
        <color theme="1"/>
        <rFont val="Segoe UI"/>
        <family val="2"/>
      </rPr>
      <t xml:space="preserve"> on organizational operations, organizational assets, individuals, other organizations, or the Nation. A serious adverse effect means that, for example, the threat event might: 
(i) cause a significant degradation in mission capability to an extent and duration that the organization is able to perform its primary functions, but the effectiveness of the functions is significantly reduced; 
(ii) result in significant damage to organizational assets; 
(iii) result in significant financial loss; or 
(iv) result in significant harm to individuals that does not involve loss of life or serious life-threatening injuries.</t>
    </r>
  </si>
  <si>
    <r>
      <rPr>
        <b/>
        <sz val="10"/>
        <color theme="1"/>
        <rFont val="Segoe UI"/>
        <family val="2"/>
      </rPr>
      <t>Severe or catastrophic adverse effect</t>
    </r>
    <r>
      <rPr>
        <sz val="10"/>
        <color theme="1"/>
        <rFont val="Segoe UI"/>
        <family val="2"/>
      </rPr>
      <t xml:space="preserve"> on organizational operations, organizational assets, individuals, other organizations, or the Nation. A severe or catastrophic adverse effect means that, for example, the threat event might: 
(i) cause a severe degradation in or loss of mission capability to an extent and duration that the organization is not able to perform one or more of its primary functions; 
(ii) result in major damage to organizational assets; 
(iii) result in major financial loss; or 
(iv) result in severe or catastrophic harm to individuals involving loss of life or serious life-threatening injuries.</t>
    </r>
  </si>
  <si>
    <r>
      <rPr>
        <b/>
        <sz val="10"/>
        <color theme="1"/>
        <rFont val="Segoe UI"/>
        <family val="2"/>
      </rPr>
      <t>Multiple severe or catastrophic adverse effects</t>
    </r>
    <r>
      <rPr>
        <sz val="10"/>
        <color theme="1"/>
        <rFont val="Segoe UI"/>
        <family val="2"/>
      </rPr>
      <t xml:space="preserve"> on organizational operations, organizational assets, individuals, other organizations, or the Nation.</t>
    </r>
  </si>
  <si>
    <t>-- Select Risk Response --</t>
  </si>
  <si>
    <t>-- Select Impact --</t>
  </si>
  <si>
    <t>-- Select Risk Status --</t>
  </si>
  <si>
    <t>Status comments</t>
  </si>
  <si>
    <t>Inherent Risk Level</t>
  </si>
  <si>
    <t>Risk Rating</t>
  </si>
  <si>
    <t>Risk Level</t>
  </si>
  <si>
    <t>--- Error ---</t>
  </si>
  <si>
    <t>Inherent Risk Rating</t>
  </si>
  <si>
    <t>Residual Risk Level</t>
  </si>
  <si>
    <t>Residual Risk Rating</t>
  </si>
  <si>
    <t>IMPACT</t>
  </si>
  <si>
    <t>LIKELIHOOD</t>
  </si>
  <si>
    <t>sec1</t>
  </si>
  <si>
    <t>sec2</t>
  </si>
  <si>
    <t>sec3</t>
  </si>
  <si>
    <t>sec4</t>
  </si>
  <si>
    <t>sec5</t>
  </si>
  <si>
    <t>sec6</t>
  </si>
  <si>
    <t>sec7</t>
  </si>
  <si>
    <t>sec8</t>
  </si>
  <si>
    <t>sec9</t>
  </si>
  <si>
    <t>sec10</t>
  </si>
  <si>
    <t>sec11</t>
  </si>
  <si>
    <t>sec12</t>
  </si>
  <si>
    <t>sec13</t>
  </si>
  <si>
    <t>sec14</t>
  </si>
  <si>
    <t>sec15</t>
  </si>
  <si>
    <t>sec16</t>
  </si>
  <si>
    <t>sec17</t>
  </si>
  <si>
    <t>sec18</t>
  </si>
  <si>
    <t>sec19</t>
  </si>
  <si>
    <t>sec20</t>
  </si>
  <si>
    <t>Risk Close Date</t>
  </si>
  <si>
    <t>In Progress</t>
  </si>
  <si>
    <t>Due Month</t>
  </si>
  <si>
    <t>Calculations for Pivots</t>
  </si>
  <si>
    <t>Residual-I-L-Combo</t>
  </si>
  <si>
    <t>Current Risk Level</t>
  </si>
  <si>
    <t>Mitigated?</t>
  </si>
  <si>
    <t>Task ID</t>
  </si>
  <si>
    <t>Task Title</t>
  </si>
  <si>
    <t>Task Description</t>
  </si>
  <si>
    <t>Assignee</t>
  </si>
  <si>
    <t>Due Date</t>
  </si>
  <si>
    <t>Comments</t>
  </si>
  <si>
    <t>Related Risks</t>
  </si>
  <si>
    <t>Status</t>
  </si>
  <si>
    <t>Due Year</t>
  </si>
  <si>
    <t>Risk-ID-Title-Combo</t>
  </si>
  <si>
    <t>Created Date</t>
  </si>
  <si>
    <t>On Hold</t>
  </si>
  <si>
    <t>Not Started</t>
  </si>
  <si>
    <t>Gantt start</t>
  </si>
  <si>
    <t>Interval (months)</t>
  </si>
  <si>
    <t>Risks</t>
  </si>
  <si>
    <t>Start</t>
  </si>
  <si>
    <t>Due</t>
  </si>
  <si>
    <t>Risk 1</t>
  </si>
  <si>
    <t>Risk 2</t>
  </si>
  <si>
    <t>Risk 3</t>
  </si>
  <si>
    <t>Risk 4</t>
  </si>
  <si>
    <t>1 - Risk 1</t>
  </si>
  <si>
    <t>2 - Risk 2</t>
  </si>
  <si>
    <t>3 - Risk 3</t>
  </si>
  <si>
    <t>4 - Risk 4</t>
  </si>
  <si>
    <t>Risk 5</t>
  </si>
  <si>
    <t>Risk 6</t>
  </si>
  <si>
    <t>Risk 7</t>
  </si>
  <si>
    <t>Risk 8</t>
  </si>
  <si>
    <t>Risk 9</t>
  </si>
  <si>
    <t>Risk 10</t>
  </si>
  <si>
    <t>Risk 11</t>
  </si>
  <si>
    <t>Risk 12</t>
  </si>
  <si>
    <t>Risk 13</t>
  </si>
  <si>
    <t>Risk 14</t>
  </si>
  <si>
    <t>Risk 15</t>
  </si>
  <si>
    <t>Risk 16</t>
  </si>
  <si>
    <t>Risk 17</t>
  </si>
  <si>
    <t>Risk 18</t>
  </si>
  <si>
    <t>Risk 19</t>
  </si>
  <si>
    <t>Risk 20</t>
  </si>
  <si>
    <t>Task Status</t>
  </si>
  <si>
    <t>-- Select Task Status --</t>
  </si>
  <si>
    <t>ASSET INVENTORY</t>
  </si>
  <si>
    <t>Asset ID</t>
  </si>
  <si>
    <t>Asset Name</t>
  </si>
  <si>
    <t>Asset Owner</t>
  </si>
  <si>
    <t>Asset classification</t>
  </si>
  <si>
    <t xml:space="preserve">Website </t>
  </si>
  <si>
    <t>Donor Information</t>
  </si>
  <si>
    <t>Volunteer records</t>
  </si>
  <si>
    <t>Beneficiary data</t>
  </si>
  <si>
    <t>Safe guarding records</t>
  </si>
  <si>
    <t>Social media accounts</t>
  </si>
  <si>
    <t>Financial records</t>
  </si>
  <si>
    <t>Email system</t>
  </si>
  <si>
    <t>Microsoft 365/ Google workspace</t>
  </si>
  <si>
    <t>Staff laptops</t>
  </si>
  <si>
    <t>Mobile Phones</t>
  </si>
  <si>
    <t>Office Building</t>
  </si>
  <si>
    <t>Backup data</t>
  </si>
  <si>
    <t>Online Donation Platform</t>
  </si>
  <si>
    <t>Public</t>
  </si>
  <si>
    <t>Confidential</t>
  </si>
  <si>
    <t>Highly confidential</t>
  </si>
  <si>
    <t>Highly Confidential</t>
  </si>
  <si>
    <t>Internal</t>
  </si>
  <si>
    <t>A001</t>
  </si>
  <si>
    <t>A002</t>
  </si>
  <si>
    <t>A003</t>
  </si>
  <si>
    <t>A004</t>
  </si>
  <si>
    <t>A005</t>
  </si>
  <si>
    <t>A006</t>
  </si>
  <si>
    <t>A007</t>
  </si>
  <si>
    <t>A008</t>
  </si>
  <si>
    <t>A009</t>
  </si>
  <si>
    <t>A010</t>
  </si>
  <si>
    <t>A011</t>
  </si>
  <si>
    <t>A012</t>
  </si>
  <si>
    <t>A013</t>
  </si>
  <si>
    <t>A014</t>
  </si>
  <si>
    <t>IT Manager</t>
  </si>
  <si>
    <t>Fundraising Manager</t>
  </si>
  <si>
    <t>Volunteer Coordinator</t>
  </si>
  <si>
    <t>Safeguard Lead</t>
  </si>
  <si>
    <t>Safeguard lead</t>
  </si>
  <si>
    <t>Finance Manager</t>
  </si>
  <si>
    <t>Facilities Manager</t>
  </si>
  <si>
    <t>A015</t>
  </si>
  <si>
    <t>Policies and Procedures</t>
  </si>
  <si>
    <t>Board of Trustees</t>
  </si>
  <si>
    <t xml:space="preserve">Asset </t>
  </si>
  <si>
    <t>Threat</t>
  </si>
  <si>
    <t>Vulnerability</t>
  </si>
  <si>
    <t>Website (Web Application)</t>
  </si>
  <si>
    <t>Likelihood</t>
  </si>
  <si>
    <t>Imapct</t>
  </si>
  <si>
    <t>Risk score</t>
  </si>
  <si>
    <t>Third -Party server/ Hosting
 provider</t>
  </si>
  <si>
    <t>Beneficiary Data</t>
  </si>
  <si>
    <t>Safeguarding Records</t>
  </si>
  <si>
    <t>Staff laptops/Mobile devices</t>
  </si>
  <si>
    <t>Financial Records</t>
  </si>
  <si>
    <t>Social Media Account</t>
  </si>
  <si>
    <t>Policices and Procedures</t>
  </si>
  <si>
    <t>Backup Data</t>
  </si>
  <si>
    <t>A016</t>
  </si>
  <si>
    <t>Third party Server/Hosting Provider</t>
  </si>
  <si>
    <t>Data Protection Officer/ Safeguarding Lead</t>
  </si>
  <si>
    <t>Severe</t>
  </si>
  <si>
    <t>Certain</t>
  </si>
  <si>
    <t>Data Center disasters or host level cyberattacks</t>
  </si>
  <si>
    <t>Total reliance on Third party without 
independent backups</t>
  </si>
  <si>
    <t>Email System/ 
Microsoft 365/Google Workspace</t>
  </si>
  <si>
    <t>Fraud, Human error, Cyber attack</t>
  </si>
  <si>
    <t>Financial records are alreted, lost or misused</t>
  </si>
  <si>
    <t>Social media accounts are compromised
Risk of reputational damage through 
offensive hacker post</t>
  </si>
  <si>
    <t>Accidental file deletion or hardrive failure, 
Regulatory changes, poor review process</t>
  </si>
  <si>
    <t>Data loss due to backup failure, 
Backup data is unavailable during an incident</t>
  </si>
  <si>
    <t>Volunteer personal details being stolen or lost</t>
  </si>
  <si>
    <t>Donation platform is compromised or 
unavailable, funds are diverted</t>
  </si>
  <si>
    <t>cyber attack,system failure,  cyber criminals
hijacking payment links</t>
  </si>
  <si>
    <t>IT Admin</t>
  </si>
  <si>
    <t>Volunteer cordinator</t>
  </si>
  <si>
    <t>Safeguarding lead</t>
  </si>
  <si>
    <t>Fundraising director</t>
  </si>
  <si>
    <t>Fianance Director</t>
  </si>
  <si>
    <t>Financial Director</t>
  </si>
  <si>
    <t>Operations Manager</t>
  </si>
  <si>
    <t>Heat</t>
  </si>
  <si>
    <t>Risk Evaluation</t>
  </si>
  <si>
    <t>Data Loss due to provider outages or system 
failure, website downtime</t>
  </si>
  <si>
    <t>Using a well known reliable
 Hosting provider</t>
  </si>
  <si>
    <t>Stored in a spreadsheet on the
 office Laptop</t>
  </si>
  <si>
    <t>Files saved on the Finance 
Director's Laptop</t>
  </si>
  <si>
    <t>Normal door locks on the front 
entrance</t>
  </si>
  <si>
    <t>Staff uses their own security lock 
Antivirus installed in Laptops/Mobile devices</t>
  </si>
  <si>
    <t>Turn on notifications for unrecognised login attempts</t>
  </si>
  <si>
    <t>Third Party processor is used so the charity never handles raw card data, session timeout after 15mins</t>
  </si>
  <si>
    <t>Backups run automatically to an 
attached hard drive</t>
  </si>
  <si>
    <t>stored digitally in Cloud account,
Restricted access ( stritctly to frontline staff)</t>
  </si>
  <si>
    <t>Physical Files kept in a file cabinet 
Digital Files kept in a shared 
folder</t>
  </si>
  <si>
    <t>Basic spam and phishing filter is 
enabled by the charity's provider</t>
  </si>
  <si>
    <t>Staff and relevant parties have
 physical  copies on their desktops</t>
  </si>
  <si>
    <t>Risk Treatment Plan</t>
  </si>
  <si>
    <t>RISK TREATMENT PLAN</t>
  </si>
  <si>
    <t>low</t>
  </si>
  <si>
    <t>very high</t>
  </si>
  <si>
    <t>Secure storage of Donor's Information, Access control</t>
  </si>
  <si>
    <t>outdated software, weak passwords (default administrative password), Exposed session token, insecure login pages (HTTP)</t>
  </si>
  <si>
    <t>Session Hijacking by Hackers (XSS), SQL injection (hackers Manipulate input fields to insert malicious commands)</t>
  </si>
  <si>
    <t>Hackers Changing website content, breaking donation forms or stealing  or destroying sensitive data</t>
  </si>
  <si>
    <t>Strong Admin passwords
All Data in Transit is encrypted (Full HTTPS Coverage)</t>
  </si>
  <si>
    <t>Require MFA for all useraccounts and 
adminstrative panels,
Deploy a Web Application Firewall ( Block attacks like SQL injection and cross site scripting), parameterised queries completely blocking sql injection</t>
  </si>
  <si>
    <t>Inadequate access control, Data Stored in
 unsecured files, Inadequate staff awareness/training,  Lack of data retention policy</t>
  </si>
  <si>
    <t>Unauthorised access to  Sensitive Data,
Life threatening breaches, Legal penalties, Reputational damage,</t>
  </si>
  <si>
    <t>Cyber attack, Inside Misuse of 
personal information,</t>
  </si>
  <si>
    <t>Encrypt sensitive data,
 conduct regualar access reviews
Provide data protection training
Implement strigent access control</t>
  </si>
  <si>
    <t>Inherent Impact LevelL3:L1020D1007L3:L1019</t>
  </si>
  <si>
    <t>Hackers targeting personal information, 
social enginerring, Ransomeware attacks,</t>
  </si>
  <si>
    <t>Weak access controls, Unable to spot phishing 
emails(Lack of awareness), Unencrypted 
personal device, Poor offboarding procedure, 
Shared Staff Accounts</t>
  </si>
  <si>
    <t>Informations security Training &amp; Awareness, 
Set rules for remote working volunteer(encrypt Laptop Hard drive), 
enforce strong password and MFA, 
Proper offboarding of volunteer access to 
the CRM, encrypt database records.</t>
  </si>
  <si>
    <t>Cybercriminals targeting data, Third part breaches,
Phishing &amp; social engineering</t>
  </si>
  <si>
    <t>weak access controls, poor data handling,
misconfigoured clod storage, unpatched
software</t>
  </si>
  <si>
    <t>moderate</t>
  </si>
  <si>
    <t>high</t>
  </si>
  <si>
    <t>Implement Role Based Access Control (RBAC)
encrypt donor data, and provide GDPR awareness to Staffs, Third Party due deligence, clear data privacy clauses in vendor contracts, MFA. Firewalls and regular patching</t>
  </si>
  <si>
    <t>unauthorised access to donor personal information,  Reputational damage, regulatory fines, data breach</t>
  </si>
  <si>
    <t>Insider threats, Nosy staff or external hackers
 encrypting safeguarding serevers and also
 threaten to leak child protection details on 
dark web</t>
  </si>
  <si>
    <t>Keeping physical files unlocked and digital 
files in shared folders, week access control, lack of clear data sharing policy.</t>
  </si>
  <si>
    <t xml:space="preserve">Safeguarding information is 
accessed by unauthorised persons, data leak Reputational damage, Legal penality from (ICO), </t>
  </si>
  <si>
    <t>Restricted folder permission, External 
sharing disabled, mandatory MFA, , 
Apply principle of least priviledge</t>
  </si>
  <si>
    <t xml:space="preserve"> High</t>
  </si>
  <si>
    <t xml:space="preserve"> Very HIgh</t>
  </si>
  <si>
    <t>Weak security controls, Third party dependence, 
outdated website plugins</t>
  </si>
  <si>
    <t>Apply strict MFA, Run automated
 vulnerability scan and always apply 
patch were necessary</t>
  </si>
  <si>
    <t>Spear Phishing, credential theft, account take over (BEC)
or data exfiltration by hackers</t>
  </si>
  <si>
    <t>Weak Passwords, Lack of user awareness, 
Not enabling two step verification (MFA)
Missing domain authentication records (SPF, DKIM, DMARC)</t>
  </si>
  <si>
    <t>Stop domain spoofing, Restrict App consent, 
Bloack Hidden forwaring rules.</t>
  </si>
  <si>
    <t>Email accounts are compromised, accounts lockout loss of data within cloud systems,</t>
  </si>
  <si>
    <t xml:space="preserve">Loss of device or malware infection through email phishing could expose sensitive data, </t>
  </si>
  <si>
    <t>Theft, Malware, Malware &amp; Ransomware</t>
  </si>
  <si>
    <t>Lack of encryption and endpoint protection,
 No BitLocker/FileVault , Outdare operating
 system and aoo, lack of MDM, unregulated 
BYOD</t>
  </si>
  <si>
    <t>Vwer High</t>
  </si>
  <si>
    <t>Apply Patch Management sutomated 
weeklly, Hard frive should be encrypted 
via bit locker</t>
  </si>
  <si>
    <t>Lack or regualar accounting backups, 
weak financial controls, insecure spreadsheet ledger storage. Single Authorization payment workflow.</t>
  </si>
  <si>
    <t>segregation of duties, Implement Access 
control and Authentication</t>
  </si>
  <si>
    <t>Hackers hijacking account to post scam 
messages, brand Impersonation by cybercriminals. Attackers takeover the acount and lock the admin out</t>
  </si>
  <si>
    <t>Lack of MFA, reusing weak passwords across 
channels or sharing login info, unrestricted access rights.</t>
  </si>
  <si>
    <t>Monitor Account activity, 
Use strong unique password and use MFA, establish a clear policy on what staff can post. Access right withdrawn during offboarding</t>
  </si>
  <si>
    <t>Operational downtime, Policy  fail compliance requirements, Risk of regulatory penalty</t>
  </si>
  <si>
    <t>No backup in the cloud. Lack of scheduled 
policy review, outdated policy, lack of policy approval from Board of Trustees, Jargon or unclear written policies, policy missing version
control</t>
  </si>
  <si>
    <t>Board of trustees signs off policies annually
, policies should be updated against 
new threats, communicate policy to team
 and organise short training for staffs ,</t>
  </si>
  <si>
    <t xml:space="preserve">Ransomware,  Physical theft/disaster, 
insider threat, </t>
  </si>
  <si>
    <t>Lack of testing and backup monitoring, physical 
theft or diasaster, insufficient Backup retention
 policy, Lack of Encryption on backup files</t>
  </si>
  <si>
    <t>Automated backup validation and 
mandatory quartely test, 
Backup admin Login locked with 
separate MFA, Backup should be 
encrypted both at rest and in transit</t>
  </si>
  <si>
    <t>Physical theft, fire outbreak, flooding,  Taligating</t>
  </si>
  <si>
    <t>Risk of physical destruction of building, lost of paper work and Disruption to charity operations, unauthorised access</t>
  </si>
  <si>
    <t>Limited physical security controls,
 Lack of smoke alarms, lack of visiot tracking logs, clear desk policy failure</t>
  </si>
  <si>
    <t>implement Electronic badge entry and strict 
visitor policies, fire proof filing cabinets for 
paper records, automated offsite cloud
 backups, enforce clear desk and clear 
screen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</si>
</sst>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409]dd\-mmm\-yy;@"/>
    <numFmt numFmtId="166" formatCode=";;;"/>
    <numFmt numFmtId="167" formatCode="[$-409]d\-mmm\-yyyy;@"/>
  </numFmts>
  <fonts count="36" x14ac:knownFonts="1">
    <font>
      <sz val="11"/>
      <color theme="1"/>
      <name val="Calibri"/>
      <family val="2"/>
      <scheme val="minor"/>
    </font>
    <font>
      <sz val="11"/>
      <color theme="1"/>
      <name val="Segoe UI"/>
      <family val="2"/>
    </font>
    <font>
      <sz val="11"/>
      <color theme="1"/>
      <name val="Segoe UI"/>
      <family val="2"/>
    </font>
    <font>
      <b/>
      <sz val="11"/>
      <color theme="1"/>
      <name val="Calibri"/>
      <family val="2"/>
      <scheme val="minor"/>
    </font>
    <font>
      <sz val="12"/>
      <color theme="1"/>
      <name val="Calibri"/>
      <family val="2"/>
      <scheme val="minor"/>
    </font>
    <font>
      <b/>
      <sz val="18"/>
      <color theme="3"/>
      <name val="Calibri Light"/>
      <family val="2"/>
      <scheme val="major"/>
    </font>
    <font>
      <u/>
      <sz val="12"/>
      <color theme="3" tint="0.39994506668294322"/>
      <name val="Calibri"/>
      <family val="2"/>
      <scheme val="minor"/>
    </font>
    <font>
      <b/>
      <sz val="24"/>
      <color rgb="FF0070C0"/>
      <name val="Segoe UI"/>
      <family val="2"/>
    </font>
    <font>
      <sz val="12"/>
      <color rgb="FF0070C0"/>
      <name val="Segoe UI"/>
      <family val="2"/>
    </font>
    <font>
      <sz val="12"/>
      <color theme="1"/>
      <name val="Segoe UI"/>
      <family val="2"/>
    </font>
    <font>
      <b/>
      <sz val="10"/>
      <color rgb="FF0070C0"/>
      <name val="Segoe UI"/>
      <family val="2"/>
    </font>
    <font>
      <sz val="10"/>
      <color theme="1"/>
      <name val="Segoe UI"/>
      <family val="2"/>
    </font>
    <font>
      <b/>
      <sz val="10"/>
      <color theme="1"/>
      <name val="Segoe UI"/>
      <family val="2"/>
    </font>
    <font>
      <sz val="10"/>
      <name val="Arial"/>
      <family val="2"/>
    </font>
    <font>
      <sz val="10"/>
      <color indexed="8"/>
      <name val="Times New Roman"/>
      <family val="1"/>
    </font>
    <font>
      <sz val="8"/>
      <name val="Calibri"/>
      <family val="2"/>
      <scheme val="minor"/>
    </font>
    <font>
      <b/>
      <sz val="12"/>
      <color theme="0"/>
      <name val="Segoe UI"/>
      <family val="2"/>
    </font>
    <font>
      <b/>
      <sz val="12"/>
      <color rgb="FF003060"/>
      <name val="Segoe UI"/>
      <family val="2"/>
    </font>
    <font>
      <i/>
      <sz val="10"/>
      <color theme="1"/>
      <name val="Segoe UI"/>
      <family val="2"/>
    </font>
    <font>
      <b/>
      <sz val="10"/>
      <name val="Segoe UI"/>
      <family val="2"/>
    </font>
    <font>
      <b/>
      <sz val="10"/>
      <color theme="0"/>
      <name val="Segoe UI"/>
      <family val="2"/>
    </font>
    <font>
      <i/>
      <sz val="14"/>
      <color theme="1"/>
      <name val="Segoe UI"/>
      <family val="2"/>
    </font>
    <font>
      <sz val="12"/>
      <color theme="0"/>
      <name val="Segoe UI"/>
      <family val="2"/>
    </font>
    <font>
      <b/>
      <sz val="28"/>
      <color theme="4" tint="-0.249977111117893"/>
      <name val="Segoe UI"/>
      <family val="2"/>
    </font>
    <font>
      <sz val="14"/>
      <color theme="1" tint="0.499984740745262"/>
      <name val="Segoe UI Black"/>
      <family val="2"/>
    </font>
    <font>
      <b/>
      <sz val="16"/>
      <color rgb="FF0070C0"/>
      <name val="Segoe UI"/>
      <family val="2"/>
    </font>
    <font>
      <sz val="16"/>
      <color theme="1" tint="0.499984740745262"/>
      <name val="Segoe UI Black"/>
      <family val="2"/>
    </font>
    <font>
      <b/>
      <sz val="16"/>
      <color theme="1"/>
      <name val="Segoe UI"/>
      <family val="2"/>
    </font>
    <font>
      <sz val="26"/>
      <color theme="1"/>
      <name val="Segoe UI Black"/>
      <family val="2"/>
    </font>
    <font>
      <sz val="26"/>
      <color theme="0"/>
      <name val="Segoe UI Black"/>
      <family val="2"/>
    </font>
    <font>
      <b/>
      <sz val="16"/>
      <color theme="0"/>
      <name val="Segoe UI"/>
      <family val="2"/>
    </font>
    <font>
      <sz val="22"/>
      <color theme="1" tint="0.499984740745262"/>
      <name val="Segoe UI Black"/>
      <family val="2"/>
    </font>
    <font>
      <sz val="16"/>
      <color theme="1"/>
      <name val="Segoe UI"/>
    </font>
    <font>
      <sz val="20"/>
      <color theme="1"/>
      <name val="Arial Black"/>
      <family val="2"/>
    </font>
    <font>
      <b/>
      <sz val="20"/>
      <color theme="1"/>
      <name val="Arial Black"/>
      <family val="2"/>
    </font>
    <font>
      <b/>
      <sz val="48"/>
      <name val="Segoe UI"/>
      <family val="2"/>
    </font>
  </fonts>
  <fills count="20">
    <fill>
      <patternFill patternType="none"/>
    </fill>
    <fill>
      <patternFill patternType="gray125"/>
    </fill>
    <fill>
      <patternFill patternType="solid">
        <fgColor rgb="FFF3FAFF"/>
        <bgColor indexed="64"/>
      </patternFill>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4" tint="-0.49998474074526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7" tint="0.79998168889431442"/>
        <bgColor indexed="64"/>
      </patternFill>
    </fill>
    <fill>
      <patternFill patternType="solid">
        <fgColor theme="1"/>
        <bgColor indexed="64"/>
      </patternFill>
    </fill>
    <fill>
      <patternFill patternType="solid">
        <fgColor theme="2" tint="-9.9978637043366805E-2"/>
        <bgColor indexed="64"/>
      </patternFill>
    </fill>
    <fill>
      <patternFill patternType="solid">
        <fgColor rgb="FF800000"/>
        <bgColor indexed="64"/>
      </patternFill>
    </fill>
    <fill>
      <patternFill patternType="solid">
        <fgColor theme="5" tint="0.79998168889431442"/>
        <bgColor indexed="64"/>
      </patternFill>
    </fill>
    <fill>
      <patternFill patternType="solid">
        <fgColor theme="9" tint="-0.249977111117893"/>
        <bgColor indexed="64"/>
      </patternFill>
    </fill>
    <fill>
      <patternFill patternType="solid">
        <fgColor theme="4"/>
        <bgColor indexed="64"/>
      </patternFill>
    </fill>
    <fill>
      <patternFill patternType="solid">
        <fgColor theme="5" tint="0.39997558519241921"/>
        <bgColor indexed="64"/>
      </patternFill>
    </fill>
    <fill>
      <patternFill patternType="solid">
        <fgColor rgb="FFFF0000"/>
        <bgColor indexed="64"/>
      </patternFill>
    </fill>
  </fills>
  <borders count="37">
    <border>
      <left/>
      <right/>
      <top/>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style="thin">
        <color theme="1"/>
      </left>
      <right/>
      <top style="thin">
        <color theme="1"/>
      </top>
      <bottom style="thin">
        <color theme="4" tint="0.39997558519241921"/>
      </bottom>
      <diagonal/>
    </border>
    <border>
      <left/>
      <right/>
      <top style="thin">
        <color theme="1"/>
      </top>
      <bottom style="thin">
        <color theme="4" tint="0.39997558519241921"/>
      </bottom>
      <diagonal/>
    </border>
    <border>
      <left/>
      <right style="thin">
        <color theme="1"/>
      </right>
      <top style="thin">
        <color theme="1"/>
      </top>
      <bottom style="thin">
        <color theme="4" tint="0.39997558519241921"/>
      </bottom>
      <diagonal/>
    </border>
    <border>
      <left style="thin">
        <color theme="1"/>
      </left>
      <right/>
      <top/>
      <bottom/>
      <diagonal/>
    </border>
    <border>
      <left/>
      <right style="thin">
        <color theme="1"/>
      </right>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thin">
        <color theme="1"/>
      </left>
      <right/>
      <top style="thin">
        <color theme="1"/>
      </top>
      <bottom/>
      <diagonal/>
    </border>
    <border>
      <left/>
      <right style="thin">
        <color theme="1"/>
      </right>
      <top style="thin">
        <color theme="1"/>
      </top>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5">
    <xf numFmtId="0" fontId="0" fillId="0" borderId="0"/>
    <xf numFmtId="0" fontId="4" fillId="0" borderId="0"/>
    <xf numFmtId="0" fontId="5" fillId="0" borderId="0" applyNumberFormat="0" applyFill="0" applyBorder="0" applyAlignment="0" applyProtection="0"/>
    <xf numFmtId="0" fontId="6" fillId="0" borderId="0" applyNumberFormat="0" applyFill="0" applyBorder="0" applyAlignment="0" applyProtection="0"/>
    <xf numFmtId="0" fontId="13" fillId="0" borderId="0"/>
  </cellStyleXfs>
  <cellXfs count="159">
    <xf numFmtId="0" fontId="0" fillId="0" borderId="0" xfId="0"/>
    <xf numFmtId="0" fontId="9" fillId="0" borderId="0" xfId="1" applyFont="1" applyAlignment="1">
      <alignment vertical="center"/>
    </xf>
    <xf numFmtId="0" fontId="11" fillId="0" borderId="0" xfId="0" applyFont="1"/>
    <xf numFmtId="0" fontId="13" fillId="0" borderId="0" xfId="0" applyFont="1"/>
    <xf numFmtId="0" fontId="14" fillId="0" borderId="0" xfId="0" applyFont="1"/>
    <xf numFmtId="0" fontId="14" fillId="0" borderId="0" xfId="0" applyFont="1" applyAlignment="1">
      <alignment horizontal="center" vertical="top" wrapText="1"/>
    </xf>
    <xf numFmtId="0" fontId="0" fillId="0" borderId="0" xfId="0" applyAlignment="1">
      <alignment wrapText="1"/>
    </xf>
    <xf numFmtId="0" fontId="0" fillId="0" borderId="0" xfId="0" applyAlignment="1">
      <alignment horizontal="center"/>
    </xf>
    <xf numFmtId="0" fontId="11" fillId="0" borderId="3" xfId="0" applyFont="1" applyBorder="1"/>
    <xf numFmtId="0" fontId="10" fillId="2" borderId="3" xfId="2" applyFont="1" applyFill="1" applyBorder="1" applyAlignment="1" applyProtection="1">
      <alignment vertical="center" wrapText="1"/>
    </xf>
    <xf numFmtId="0" fontId="10" fillId="2" borderId="3" xfId="2" applyFont="1" applyFill="1" applyBorder="1" applyAlignment="1">
      <alignment vertical="center"/>
    </xf>
    <xf numFmtId="0" fontId="0" fillId="0" borderId="0" xfId="0" applyAlignment="1">
      <alignment vertical="center" wrapText="1"/>
    </xf>
    <xf numFmtId="0" fontId="11" fillId="0" borderId="3" xfId="0" applyFont="1" applyBorder="1" applyAlignment="1">
      <alignment vertical="center" wrapText="1"/>
    </xf>
    <xf numFmtId="0" fontId="11" fillId="0" borderId="3" xfId="0" quotePrefix="1" applyFont="1" applyBorder="1" applyAlignment="1">
      <alignment vertical="center" wrapText="1"/>
    </xf>
    <xf numFmtId="0" fontId="10" fillId="2" borderId="3" xfId="2" applyFont="1" applyFill="1" applyBorder="1" applyAlignment="1">
      <alignment vertical="center" wrapText="1"/>
    </xf>
    <xf numFmtId="0" fontId="10" fillId="2" borderId="3" xfId="2" applyFont="1" applyFill="1" applyBorder="1" applyAlignment="1" applyProtection="1">
      <alignment horizontal="left" vertical="center" wrapText="1"/>
    </xf>
    <xf numFmtId="0" fontId="0" fillId="0" borderId="0" xfId="0" applyAlignment="1">
      <alignment vertical="top"/>
    </xf>
    <xf numFmtId="0" fontId="0" fillId="0" borderId="0" xfId="0" applyAlignment="1">
      <alignment horizontal="center" vertical="top"/>
    </xf>
    <xf numFmtId="0" fontId="19" fillId="6" borderId="3" xfId="2" applyFont="1" applyFill="1" applyBorder="1" applyAlignment="1" applyProtection="1">
      <alignment horizontal="left" vertical="center" wrapText="1"/>
    </xf>
    <xf numFmtId="0" fontId="20" fillId="5" borderId="3" xfId="2" applyFont="1" applyFill="1" applyBorder="1" applyAlignment="1" applyProtection="1">
      <alignment vertical="center" wrapText="1"/>
    </xf>
    <xf numFmtId="0" fontId="0" fillId="0" borderId="0" xfId="0" applyAlignment="1">
      <alignment vertical="top" wrapText="1"/>
    </xf>
    <xf numFmtId="0" fontId="2" fillId="0" borderId="0" xfId="0" applyFont="1"/>
    <xf numFmtId="0" fontId="2" fillId="0" borderId="0" xfId="0" applyFont="1" applyAlignment="1">
      <alignment horizontal="center" vertical="center"/>
    </xf>
    <xf numFmtId="0" fontId="21" fillId="0" borderId="0" xfId="0" applyFont="1"/>
    <xf numFmtId="0" fontId="0" fillId="11" borderId="0" xfId="0" applyFill="1" applyAlignment="1">
      <alignment vertical="top"/>
    </xf>
    <xf numFmtId="0" fontId="0" fillId="11" borderId="0" xfId="0" applyFill="1" applyAlignment="1">
      <alignment horizontal="center" vertical="top"/>
    </xf>
    <xf numFmtId="15" fontId="0" fillId="0" borderId="0" xfId="0" applyNumberFormat="1" applyAlignment="1">
      <alignment vertical="top"/>
    </xf>
    <xf numFmtId="0" fontId="11" fillId="9" borderId="3" xfId="0" quotePrefix="1" applyFont="1" applyFill="1" applyBorder="1" applyAlignment="1">
      <alignment vertical="center" wrapText="1"/>
    </xf>
    <xf numFmtId="0" fontId="11" fillId="11" borderId="3" xfId="0" quotePrefix="1" applyFont="1" applyFill="1" applyBorder="1" applyAlignment="1">
      <alignment vertical="center" wrapText="1"/>
    </xf>
    <xf numFmtId="0" fontId="0" fillId="0" borderId="3" xfId="0" applyBorder="1" applyAlignment="1">
      <alignment horizontal="center" vertical="center"/>
    </xf>
    <xf numFmtId="0" fontId="0" fillId="0" borderId="0" xfId="0" applyAlignment="1">
      <alignment horizontal="center" vertical="center"/>
    </xf>
    <xf numFmtId="0" fontId="19" fillId="13" borderId="0" xfId="2" applyFont="1" applyFill="1" applyBorder="1" applyAlignment="1" applyProtection="1">
      <alignment vertical="center" wrapText="1"/>
    </xf>
    <xf numFmtId="0" fontId="0" fillId="0" borderId="3" xfId="0" applyBorder="1"/>
    <xf numFmtId="164" fontId="0" fillId="0" borderId="0" xfId="0" applyNumberFormat="1"/>
    <xf numFmtId="165" fontId="0" fillId="0" borderId="0" xfId="0" applyNumberFormat="1"/>
    <xf numFmtId="0" fontId="1" fillId="0" borderId="8" xfId="0" applyFont="1" applyBorder="1" applyAlignment="1">
      <alignment horizontal="center" vertical="center"/>
    </xf>
    <xf numFmtId="15" fontId="2" fillId="0" borderId="8" xfId="0" applyNumberFormat="1" applyFont="1" applyBorder="1" applyAlignment="1">
      <alignment horizontal="center" vertical="center"/>
    </xf>
    <xf numFmtId="0" fontId="2" fillId="0" borderId="8" xfId="0" applyFont="1" applyBorder="1" applyAlignment="1">
      <alignment horizontal="center" vertical="center"/>
    </xf>
    <xf numFmtId="167" fontId="10" fillId="2" borderId="3" xfId="2" applyNumberFormat="1" applyFont="1" applyFill="1" applyBorder="1" applyAlignment="1" applyProtection="1">
      <alignment horizontal="left" vertical="center" wrapText="1"/>
    </xf>
    <xf numFmtId="167" fontId="0" fillId="0" borderId="0" xfId="0" applyNumberFormat="1" applyAlignment="1">
      <alignment vertical="top"/>
    </xf>
    <xf numFmtId="0" fontId="27" fillId="0" borderId="4" xfId="0" quotePrefix="1" applyFont="1" applyBorder="1" applyAlignment="1">
      <alignment horizontal="center" vertical="center" wrapText="1"/>
    </xf>
    <xf numFmtId="0" fontId="7" fillId="0" borderId="0" xfId="2" applyFont="1" applyFill="1" applyAlignment="1" applyProtection="1">
      <alignment horizontal="left" vertical="center"/>
    </xf>
    <xf numFmtId="0" fontId="8" fillId="0" borderId="0" xfId="1" applyFont="1" applyAlignment="1">
      <alignment vertical="center"/>
    </xf>
    <xf numFmtId="0" fontId="8" fillId="0" borderId="0" xfId="1" applyFont="1" applyAlignment="1">
      <alignment horizontal="center" vertical="center"/>
    </xf>
    <xf numFmtId="0" fontId="8" fillId="0" borderId="0" xfId="1" applyFont="1" applyAlignment="1">
      <alignment vertical="center" wrapText="1"/>
    </xf>
    <xf numFmtId="0" fontId="30" fillId="0" borderId="7" xfId="0" quotePrefix="1" applyFont="1" applyBorder="1" applyAlignment="1">
      <alignment horizontal="center" vertical="center" wrapText="1"/>
    </xf>
    <xf numFmtId="0" fontId="11" fillId="0" borderId="3" xfId="0" quotePrefix="1" applyFont="1" applyBorder="1" applyAlignment="1">
      <alignment horizontal="center" vertical="center" wrapText="1"/>
    </xf>
    <xf numFmtId="0" fontId="0" fillId="4" borderId="3" xfId="0" applyFill="1" applyBorder="1"/>
    <xf numFmtId="166" fontId="0" fillId="0" borderId="0" xfId="0" applyNumberFormat="1" applyAlignment="1">
      <alignment horizontal="center" vertical="center"/>
    </xf>
    <xf numFmtId="0" fontId="32" fillId="0" borderId="13" xfId="0" quotePrefix="1" applyFont="1" applyBorder="1" applyAlignment="1">
      <alignment horizontal="center" vertical="center" wrapText="1"/>
    </xf>
    <xf numFmtId="0" fontId="32" fillId="0" borderId="14" xfId="0" quotePrefix="1" applyFont="1" applyBorder="1" applyAlignment="1">
      <alignment horizontal="center" vertical="center" wrapText="1"/>
    </xf>
    <xf numFmtId="165" fontId="3" fillId="10" borderId="15" xfId="0" applyNumberFormat="1" applyFont="1" applyFill="1" applyBorder="1" applyAlignment="1">
      <alignment horizontal="center" vertical="center" textRotation="90"/>
    </xf>
    <xf numFmtId="165" fontId="3" fillId="10" borderId="16" xfId="0" applyNumberFormat="1" applyFont="1" applyFill="1" applyBorder="1" applyAlignment="1">
      <alignment horizontal="center" vertical="center" textRotation="90"/>
    </xf>
    <xf numFmtId="165" fontId="3" fillId="10" borderId="17" xfId="0" applyNumberFormat="1" applyFont="1" applyFill="1" applyBorder="1" applyAlignment="1">
      <alignment horizontal="center" vertical="center" textRotation="90"/>
    </xf>
    <xf numFmtId="166" fontId="0" fillId="0" borderId="18" xfId="0" applyNumberFormat="1" applyBorder="1" applyAlignment="1">
      <alignment horizontal="center" vertical="center"/>
    </xf>
    <xf numFmtId="166" fontId="0" fillId="0" borderId="19" xfId="0" applyNumberFormat="1" applyBorder="1" applyAlignment="1">
      <alignment horizontal="center" vertical="center"/>
    </xf>
    <xf numFmtId="166" fontId="0" fillId="0" borderId="20" xfId="0" applyNumberFormat="1" applyBorder="1" applyAlignment="1">
      <alignment horizontal="center" vertical="center"/>
    </xf>
    <xf numFmtId="166" fontId="0" fillId="0" borderId="21" xfId="0" applyNumberFormat="1" applyBorder="1" applyAlignment="1">
      <alignment horizontal="center" vertical="center"/>
    </xf>
    <xf numFmtId="166" fontId="0" fillId="0" borderId="22" xfId="0" applyNumberFormat="1" applyBorder="1" applyAlignment="1">
      <alignment horizontal="center" vertical="center"/>
    </xf>
    <xf numFmtId="164" fontId="0" fillId="0" borderId="19" xfId="0" applyNumberFormat="1" applyBorder="1" applyAlignment="1">
      <alignment horizontal="right"/>
    </xf>
    <xf numFmtId="0" fontId="0" fillId="0" borderId="18" xfId="0" applyBorder="1"/>
    <xf numFmtId="0" fontId="0" fillId="0" borderId="19" xfId="0" applyBorder="1"/>
    <xf numFmtId="0" fontId="2" fillId="0" borderId="18" xfId="0" applyFont="1" applyBorder="1"/>
    <xf numFmtId="0" fontId="2" fillId="0" borderId="19" xfId="0" applyFont="1" applyBorder="1"/>
    <xf numFmtId="0" fontId="2" fillId="0" borderId="20" xfId="0" applyFont="1" applyBorder="1"/>
    <xf numFmtId="0" fontId="21" fillId="0" borderId="21" xfId="0" applyFont="1" applyBorder="1"/>
    <xf numFmtId="0" fontId="2" fillId="0" borderId="22" xfId="0" applyFont="1" applyBorder="1"/>
    <xf numFmtId="0" fontId="0" fillId="0" borderId="13" xfId="0" pivotButton="1" applyBorder="1"/>
    <xf numFmtId="0" fontId="0" fillId="0" borderId="26" xfId="0" applyBorder="1" applyAlignment="1">
      <alignment horizontal="left"/>
    </xf>
    <xf numFmtId="0" fontId="0" fillId="0" borderId="27" xfId="0" applyBorder="1" applyAlignment="1">
      <alignment horizontal="left"/>
    </xf>
    <xf numFmtId="0" fontId="0" fillId="0" borderId="28" xfId="0" applyBorder="1" applyAlignment="1">
      <alignment horizontal="left"/>
    </xf>
    <xf numFmtId="164" fontId="0" fillId="0" borderId="22" xfId="0" applyNumberFormat="1" applyBorder="1" applyAlignment="1">
      <alignment horizontal="right"/>
    </xf>
    <xf numFmtId="165" fontId="0" fillId="0" borderId="23" xfId="0" applyNumberFormat="1" applyBorder="1" applyAlignment="1">
      <alignment horizontal="right"/>
    </xf>
    <xf numFmtId="164" fontId="0" fillId="0" borderId="24" xfId="0" applyNumberFormat="1" applyBorder="1" applyAlignment="1">
      <alignment horizontal="right"/>
    </xf>
    <xf numFmtId="165" fontId="0" fillId="0" borderId="18" xfId="0" applyNumberFormat="1" applyBorder="1" applyAlignment="1">
      <alignment horizontal="right"/>
    </xf>
    <xf numFmtId="165" fontId="0" fillId="0" borderId="20" xfId="0" applyNumberFormat="1" applyBorder="1" applyAlignment="1">
      <alignment horizontal="right"/>
    </xf>
    <xf numFmtId="0" fontId="0" fillId="0" borderId="14" xfId="0" applyBorder="1" applyAlignment="1">
      <alignment horizontal="right"/>
    </xf>
    <xf numFmtId="0" fontId="0" fillId="0" borderId="25" xfId="0" applyBorder="1" applyAlignment="1">
      <alignment horizontal="right"/>
    </xf>
    <xf numFmtId="0" fontId="33" fillId="0" borderId="0" xfId="0" applyFont="1"/>
    <xf numFmtId="0" fontId="3" fillId="0" borderId="0" xfId="0" applyFont="1"/>
    <xf numFmtId="0" fontId="0" fillId="0" borderId="4" xfId="0" applyBorder="1"/>
    <xf numFmtId="0" fontId="0" fillId="0" borderId="33" xfId="0" applyBorder="1"/>
    <xf numFmtId="0" fontId="0" fillId="0" borderId="3" xfId="0" applyBorder="1" applyAlignment="1">
      <alignment horizontal="center"/>
    </xf>
    <xf numFmtId="0" fontId="17" fillId="3" borderId="34" xfId="2" applyFont="1" applyFill="1" applyBorder="1" applyAlignment="1" applyProtection="1">
      <alignment vertical="center"/>
    </xf>
    <xf numFmtId="0" fontId="0" fillId="0" borderId="3" xfId="0" applyBorder="1" applyAlignment="1">
      <alignment wrapText="1"/>
    </xf>
    <xf numFmtId="0" fontId="0" fillId="0" borderId="3" xfId="0" applyBorder="1" applyAlignment="1">
      <alignment vertical="top"/>
    </xf>
    <xf numFmtId="0" fontId="0" fillId="0" borderId="3" xfId="0" applyBorder="1" applyAlignment="1">
      <alignment horizontal="center" vertical="top"/>
    </xf>
    <xf numFmtId="167" fontId="0" fillId="0" borderId="3" xfId="0" applyNumberFormat="1" applyBorder="1" applyAlignment="1">
      <alignment vertical="top"/>
    </xf>
    <xf numFmtId="0" fontId="0" fillId="0" borderId="3" xfId="0" applyBorder="1" applyAlignment="1">
      <alignment vertical="top" wrapText="1"/>
    </xf>
    <xf numFmtId="0" fontId="0" fillId="0" borderId="34" xfId="0" applyBorder="1" applyAlignment="1">
      <alignment vertical="top"/>
    </xf>
    <xf numFmtId="0" fontId="0" fillId="0" borderId="34" xfId="0" applyBorder="1" applyAlignment="1">
      <alignment horizontal="center" vertical="top"/>
    </xf>
    <xf numFmtId="167" fontId="0" fillId="0" borderId="34" xfId="0" applyNumberFormat="1" applyBorder="1" applyAlignment="1">
      <alignment vertical="top"/>
    </xf>
    <xf numFmtId="0" fontId="0" fillId="0" borderId="34" xfId="0" applyBorder="1" applyAlignment="1">
      <alignment vertical="top" wrapText="1"/>
    </xf>
    <xf numFmtId="0" fontId="11" fillId="18" borderId="3" xfId="0" quotePrefix="1" applyFont="1" applyFill="1" applyBorder="1" applyAlignment="1">
      <alignment vertical="center" wrapText="1"/>
    </xf>
    <xf numFmtId="0" fontId="13" fillId="19" borderId="3" xfId="0" applyFont="1" applyFill="1" applyBorder="1"/>
    <xf numFmtId="0" fontId="0" fillId="0" borderId="34" xfId="0" applyBorder="1" applyAlignment="1">
      <alignment horizontal="center" vertical="top" wrapText="1"/>
    </xf>
    <xf numFmtId="0" fontId="10" fillId="2" borderId="4" xfId="2" applyFont="1" applyFill="1" applyBorder="1" applyAlignment="1" applyProtection="1">
      <alignment vertical="center" wrapText="1"/>
    </xf>
    <xf numFmtId="0" fontId="0" fillId="0" borderId="9" xfId="0" applyBorder="1" applyAlignment="1">
      <alignment vertical="top" wrapText="1"/>
    </xf>
    <xf numFmtId="0" fontId="0" fillId="0" borderId="4" xfId="0" applyBorder="1" applyAlignment="1">
      <alignment vertical="top" wrapText="1"/>
    </xf>
    <xf numFmtId="0" fontId="0" fillId="0" borderId="9" xfId="0" applyBorder="1" applyAlignment="1">
      <alignment vertical="top"/>
    </xf>
    <xf numFmtId="0" fontId="10" fillId="2" borderId="7" xfId="2" applyFont="1" applyFill="1" applyBorder="1" applyAlignment="1" applyProtection="1">
      <alignment horizontal="left" vertical="center" wrapText="1"/>
    </xf>
    <xf numFmtId="0" fontId="0" fillId="0" borderId="11" xfId="0" applyBorder="1" applyAlignment="1">
      <alignment horizontal="center" vertical="top"/>
    </xf>
    <xf numFmtId="0" fontId="0" fillId="0" borderId="7" xfId="0" applyBorder="1" applyAlignment="1">
      <alignment horizontal="center" vertical="top"/>
    </xf>
    <xf numFmtId="0" fontId="0" fillId="0" borderId="7" xfId="0" applyBorder="1" applyAlignment="1">
      <alignment horizontal="center"/>
    </xf>
    <xf numFmtId="0" fontId="0" fillId="11" borderId="31" xfId="0" applyFill="1" applyBorder="1" applyAlignment="1">
      <alignment vertical="top"/>
    </xf>
    <xf numFmtId="0" fontId="0" fillId="0" borderId="31" xfId="0" applyBorder="1" applyAlignment="1">
      <alignment vertical="top"/>
    </xf>
    <xf numFmtId="0" fontId="35" fillId="0" borderId="1" xfId="2" applyFont="1" applyFill="1" applyBorder="1" applyAlignment="1" applyProtection="1">
      <alignment horizontal="center" vertical="center"/>
    </xf>
    <xf numFmtId="0" fontId="7" fillId="0" borderId="1" xfId="2" applyFont="1" applyFill="1" applyBorder="1" applyAlignment="1" applyProtection="1">
      <alignment horizontal="center" vertical="center"/>
    </xf>
    <xf numFmtId="0" fontId="22" fillId="12" borderId="6" xfId="1" applyFont="1" applyFill="1" applyBorder="1" applyAlignment="1">
      <alignment horizontal="center" vertical="center" wrapText="1"/>
    </xf>
    <xf numFmtId="0" fontId="22" fillId="12" borderId="0" xfId="1" applyFont="1" applyFill="1" applyAlignment="1">
      <alignment horizontal="center" vertical="center" wrapText="1"/>
    </xf>
    <xf numFmtId="0" fontId="17" fillId="7" borderId="34" xfId="1" applyFont="1" applyFill="1" applyBorder="1" applyAlignment="1">
      <alignment horizontal="left" vertical="center"/>
    </xf>
    <xf numFmtId="0" fontId="16" fillId="8" borderId="34" xfId="1" applyFont="1" applyFill="1" applyBorder="1" applyAlignment="1">
      <alignment horizontal="left" vertical="center"/>
    </xf>
    <xf numFmtId="0" fontId="17" fillId="6" borderId="34" xfId="0" applyFont="1" applyFill="1" applyBorder="1" applyAlignment="1">
      <alignment horizontal="left" vertical="center" wrapText="1"/>
    </xf>
    <xf numFmtId="0" fontId="16" fillId="5" borderId="34" xfId="0" applyFont="1" applyFill="1" applyBorder="1" applyAlignment="1">
      <alignment horizontal="left" vertical="center" wrapText="1"/>
    </xf>
    <xf numFmtId="0" fontId="24" fillId="0" borderId="0" xfId="0" applyFont="1" applyAlignment="1">
      <alignment horizontal="center" vertical="center"/>
    </xf>
    <xf numFmtId="0" fontId="30" fillId="0" borderId="9" xfId="0" quotePrefix="1" applyFont="1" applyBorder="1" applyAlignment="1">
      <alignment horizontal="center" vertical="center" wrapText="1"/>
    </xf>
    <xf numFmtId="0" fontId="30" fillId="0" borderId="2" xfId="0" quotePrefix="1" applyFont="1" applyBorder="1" applyAlignment="1">
      <alignment horizontal="center" vertical="center" wrapText="1"/>
    </xf>
    <xf numFmtId="0" fontId="30" fillId="0" borderId="11" xfId="0" quotePrefix="1" applyFont="1" applyBorder="1" applyAlignment="1">
      <alignment horizontal="center" vertical="center" wrapText="1"/>
    </xf>
    <xf numFmtId="0" fontId="27" fillId="0" borderId="12" xfId="0" quotePrefix="1" applyFont="1" applyBorder="1" applyAlignment="1">
      <alignment horizontal="center" vertical="center" wrapText="1"/>
    </xf>
    <xf numFmtId="0" fontId="27" fillId="0" borderId="1" xfId="0" quotePrefix="1" applyFont="1" applyBorder="1" applyAlignment="1">
      <alignment horizontal="center" vertical="center" wrapText="1"/>
    </xf>
    <xf numFmtId="0" fontId="27" fillId="0" borderId="10" xfId="0" quotePrefix="1" applyFont="1" applyBorder="1" applyAlignment="1">
      <alignment horizontal="center" vertical="center" wrapText="1"/>
    </xf>
    <xf numFmtId="0" fontId="29" fillId="16" borderId="9" xfId="0" applyFont="1" applyFill="1" applyBorder="1" applyAlignment="1">
      <alignment horizontal="center" vertical="center"/>
    </xf>
    <xf numFmtId="0" fontId="29" fillId="16" borderId="11" xfId="0" applyFont="1" applyFill="1" applyBorder="1" applyAlignment="1">
      <alignment horizontal="center" vertical="center"/>
    </xf>
    <xf numFmtId="0" fontId="28" fillId="15" borderId="4" xfId="0" applyFont="1" applyFill="1" applyBorder="1" applyAlignment="1">
      <alignment horizontal="center" vertical="center"/>
    </xf>
    <xf numFmtId="0" fontId="28" fillId="15" borderId="7" xfId="0" applyFont="1" applyFill="1" applyBorder="1" applyAlignment="1">
      <alignment horizontal="center" vertical="center"/>
    </xf>
    <xf numFmtId="0" fontId="29" fillId="16" borderId="4" xfId="0" applyFont="1" applyFill="1" applyBorder="1" applyAlignment="1">
      <alignment horizontal="center" vertical="center"/>
    </xf>
    <xf numFmtId="0" fontId="29" fillId="16" borderId="7" xfId="0" applyFont="1" applyFill="1" applyBorder="1" applyAlignment="1">
      <alignment horizontal="center" vertical="center"/>
    </xf>
    <xf numFmtId="0" fontId="28" fillId="15" borderId="4" xfId="0" quotePrefix="1" applyFont="1" applyFill="1" applyBorder="1" applyAlignment="1">
      <alignment horizontal="center" vertical="center"/>
    </xf>
    <xf numFmtId="0" fontId="28" fillId="15" borderId="7" xfId="0" quotePrefix="1" applyFont="1" applyFill="1" applyBorder="1" applyAlignment="1">
      <alignment horizontal="center" vertical="center"/>
    </xf>
    <xf numFmtId="0" fontId="28" fillId="15" borderId="9" xfId="0" applyFont="1" applyFill="1" applyBorder="1" applyAlignment="1">
      <alignment horizontal="center" vertical="center"/>
    </xf>
    <xf numFmtId="0" fontId="28" fillId="15" borderId="11" xfId="0" applyFont="1" applyFill="1" applyBorder="1" applyAlignment="1">
      <alignment horizontal="center" vertical="center"/>
    </xf>
    <xf numFmtId="0" fontId="29" fillId="16" borderId="9" xfId="0" quotePrefix="1" applyFont="1" applyFill="1" applyBorder="1" applyAlignment="1">
      <alignment horizontal="center" vertical="center"/>
    </xf>
    <xf numFmtId="0" fontId="29" fillId="16" borderId="11" xfId="0" quotePrefix="1" applyFont="1" applyFill="1" applyBorder="1" applyAlignment="1">
      <alignment horizontal="center" vertical="center"/>
    </xf>
    <xf numFmtId="0" fontId="23" fillId="0" borderId="0" xfId="0" applyFont="1" applyAlignment="1">
      <alignment horizontal="center" vertical="center"/>
    </xf>
    <xf numFmtId="0" fontId="29" fillId="14" borderId="4" xfId="0" applyFont="1" applyFill="1" applyBorder="1" applyAlignment="1">
      <alignment horizontal="center" vertical="center"/>
    </xf>
    <xf numFmtId="0" fontId="29" fillId="14" borderId="7" xfId="0" applyFont="1" applyFill="1" applyBorder="1" applyAlignment="1">
      <alignment horizontal="center" vertical="center"/>
    </xf>
    <xf numFmtId="0" fontId="26" fillId="0" borderId="0" xfId="0" applyFont="1" applyAlignment="1">
      <alignment horizontal="center" vertical="center" textRotation="90"/>
    </xf>
    <xf numFmtId="0" fontId="26" fillId="0" borderId="5" xfId="0" applyFont="1" applyBorder="1" applyAlignment="1">
      <alignment horizontal="center" vertical="center" textRotation="90"/>
    </xf>
    <xf numFmtId="0" fontId="28" fillId="15" borderId="3" xfId="0" applyFont="1" applyFill="1" applyBorder="1" applyAlignment="1">
      <alignment horizontal="center" vertical="center"/>
    </xf>
    <xf numFmtId="0" fontId="29" fillId="16" borderId="4" xfId="0" quotePrefix="1" applyFont="1" applyFill="1" applyBorder="1" applyAlignment="1">
      <alignment horizontal="center" vertical="center"/>
    </xf>
    <xf numFmtId="0" fontId="29" fillId="16" borderId="7" xfId="0" quotePrefix="1" applyFont="1" applyFill="1" applyBorder="1" applyAlignment="1">
      <alignment horizontal="center" vertical="center"/>
    </xf>
    <xf numFmtId="0" fontId="31" fillId="0" borderId="0" xfId="0" applyFont="1" applyAlignment="1">
      <alignment horizontal="center" vertical="center"/>
    </xf>
    <xf numFmtId="0" fontId="32" fillId="0" borderId="13" xfId="0" quotePrefix="1" applyFont="1" applyBorder="1" applyAlignment="1">
      <alignment horizontal="center" vertical="center" wrapText="1"/>
    </xf>
    <xf numFmtId="0" fontId="28" fillId="15" borderId="13" xfId="0" applyFont="1" applyFill="1" applyBorder="1" applyAlignment="1">
      <alignment horizontal="center" vertical="center"/>
    </xf>
    <xf numFmtId="0" fontId="29" fillId="16" borderId="13" xfId="0" quotePrefix="1" applyFont="1" applyFill="1" applyBorder="1" applyAlignment="1">
      <alignment horizontal="center" vertical="center"/>
    </xf>
    <xf numFmtId="0" fontId="29" fillId="16" borderId="13" xfId="0" applyFont="1" applyFill="1" applyBorder="1" applyAlignment="1">
      <alignment horizontal="center" vertical="center"/>
    </xf>
    <xf numFmtId="0" fontId="28" fillId="15" borderId="13" xfId="0" quotePrefix="1" applyFont="1" applyFill="1" applyBorder="1" applyAlignment="1">
      <alignment horizontal="center" vertical="center"/>
    </xf>
    <xf numFmtId="0" fontId="31" fillId="0" borderId="0" xfId="0" applyFont="1" applyAlignment="1">
      <alignment horizontal="right" vertical="center" textRotation="90"/>
    </xf>
    <xf numFmtId="0" fontId="29" fillId="14" borderId="13" xfId="0" applyFont="1" applyFill="1" applyBorder="1" applyAlignment="1">
      <alignment horizontal="center" vertical="center"/>
    </xf>
    <xf numFmtId="0" fontId="25" fillId="6" borderId="1" xfId="2" applyFont="1" applyFill="1" applyBorder="1" applyAlignment="1" applyProtection="1">
      <alignment horizontal="center" vertical="center"/>
    </xf>
    <xf numFmtId="0" fontId="18" fillId="0" borderId="0" xfId="0" applyFont="1" applyAlignment="1">
      <alignment horizontal="center" vertical="center" wrapText="1"/>
    </xf>
    <xf numFmtId="0" fontId="13" fillId="0" borderId="1" xfId="0" applyFont="1" applyBorder="1" applyAlignment="1">
      <alignment horizontal="center"/>
    </xf>
    <xf numFmtId="0" fontId="34" fillId="0" borderId="0" xfId="0" applyFont="1" applyAlignment="1">
      <alignment horizontal="center"/>
    </xf>
    <xf numFmtId="0" fontId="3" fillId="17" borderId="35" xfId="0" applyFont="1" applyFill="1" applyBorder="1" applyAlignment="1">
      <alignment horizontal="center"/>
    </xf>
    <xf numFmtId="0" fontId="3" fillId="17" borderId="36" xfId="0" applyFont="1" applyFill="1" applyBorder="1" applyAlignment="1">
      <alignment horizontal="center"/>
    </xf>
    <xf numFmtId="0" fontId="3" fillId="17" borderId="29" xfId="0" applyFont="1" applyFill="1" applyBorder="1" applyAlignment="1">
      <alignment horizontal="center"/>
    </xf>
    <xf numFmtId="0" fontId="3" fillId="17" borderId="32" xfId="0" applyFont="1" applyFill="1" applyBorder="1" applyAlignment="1">
      <alignment horizontal="center"/>
    </xf>
    <xf numFmtId="0" fontId="3" fillId="17" borderId="30" xfId="0" applyFont="1" applyFill="1" applyBorder="1" applyAlignment="1">
      <alignment horizontal="center"/>
    </xf>
    <xf numFmtId="0" fontId="3" fillId="17" borderId="31" xfId="0" applyFont="1" applyFill="1" applyBorder="1" applyAlignment="1">
      <alignment horizontal="center"/>
    </xf>
  </cellXfs>
  <cellStyles count="5">
    <cellStyle name="% 2" xfId="4" xr:uid="{FDA5B7BA-44B0-470D-AD1A-EAC352803EBA}"/>
    <cellStyle name="Hyperlink 2" xfId="3" xr:uid="{BCDF27FF-64D2-47D0-841B-B8585D46FAFA}"/>
    <cellStyle name="Normal" xfId="0" builtinId="0"/>
    <cellStyle name="Normal 2" xfId="1" xr:uid="{4B63B38A-3E55-482E-B2C3-EB25CAF41629}"/>
    <cellStyle name="Title 2" xfId="2" xr:uid="{90969FF0-57EA-47EC-A937-E19DA0FE550E}"/>
  </cellStyles>
  <dxfs count="57">
    <dxf>
      <fill>
        <patternFill patternType="solid">
          <fgColor auto="1"/>
          <bgColor theme="4" tint="-0.499984740745262"/>
        </patternFill>
      </fill>
      <border>
        <top/>
        <bottom style="thin">
          <color theme="0"/>
        </bottom>
      </border>
    </dxf>
    <dxf>
      <numFmt numFmtId="0" formatCode="General"/>
    </dxf>
    <dxf>
      <numFmt numFmtId="0" formatCode="General"/>
    </dxf>
    <dxf>
      <numFmt numFmtId="0" formatCode="General"/>
    </dxf>
    <dxf>
      <numFmt numFmtId="164" formatCode="[$-409]d\-mmm\-yy;@"/>
    </dxf>
    <dxf>
      <numFmt numFmtId="165" formatCode="[$-409]dd\-mmm\-yy;@"/>
    </dxf>
    <dxf>
      <font>
        <b/>
        <i val="0"/>
        <strike val="0"/>
        <condense val="0"/>
        <extend val="0"/>
        <outline val="0"/>
        <shadow val="0"/>
        <u val="none"/>
        <vertAlign val="baseline"/>
        <sz val="10"/>
        <color auto="1"/>
        <name val="Segoe UI"/>
        <family val="2"/>
        <scheme val="none"/>
      </font>
      <fill>
        <patternFill patternType="solid">
          <fgColor indexed="64"/>
          <bgColor theme="2" tint="-9.9978637043366805E-2"/>
        </patternFill>
      </fill>
      <alignment horizontal="general" vertical="center" textRotation="0" wrapText="1" indent="0" justifyLastLine="0" shrinkToFit="0" readingOrder="0"/>
      <protection locked="1" hidden="0"/>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border>
        <left style="thin">
          <color theme="1"/>
        </left>
        <right style="thin">
          <color theme="1"/>
        </right>
        <top style="thin">
          <color theme="1"/>
        </top>
        <bottom style="thin">
          <color theme="1"/>
        </bottom>
      </border>
    </dxf>
    <dxf>
      <alignment horizontal="right"/>
    </dxf>
    <dxf>
      <alignment horizontal="right"/>
    </dxf>
    <dxf>
      <numFmt numFmtId="165" formatCode="[$-409]dd\-mmm\-yy;@"/>
    </dxf>
    <dxf>
      <numFmt numFmtId="164" formatCode="[$-409]d\-mmm\-yy;@"/>
    </dxf>
    <dxf>
      <alignment vertical="top" textRotation="0" wrapText="0" indent="0" justifyLastLine="0" shrinkToFit="0" readingOrder="0"/>
    </dxf>
    <dxf>
      <numFmt numFmtId="0" formatCode="General"/>
      <alignment vertical="top" textRotation="0" wrapText="1" indent="0" justifyLastLine="0" shrinkToFit="0" readingOrder="0"/>
    </dxf>
    <dxf>
      <alignment horizontal="general" vertical="top" textRotation="0" wrapText="0" indent="0" justifyLastLine="0" shrinkToFit="0" readingOrder="0"/>
    </dxf>
    <dxf>
      <numFmt numFmtId="167" formatCode="[$-409]d\-mmm\-yyyy;@"/>
      <alignment vertical="top" textRotation="0" wrapText="0" indent="0" justifyLastLine="0" shrinkToFit="0" readingOrder="0"/>
    </dxf>
    <dxf>
      <numFmt numFmtId="0" formatCode="General"/>
      <alignment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dxf>
    <dxf>
      <numFmt numFmtId="0" formatCode="General"/>
      <alignment horizontal="center" vertical="top" textRotation="0" wrapText="0" indent="0" justifyLastLine="0" shrinkToFit="0" readingOrder="0"/>
    </dxf>
    <dxf>
      <alignment vertical="top" textRotation="0" wrapText="0" indent="0" justifyLastLine="0" shrinkToFit="0" readingOrder="0"/>
      <border diagonalUp="0" diagonalDown="0">
        <left style="medium">
          <color indexed="64"/>
        </left>
        <right style="medium">
          <color indexed="64"/>
        </right>
        <vertical/>
      </border>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horizontal="general"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alignment vertical="top" textRotation="0" wrapText="0" indent="0" justifyLastLine="0" shrinkToFit="0" readingOrder="0"/>
    </dxf>
    <dxf>
      <border>
        <bottom style="thin">
          <color indexed="64"/>
        </bottom>
      </border>
    </dxf>
    <dxf>
      <font>
        <b/>
        <i val="0"/>
        <strike val="0"/>
        <condense val="0"/>
        <extend val="0"/>
        <outline val="0"/>
        <shadow val="0"/>
        <u val="none"/>
        <vertAlign val="baseline"/>
        <sz val="10"/>
        <color rgb="FF0070C0"/>
        <name val="Segoe UI"/>
        <family val="2"/>
        <scheme val="none"/>
      </font>
      <fill>
        <patternFill patternType="solid">
          <fgColor indexed="64"/>
          <bgColor rgb="FFF3FAFF"/>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protection locked="1" hidden="0"/>
    </dxf>
    <dxf>
      <font>
        <b/>
        <color theme="1"/>
      </font>
      <border>
        <bottom style="thin">
          <color theme="4"/>
        </bottom>
        <vertical/>
        <horizontal/>
      </border>
    </dxf>
    <dxf>
      <font>
        <sz val="11"/>
        <color theme="1"/>
        <name val="Segoe UI"/>
        <family val="2"/>
        <scheme val="none"/>
      </font>
      <border diagonalUp="0" diagonalDown="0">
        <left/>
        <right/>
        <top/>
        <bottom/>
        <vertical/>
        <horizontal/>
      </border>
    </dxf>
    <dxf>
      <fill>
        <patternFill>
          <bgColor theme="0"/>
        </patternFill>
      </fill>
    </dxf>
    <dxf>
      <fill>
        <patternFill>
          <bgColor rgb="FFEFF6FE"/>
        </patternFill>
      </fill>
    </dxf>
    <dxf>
      <font>
        <b/>
        <i val="0"/>
      </font>
      <fill>
        <patternFill>
          <bgColor theme="4" tint="0.79998168889431442"/>
        </patternFill>
      </fill>
      <border>
        <left style="double">
          <color auto="1"/>
        </left>
        <right style="double">
          <color auto="1"/>
        </right>
        <top style="double">
          <color auto="1"/>
        </top>
        <bottom style="double">
          <color auto="1"/>
        </bottom>
      </border>
    </dxf>
    <dxf>
      <font>
        <b/>
        <i val="0"/>
      </font>
      <fill>
        <patternFill>
          <bgColor theme="4" tint="0.79998168889431442"/>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Custom Blue" pivot="0" count="5" xr9:uid="{3E7C2CE2-D3B8-46DC-821E-7938FE0D5890}">
      <tableStyleElement type="wholeTable" dxfId="56"/>
      <tableStyleElement type="headerRow" dxfId="55"/>
      <tableStyleElement type="totalRow" dxfId="54"/>
      <tableStyleElement type="firstRowStripe" dxfId="53"/>
      <tableStyleElement type="secondRowStripe" dxfId="52"/>
    </tableStyle>
    <tableStyle name="Custom slicer" pivot="0" table="0" count="10" xr9:uid="{07302A2B-CDBB-4F82-9327-9AF5F0D9D528}">
      <tableStyleElement type="wholeTable" dxfId="51"/>
      <tableStyleElement type="headerRow" dxfId="50"/>
    </tableStyle>
  </tableStyles>
  <colors>
    <mruColors>
      <color rgb="FF9BC2E6"/>
      <color rgb="FFF5F6FD"/>
      <color rgb="FF800000"/>
      <color rgb="FFFFDCD1"/>
      <color rgb="FF252B42"/>
      <color rgb="FFA29BFE"/>
      <color rgb="FFFF5E8D"/>
      <color rgb="FFF5F5FC"/>
      <color rgb="FFE8F1FB"/>
      <color rgb="FFFF467E"/>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Custom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customXml" Target="../customXml/item6.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5" Type="http://schemas.openxmlformats.org/officeDocument/2006/relationships/customXml" Target="../customXml/item10.xml"/><Relationship Id="rId2" Type="http://schemas.openxmlformats.org/officeDocument/2006/relationships/worksheet" Target="worksheets/sheet2.xml"/><Relationship Id="rId16" Type="http://schemas.openxmlformats.org/officeDocument/2006/relationships/customXml" Target="../customXml/item1.xml"/><Relationship Id="rId20"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24" Type="http://schemas.openxmlformats.org/officeDocument/2006/relationships/customXml" Target="../customXml/item9.xml"/><Relationship Id="rId5" Type="http://schemas.openxmlformats.org/officeDocument/2006/relationships/worksheet" Target="worksheets/sheet5.xml"/><Relationship Id="rId15" Type="http://schemas.openxmlformats.org/officeDocument/2006/relationships/calcChain" Target="calcChain.xml"/><Relationship Id="rId23" Type="http://schemas.openxmlformats.org/officeDocument/2006/relationships/customXml" Target="../customXml/item8.xml"/><Relationship Id="rId10" Type="http://schemas.openxmlformats.org/officeDocument/2006/relationships/pivotCacheDefinition" Target="pivotCache/pivotCacheDefinition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7.xml"/><Relationship Id="rId27"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0E86D4"/>
              </a:gs>
              <a:gs pos="100000">
                <a:srgbClr val="68BBE3"/>
              </a:gs>
            </a:gsLst>
            <a:lin ang="5400000" scaled="1"/>
          </a:gradFill>
          <a:ln w="19050">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rgbClr val="055C9D"/>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A29BFE"/>
          </a:solidFill>
          <a:ln w="12700">
            <a:solidFill>
              <a:srgbClr val="252B42"/>
            </a:solidFill>
          </a:ln>
          <a:effectLst/>
        </c:spPr>
        <c:marker>
          <c:symbol val="none"/>
        </c:marker>
        <c:dLbl>
          <c:idx val="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rgbClr val="800000"/>
          </a:solidFill>
          <a:ln w="12700">
            <a:solidFill>
              <a:srgbClr val="252B42"/>
            </a:solidFill>
          </a:ln>
          <a:effectLst/>
        </c:spPr>
        <c:dLbl>
          <c:idx val="0"/>
          <c:layout>
            <c:manualLayout>
              <c:x val="0.11560927218778835"/>
              <c:y val="-5.7502255944805104E-2"/>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6">
              <a:lumMod val="75000"/>
            </a:schemeClr>
          </a:solidFill>
          <a:ln w="12700">
            <a:solidFill>
              <a:srgbClr val="252B42"/>
            </a:solidFill>
          </a:ln>
          <a:effectLst/>
        </c:spPr>
        <c:dLbl>
          <c:idx val="0"/>
          <c:layout>
            <c:manualLayout>
              <c:x val="9.869084211152665E-2"/>
              <c:y val="0.11212939909236991"/>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spPr>
          <a:solidFill>
            <a:srgbClr val="FFDCD1"/>
          </a:solidFill>
          <a:ln w="12700">
            <a:solidFill>
              <a:srgbClr val="252B42"/>
            </a:solidFill>
          </a:ln>
          <a:effectLst/>
        </c:spPr>
        <c:dLbl>
          <c:idx val="0"/>
          <c:layout>
            <c:manualLayout>
              <c:x val="-0.13111783309102826"/>
              <c:y val="8.6253383917207618E-2"/>
            </c:manualLayout>
          </c:layout>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7757659697102377"/>
          <c:y val="0.1050258330016766"/>
          <c:w val="0.45105767595910179"/>
          <c:h val="0.81978928818998753"/>
        </c:manualLayout>
      </c:layout>
      <c:doughnutChart>
        <c:varyColors val="1"/>
        <c:ser>
          <c:idx val="0"/>
          <c:order val="0"/>
          <c:tx>
            <c:v>Series1</c:v>
          </c:tx>
          <c:spPr>
            <a:solidFill>
              <a:srgbClr val="A29BFE"/>
            </a:solidFill>
            <a:ln w="12700">
              <a:solidFill>
                <a:srgbClr val="252B42"/>
              </a:solidFill>
            </a:ln>
          </c:spPr>
          <c:explosion val="1"/>
          <c:dPt>
            <c:idx val="0"/>
            <c:bubble3D val="0"/>
            <c:spPr>
              <a:solidFill>
                <a:srgbClr val="800000"/>
              </a:solidFill>
              <a:ln w="12700">
                <a:solidFill>
                  <a:srgbClr val="252B42"/>
                </a:solidFill>
              </a:ln>
              <a:effectLst/>
            </c:spPr>
            <c:extLst>
              <c:ext xmlns:c16="http://schemas.microsoft.com/office/drawing/2014/chart" uri="{C3380CC4-5D6E-409C-BE32-E72D297353CC}">
                <c16:uniqueId val="{00000000-2677-4890-A92F-15BB0A2DBBF1}"/>
              </c:ext>
            </c:extLst>
          </c:dPt>
          <c:dPt>
            <c:idx val="1"/>
            <c:bubble3D val="0"/>
            <c:spPr>
              <a:solidFill>
                <a:schemeClr val="accent6">
                  <a:lumMod val="75000"/>
                </a:schemeClr>
              </a:solidFill>
              <a:ln w="12700">
                <a:solidFill>
                  <a:srgbClr val="252B42"/>
                </a:solidFill>
              </a:ln>
              <a:effectLst/>
            </c:spPr>
            <c:extLst>
              <c:ext xmlns:c16="http://schemas.microsoft.com/office/drawing/2014/chart" uri="{C3380CC4-5D6E-409C-BE32-E72D297353CC}">
                <c16:uniqueId val="{00000001-2677-4890-A92F-15BB0A2DBBF1}"/>
              </c:ext>
            </c:extLst>
          </c:dPt>
          <c:dPt>
            <c:idx val="2"/>
            <c:bubble3D val="0"/>
            <c:spPr>
              <a:solidFill>
                <a:srgbClr val="FFDCD1"/>
              </a:solidFill>
              <a:ln w="12700">
                <a:solidFill>
                  <a:srgbClr val="252B42"/>
                </a:solidFill>
              </a:ln>
              <a:effectLst/>
            </c:spPr>
            <c:extLst>
              <c:ext xmlns:c16="http://schemas.microsoft.com/office/drawing/2014/chart" uri="{C3380CC4-5D6E-409C-BE32-E72D297353CC}">
                <c16:uniqueId val="{00000002-2677-4890-A92F-15BB0A2DBBF1}"/>
              </c:ext>
            </c:extLst>
          </c:dPt>
          <c:dLbls>
            <c:dLbl>
              <c:idx val="0"/>
              <c:layout>
                <c:manualLayout>
                  <c:x val="0.11560927218778835"/>
                  <c:y val="-5.750225594480510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2677-4890-A92F-15BB0A2DBBF1}"/>
                </c:ext>
              </c:extLst>
            </c:dLbl>
            <c:dLbl>
              <c:idx val="1"/>
              <c:layout>
                <c:manualLayout>
                  <c:x val="9.869084211152665E-2"/>
                  <c:y val="0.1121293990923699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677-4890-A92F-15BB0A2DBBF1}"/>
                </c:ext>
              </c:extLst>
            </c:dLbl>
            <c:dLbl>
              <c:idx val="2"/>
              <c:layout>
                <c:manualLayout>
                  <c:x val="-0.13111783309102826"/>
                  <c:y val="8.625338391720761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677-4890-A92F-15BB0A2DBBF1}"/>
                </c:ext>
              </c:extLst>
            </c:dLbl>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3"/>
              <c:pt idx="0">
                <c:v>High</c:v>
              </c:pt>
              <c:pt idx="1">
                <c:v>Low</c:v>
              </c:pt>
              <c:pt idx="2">
                <c:v>Medium</c:v>
              </c:pt>
            </c:strLit>
          </c:cat>
          <c:val>
            <c:numLit>
              <c:formatCode>General</c:formatCode>
              <c:ptCount val="3"/>
              <c:pt idx="0">
                <c:v>5</c:v>
              </c:pt>
              <c:pt idx="1">
                <c:v>3</c:v>
              </c:pt>
              <c:pt idx="2">
                <c:v>12</c:v>
              </c:pt>
            </c:numLit>
          </c:val>
          <c:extLst>
            <c:ext xmlns:c16="http://schemas.microsoft.com/office/drawing/2014/chart" uri="{C3380CC4-5D6E-409C-BE32-E72D297353CC}">
              <c16:uniqueId val="{00000000-6DA2-4A63-9DC1-226406D58D05}"/>
            </c:ext>
          </c:extLst>
        </c:ser>
        <c:dLbls>
          <c:showLegendKey val="0"/>
          <c:showVal val="0"/>
          <c:showCatName val="0"/>
          <c:showSerName val="0"/>
          <c:showPercent val="0"/>
          <c:showBubbleSize val="0"/>
          <c:showLeaderLines val="1"/>
        </c:dLbls>
        <c:firstSliceAng val="11"/>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2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rgbClr val="003060"/>
          </a:solidFill>
          <a:ln>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3060"/>
          </a:solidFill>
          <a:ln>
            <a:solidFill>
              <a:schemeClr val="bg1"/>
            </a:solidFill>
          </a:ln>
          <a:effectLst/>
        </c:spPr>
      </c:pivotFmt>
      <c:pivotFmt>
        <c:idx val="7"/>
        <c:spPr>
          <a:solidFill>
            <a:srgbClr val="0E86D4"/>
          </a:solidFill>
          <a:ln>
            <a:noFill/>
          </a:ln>
          <a:effectLst/>
        </c:spPr>
      </c:pivotFmt>
      <c:pivotFmt>
        <c:idx val="8"/>
        <c:spPr>
          <a:solidFill>
            <a:srgbClr val="68BBE3"/>
          </a:solidFill>
          <a:ln>
            <a:noFill/>
          </a:ln>
          <a:effectLst/>
        </c:spPr>
      </c:pivotFmt>
    </c:pivotFmts>
    <c:plotArea>
      <c:layout>
        <c:manualLayout>
          <c:layoutTarget val="inner"/>
          <c:xMode val="edge"/>
          <c:yMode val="edge"/>
          <c:x val="0.17976905032231796"/>
          <c:y val="5.8333361170776032E-2"/>
          <c:w val="0.66343008426346983"/>
          <c:h val="0.82426222425621132"/>
        </c:manualLayout>
      </c:layout>
      <c:doughnutChart>
        <c:varyColors val="1"/>
        <c:dLbls>
          <c:showLegendKey val="0"/>
          <c:showVal val="0"/>
          <c:showCatName val="0"/>
          <c:showSerName val="0"/>
          <c:showPercent val="0"/>
          <c:showBubbleSize val="0"/>
          <c:showLeaderLines val="0"/>
        </c:dLbls>
        <c:firstSliceAng val="0"/>
        <c:holeSize val="74"/>
      </c:doughnutChart>
      <c:spPr>
        <a:noFill/>
        <a:ln>
          <a:noFill/>
        </a:ln>
        <a:effectLst/>
      </c:spPr>
    </c:plotArea>
    <c:legend>
      <c:legendPos val="b"/>
      <c:layout>
        <c:manualLayout>
          <c:xMode val="edge"/>
          <c:yMode val="edge"/>
          <c:x val="4.2747806555208483E-2"/>
          <c:y val="0.82958223888567972"/>
          <c:w val="0.95725219344479151"/>
          <c:h val="0.14668894227700127"/>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29BFE"/>
          </a:solidFill>
          <a:ln>
            <a:noFill/>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Series1</c:v>
          </c:tx>
          <c:spPr>
            <a:solidFill>
              <a:srgbClr val="A29BFE"/>
            </a:solidFill>
            <a:ln>
              <a:noFill/>
            </a:ln>
            <a:effectLst/>
          </c:spPr>
          <c:invertIfNegative val="0"/>
          <c:dLbls>
            <c:spPr>
              <a:noFill/>
              <a:ln>
                <a:noFill/>
              </a:ln>
              <a:effectLst/>
            </c:spPr>
            <c:txPr>
              <a:bodyPr rot="0" spcFirstLastPara="1" vertOverflow="ellipsis" vert="horz" wrap="square" anchor="ctr" anchorCtr="1"/>
              <a:lstStyle/>
              <a:p>
                <a:pPr>
                  <a:defRPr sz="16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8"/>
              <c:pt idx="0">
                <c:v>Ransomware</c:v>
              </c:pt>
              <c:pt idx="1">
                <c:v>Non-compliance</c:v>
              </c:pt>
              <c:pt idx="2">
                <c:v>Identity and Access</c:v>
              </c:pt>
              <c:pt idx="3">
                <c:v>Social Engineering</c:v>
              </c:pt>
              <c:pt idx="4">
                <c:v>Data breach</c:v>
              </c:pt>
              <c:pt idx="5">
                <c:v>Supply Chain </c:v>
              </c:pt>
              <c:pt idx="6">
                <c:v>Insider Threats</c:v>
              </c:pt>
              <c:pt idx="7">
                <c:v>System Vulnerabilities</c:v>
              </c:pt>
            </c:strLit>
          </c:cat>
          <c:val>
            <c:numLit>
              <c:formatCode>General</c:formatCode>
              <c:ptCount val="8"/>
              <c:pt idx="0">
                <c:v>1</c:v>
              </c:pt>
              <c:pt idx="1">
                <c:v>2</c:v>
              </c:pt>
              <c:pt idx="2">
                <c:v>2</c:v>
              </c:pt>
              <c:pt idx="3">
                <c:v>2</c:v>
              </c:pt>
              <c:pt idx="4">
                <c:v>2</c:v>
              </c:pt>
              <c:pt idx="5">
                <c:v>2</c:v>
              </c:pt>
              <c:pt idx="6">
                <c:v>2</c:v>
              </c:pt>
              <c:pt idx="7">
                <c:v>4</c:v>
              </c:pt>
            </c:numLit>
          </c:val>
          <c:extLst>
            <c:ext xmlns:c16="http://schemas.microsoft.com/office/drawing/2014/chart" uri="{C3380CC4-5D6E-409C-BE32-E72D297353CC}">
              <c16:uniqueId val="{00000000-D04A-40CC-9333-D59F8F910A4E}"/>
            </c:ext>
          </c:extLst>
        </c:ser>
        <c:dLbls>
          <c:showLegendKey val="0"/>
          <c:showVal val="0"/>
          <c:showCatName val="0"/>
          <c:showSerName val="0"/>
          <c:showPercent val="0"/>
          <c:showBubbleSize val="0"/>
        </c:dLbls>
        <c:gapWidth val="219"/>
        <c:axId val="1043159680"/>
        <c:axId val="1043158720"/>
      </c:barChart>
      <c:catAx>
        <c:axId val="10431596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043158720"/>
        <c:crosses val="autoZero"/>
        <c:auto val="1"/>
        <c:lblAlgn val="ctr"/>
        <c:lblOffset val="100"/>
        <c:noMultiLvlLbl val="0"/>
      </c:catAx>
      <c:valAx>
        <c:axId val="1043158720"/>
        <c:scaling>
          <c:orientation val="minMax"/>
        </c:scaling>
        <c:delete val="1"/>
        <c:axPos val="b"/>
        <c:numFmt formatCode="General" sourceLinked="1"/>
        <c:majorTickMark val="none"/>
        <c:minorTickMark val="none"/>
        <c:tickLblPos val="nextTo"/>
        <c:crossAx val="10431596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6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val>
            <c:numRef>
              <c:f>#REF!</c:f>
              <c:numCache>
                <c:formatCode>General</c:formatCode>
                <c:ptCount val="1"/>
                <c:pt idx="0">
                  <c:v>1</c:v>
                </c:pt>
              </c:numCache>
            </c:numRef>
          </c:val>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2FD5-4333-8174-94446BA23B59}"/>
            </c:ext>
          </c:extLst>
        </c:ser>
        <c:dLbls>
          <c:showLegendKey val="0"/>
          <c:showVal val="0"/>
          <c:showCatName val="0"/>
          <c:showSerName val="0"/>
          <c:showPercent val="0"/>
          <c:showBubbleSize val="0"/>
        </c:dLbls>
        <c:gapWidth val="150"/>
        <c:axId val="1200276624"/>
        <c:axId val="1200266544"/>
      </c:barChart>
      <c:catAx>
        <c:axId val="1200276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Segoe UI" panose="020B0502040204020203" pitchFamily="34" charset="0"/>
                <a:ea typeface="Segoe UI Black" panose="020B0A02040204020203" pitchFamily="34" charset="0"/>
                <a:cs typeface="Segoe UI" panose="020B0502040204020203" pitchFamily="34" charset="0"/>
              </a:defRPr>
            </a:pPr>
            <a:endParaRPr lang="en-US"/>
          </a:p>
        </c:txPr>
        <c:crossAx val="1200266544"/>
        <c:crosses val="autoZero"/>
        <c:auto val="1"/>
        <c:lblAlgn val="ctr"/>
        <c:lblOffset val="100"/>
        <c:noMultiLvlLbl val="0"/>
      </c:catAx>
      <c:valAx>
        <c:axId val="1200266544"/>
        <c:scaling>
          <c:orientation val="minMax"/>
        </c:scaling>
        <c:delete val="1"/>
        <c:axPos val="l"/>
        <c:numFmt formatCode="General" sourceLinked="1"/>
        <c:majorTickMark val="none"/>
        <c:minorTickMark val="none"/>
        <c:tickLblPos val="nextTo"/>
        <c:crossAx val="120027662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6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val>
            <c:numRef>
              <c:f>#REF!</c:f>
              <c:numCache>
                <c:formatCode>General</c:formatCode>
                <c:ptCount val="1"/>
                <c:pt idx="0">
                  <c:v>1</c:v>
                </c:pt>
              </c:numCache>
            </c:numRef>
          </c:val>
          <c:smooth val="0"/>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7699-4BF7-AE76-A4A6DB2A26A7}"/>
            </c:ext>
          </c:extLst>
        </c:ser>
        <c:dLbls>
          <c:showLegendKey val="0"/>
          <c:showVal val="0"/>
          <c:showCatName val="0"/>
          <c:showSerName val="0"/>
          <c:showPercent val="0"/>
          <c:showBubbleSize val="0"/>
        </c:dLbls>
        <c:smooth val="0"/>
        <c:axId val="421097072"/>
        <c:axId val="421098032"/>
      </c:lineChart>
      <c:catAx>
        <c:axId val="421097072"/>
        <c:scaling>
          <c:orientation val="minMax"/>
        </c:scaling>
        <c:delete val="0"/>
        <c:axPos val="b"/>
        <c:majorGridlines>
          <c:spPr>
            <a:ln w="9525" cap="flat" cmpd="sng" algn="ctr">
              <a:solidFill>
                <a:schemeClr val="tx1">
                  <a:lumMod val="15000"/>
                  <a:lumOff val="85000"/>
                </a:schemeClr>
              </a:solidFill>
              <a:prstDash val="sysDot"/>
              <a:round/>
            </a:ln>
            <a:effectLst/>
          </c:spPr>
        </c:majorGridlines>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21098032"/>
        <c:crosses val="autoZero"/>
        <c:auto val="1"/>
        <c:lblAlgn val="ctr"/>
        <c:lblOffset val="100"/>
        <c:noMultiLvlLbl val="1"/>
      </c:catAx>
      <c:valAx>
        <c:axId val="421098032"/>
        <c:scaling>
          <c:orientation val="minMax"/>
        </c:scaling>
        <c:delete val="1"/>
        <c:axPos val="l"/>
        <c:numFmt formatCode="General" sourceLinked="1"/>
        <c:majorTickMark val="none"/>
        <c:minorTickMark val="none"/>
        <c:tickLblPos val="nextTo"/>
        <c:crossAx val="42109707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600">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582631</xdr:colOff>
      <xdr:row>53</xdr:row>
      <xdr:rowOff>150172</xdr:rowOff>
    </xdr:from>
    <xdr:to>
      <xdr:col>14</xdr:col>
      <xdr:colOff>242454</xdr:colOff>
      <xdr:row>84</xdr:row>
      <xdr:rowOff>41563</xdr:rowOff>
    </xdr:to>
    <xdr:grpSp>
      <xdr:nvGrpSpPr>
        <xdr:cNvPr id="3" name="Group 2">
          <a:extLst>
            <a:ext uri="{FF2B5EF4-FFF2-40B4-BE49-F238E27FC236}">
              <a16:creationId xmlns:a16="http://schemas.microsoft.com/office/drawing/2014/main" id="{33C9ED7B-1AED-3BCE-97DC-44E06C2DC9BA}"/>
            </a:ext>
          </a:extLst>
        </xdr:cNvPr>
        <xdr:cNvGrpSpPr/>
      </xdr:nvGrpSpPr>
      <xdr:grpSpPr>
        <a:xfrm>
          <a:off x="582631" y="10246672"/>
          <a:ext cx="8518073" cy="5796891"/>
          <a:chOff x="4801375" y="1700891"/>
          <a:chExt cx="5274944" cy="5592537"/>
        </a:xfrm>
      </xdr:grpSpPr>
      <xdr:sp macro="" textlink="">
        <xdr:nvSpPr>
          <xdr:cNvPr id="9" name="Rectangle: Rounded Corners 8">
            <a:extLst>
              <a:ext uri="{FF2B5EF4-FFF2-40B4-BE49-F238E27FC236}">
                <a16:creationId xmlns:a16="http://schemas.microsoft.com/office/drawing/2014/main" id="{09510BB3-45F8-BC6C-19F6-A9CF146F1C30}"/>
              </a:ext>
            </a:extLst>
          </xdr:cNvPr>
          <xdr:cNvSpPr/>
        </xdr:nvSpPr>
        <xdr:spPr>
          <a:xfrm>
            <a:off x="4942746" y="1700891"/>
            <a:ext cx="5133573" cy="559253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8" name="Chart 7">
            <a:extLst>
              <a:ext uri="{FF2B5EF4-FFF2-40B4-BE49-F238E27FC236}">
                <a16:creationId xmlns:a16="http://schemas.microsoft.com/office/drawing/2014/main" id="{AB68E320-1FFD-4AB7-83B3-3F3B39D1929A}"/>
              </a:ext>
            </a:extLst>
          </xdr:cNvPr>
          <xdr:cNvGraphicFramePr>
            <a:graphicFrameLocks/>
          </xdr:cNvGraphicFramePr>
        </xdr:nvGraphicFramePr>
        <xdr:xfrm>
          <a:off x="4801375" y="2617675"/>
          <a:ext cx="5213094" cy="441721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10" name="TextBox 9">
            <a:extLst>
              <a:ext uri="{FF2B5EF4-FFF2-40B4-BE49-F238E27FC236}">
                <a16:creationId xmlns:a16="http://schemas.microsoft.com/office/drawing/2014/main" id="{C0241363-C737-AE5F-D619-FF3DF314C1DA}"/>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Active Risks - by Risk</a:t>
            </a:r>
            <a:r>
              <a:rPr lang="en-US" sz="1800" b="1" baseline="0">
                <a:solidFill>
                  <a:srgbClr val="FF5E8D"/>
                </a:solidFill>
                <a:latin typeface="Segoe UI Black" panose="020B0A02040204020203" pitchFamily="34" charset="0"/>
                <a:ea typeface="Segoe UI Black" panose="020B0A02040204020203" pitchFamily="34" charset="0"/>
              </a:rPr>
              <a:t> Levels</a:t>
            </a:r>
            <a:endParaRPr lang="en-US" sz="1800" b="1">
              <a:solidFill>
                <a:srgbClr val="FF5E8D"/>
              </a:solidFill>
              <a:latin typeface="Segoe UI Black" panose="020B0A02040204020203" pitchFamily="34" charset="0"/>
              <a:ea typeface="Segoe UI Black" panose="020B0A02040204020203" pitchFamily="34" charset="0"/>
            </a:endParaRPr>
          </a:p>
        </xdr:txBody>
      </xdr:sp>
      <xdr:cxnSp macro="">
        <xdr:nvCxnSpPr>
          <xdr:cNvPr id="26" name="Straight Connector 25">
            <a:extLst>
              <a:ext uri="{FF2B5EF4-FFF2-40B4-BE49-F238E27FC236}">
                <a16:creationId xmlns:a16="http://schemas.microsoft.com/office/drawing/2014/main" id="{E47032E7-33D4-2758-F5AE-890E1FE72E66}"/>
              </a:ext>
            </a:extLst>
          </xdr:cNvPr>
          <xdr:cNvCxnSpPr/>
        </xdr:nvCxnSpPr>
        <xdr:spPr>
          <a:xfrm flipV="1">
            <a:off x="5140114" y="2604879"/>
            <a:ext cx="4393842"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27" name="TextBox 26">
            <a:extLst>
              <a:ext uri="{FF2B5EF4-FFF2-40B4-BE49-F238E27FC236}">
                <a16:creationId xmlns:a16="http://schemas.microsoft.com/office/drawing/2014/main" id="{70096551-8169-B57E-FFA5-C1792B381FA8}"/>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the number of risks according to each Level</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clientData/>
  </xdr:twoCellAnchor>
  <xdr:twoCellAnchor>
    <xdr:from>
      <xdr:col>1</xdr:col>
      <xdr:colOff>285748</xdr:colOff>
      <xdr:row>15</xdr:row>
      <xdr:rowOff>136071</xdr:rowOff>
    </xdr:from>
    <xdr:to>
      <xdr:col>7</xdr:col>
      <xdr:colOff>136070</xdr:colOff>
      <xdr:row>88</xdr:row>
      <xdr:rowOff>108856</xdr:rowOff>
    </xdr:to>
    <xdr:graphicFrame macro="">
      <xdr:nvGraphicFramePr>
        <xdr:cNvPr id="31" name="Donutchart">
          <a:extLst>
            <a:ext uri="{FF2B5EF4-FFF2-40B4-BE49-F238E27FC236}">
              <a16:creationId xmlns:a16="http://schemas.microsoft.com/office/drawing/2014/main" id="{B2E5149B-3F1B-42ED-A6C8-CDC357F5F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190502</xdr:colOff>
      <xdr:row>7</xdr:row>
      <xdr:rowOff>108855</xdr:rowOff>
    </xdr:from>
    <xdr:to>
      <xdr:col>5</xdr:col>
      <xdr:colOff>435428</xdr:colOff>
      <xdr:row>20</xdr:row>
      <xdr:rowOff>146276</xdr:rowOff>
    </xdr:to>
    <xdr:grpSp>
      <xdr:nvGrpSpPr>
        <xdr:cNvPr id="24" name="Group 23">
          <a:extLst>
            <a:ext uri="{FF2B5EF4-FFF2-40B4-BE49-F238E27FC236}">
              <a16:creationId xmlns:a16="http://schemas.microsoft.com/office/drawing/2014/main" id="{F87C2499-17C0-9B1B-3F3E-A47B794F7A37}"/>
            </a:ext>
          </a:extLst>
        </xdr:cNvPr>
        <xdr:cNvGrpSpPr/>
      </xdr:nvGrpSpPr>
      <xdr:grpSpPr>
        <a:xfrm>
          <a:off x="800102" y="1442355"/>
          <a:ext cx="3007176" cy="2513921"/>
          <a:chOff x="892971" y="1700890"/>
          <a:chExt cx="2998142" cy="2513921"/>
        </a:xfrm>
      </xdr:grpSpPr>
      <xdr:sp macro="" textlink="">
        <xdr:nvSpPr>
          <xdr:cNvPr id="7" name="Rectangle: Rounded Corners 6">
            <a:extLst>
              <a:ext uri="{FF2B5EF4-FFF2-40B4-BE49-F238E27FC236}">
                <a16:creationId xmlns:a16="http://schemas.microsoft.com/office/drawing/2014/main" id="{C9EDB577-3689-578D-A6E1-8AD87DB381BC}"/>
              </a:ext>
            </a:extLst>
          </xdr:cNvPr>
          <xdr:cNvSpPr/>
        </xdr:nvSpPr>
        <xdr:spPr>
          <a:xfrm>
            <a:off x="892971" y="1700890"/>
            <a:ext cx="2998142"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 name="TextBox 10">
            <a:extLst>
              <a:ext uri="{FF2B5EF4-FFF2-40B4-BE49-F238E27FC236}">
                <a16:creationId xmlns:a16="http://schemas.microsoft.com/office/drawing/2014/main" id="{76D0F9FC-0D1C-65A7-F075-28BA289AE535}"/>
              </a:ext>
            </a:extLst>
          </xdr:cNvPr>
          <xdr:cNvSpPr txBox="1"/>
        </xdr:nvSpPr>
        <xdr:spPr>
          <a:xfrm>
            <a:off x="974408" y="1823354"/>
            <a:ext cx="2469696" cy="5306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Active Risks</a:t>
            </a:r>
          </a:p>
        </xdr:txBody>
      </xdr:sp>
      <xdr:sp macro="" textlink="">
        <xdr:nvSpPr>
          <xdr:cNvPr id="15" name="TextBox 14">
            <a:extLst>
              <a:ext uri="{FF2B5EF4-FFF2-40B4-BE49-F238E27FC236}">
                <a16:creationId xmlns:a16="http://schemas.microsoft.com/office/drawing/2014/main" id="{E778D425-EB67-6C76-C8C2-487137E0F9B1}"/>
              </a:ext>
            </a:extLst>
          </xdr:cNvPr>
          <xdr:cNvSpPr txBox="1"/>
        </xdr:nvSpPr>
        <xdr:spPr>
          <a:xfrm>
            <a:off x="961006" y="2177140"/>
            <a:ext cx="2700520"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Total risks under active management</a:t>
            </a:r>
          </a:p>
        </xdr:txBody>
      </xdr:sp>
      <xdr:cxnSp macro="">
        <xdr:nvCxnSpPr>
          <xdr:cNvPr id="30" name="Straight Connector 29">
            <a:extLst>
              <a:ext uri="{FF2B5EF4-FFF2-40B4-BE49-F238E27FC236}">
                <a16:creationId xmlns:a16="http://schemas.microsoft.com/office/drawing/2014/main" id="{193866EC-F1C0-FA9F-BF25-8652DD26D6FE}"/>
              </a:ext>
            </a:extLst>
          </xdr:cNvPr>
          <xdr:cNvCxnSpPr/>
        </xdr:nvCxnSpPr>
        <xdr:spPr>
          <a:xfrm>
            <a:off x="1056254" y="2509630"/>
            <a:ext cx="2631884"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34" name="percent_compliance">
            <a:extLst>
              <a:ext uri="{FF2B5EF4-FFF2-40B4-BE49-F238E27FC236}">
                <a16:creationId xmlns:a16="http://schemas.microsoft.com/office/drawing/2014/main" id="{E0D21FD1-28D3-04FE-982A-71BE6EADDE5A}"/>
              </a:ext>
            </a:extLst>
          </xdr:cNvPr>
          <xdr:cNvSpPr txBox="1"/>
        </xdr:nvSpPr>
        <xdr:spPr>
          <a:xfrm>
            <a:off x="1383025" y="2734037"/>
            <a:ext cx="1529504"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4E42551-B7A9-41C7-B9FE-EEDA2B5C7408}" type="TxLink">
              <a:rPr lang="en-US" sz="6600" b="0" i="0" u="none" strike="noStrike">
                <a:solidFill>
                  <a:schemeClr val="bg1"/>
                </a:solidFill>
                <a:latin typeface="Segoe UI Black" panose="020B0A02040204020203" pitchFamily="34" charset="0"/>
                <a:ea typeface="Segoe UI Black" panose="020B0A02040204020203" pitchFamily="34" charset="0"/>
                <a:cs typeface="Segoe UI" panose="020B0502040204020203" pitchFamily="34" charset="0"/>
              </a:rPr>
              <a:pPr marL="0" indent="0" algn="ctr"/>
              <a:t>17</a:t>
            </a:fld>
            <a:endParaRPr lang="en-US" sz="413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6</xdr:col>
      <xdr:colOff>193221</xdr:colOff>
      <xdr:row>7</xdr:row>
      <xdr:rowOff>97969</xdr:rowOff>
    </xdr:from>
    <xdr:to>
      <xdr:col>11</xdr:col>
      <xdr:colOff>163285</xdr:colOff>
      <xdr:row>20</xdr:row>
      <xdr:rowOff>135390</xdr:rowOff>
    </xdr:to>
    <xdr:grpSp>
      <xdr:nvGrpSpPr>
        <xdr:cNvPr id="4" name="Group 3">
          <a:extLst>
            <a:ext uri="{FF2B5EF4-FFF2-40B4-BE49-F238E27FC236}">
              <a16:creationId xmlns:a16="http://schemas.microsoft.com/office/drawing/2014/main" id="{6F9256E2-61FC-4EFE-8435-30DC00996FC1}"/>
            </a:ext>
          </a:extLst>
        </xdr:cNvPr>
        <xdr:cNvGrpSpPr/>
      </xdr:nvGrpSpPr>
      <xdr:grpSpPr>
        <a:xfrm>
          <a:off x="4174671" y="1431469"/>
          <a:ext cx="3018064" cy="2513921"/>
          <a:chOff x="892971" y="1700890"/>
          <a:chExt cx="2521630" cy="2513921"/>
        </a:xfrm>
      </xdr:grpSpPr>
      <xdr:sp macro="" textlink="">
        <xdr:nvSpPr>
          <xdr:cNvPr id="12" name="Rectangle: Rounded Corners 11">
            <a:extLst>
              <a:ext uri="{FF2B5EF4-FFF2-40B4-BE49-F238E27FC236}">
                <a16:creationId xmlns:a16="http://schemas.microsoft.com/office/drawing/2014/main" id="{B426A916-E968-F95D-1557-6232C3426EB2}"/>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20" name="TextBox 19">
            <a:extLst>
              <a:ext uri="{FF2B5EF4-FFF2-40B4-BE49-F238E27FC236}">
                <a16:creationId xmlns:a16="http://schemas.microsoft.com/office/drawing/2014/main" id="{825FACDF-D39B-BB4E-6F5E-93C282FC8126}"/>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Mitigated Risks</a:t>
            </a:r>
          </a:p>
        </xdr:txBody>
      </xdr:sp>
      <xdr:sp macro="" textlink="">
        <xdr:nvSpPr>
          <xdr:cNvPr id="23" name="TextBox 22">
            <a:extLst>
              <a:ext uri="{FF2B5EF4-FFF2-40B4-BE49-F238E27FC236}">
                <a16:creationId xmlns:a16="http://schemas.microsoft.com/office/drawing/2014/main" id="{970A0FD3-705B-D64F-C266-C8A619314F9F}"/>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Percentage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are mitigated so far</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25" name="Straight Connector 24">
            <a:extLst>
              <a:ext uri="{FF2B5EF4-FFF2-40B4-BE49-F238E27FC236}">
                <a16:creationId xmlns:a16="http://schemas.microsoft.com/office/drawing/2014/main" id="{1145DA43-7C69-B3CD-EC15-3F6BE86AFDF8}"/>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28" name="percent_compliance">
            <a:extLst>
              <a:ext uri="{FF2B5EF4-FFF2-40B4-BE49-F238E27FC236}">
                <a16:creationId xmlns:a16="http://schemas.microsoft.com/office/drawing/2014/main" id="{22CAC42D-A46F-F90A-86A8-EBDEAD1E50A6}"/>
              </a:ext>
            </a:extLst>
          </xdr:cNvPr>
          <xdr:cNvSpPr txBox="1"/>
        </xdr:nvSpPr>
        <xdr:spPr>
          <a:xfrm>
            <a:off x="1383025" y="2734037"/>
            <a:ext cx="1529504"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F0FF42C-731A-4887-BB13-72C208E1C68F}" type="TxLink">
              <a:rPr lang="en-US" sz="6600" b="0" i="0" u="none" strike="noStrike">
                <a:solidFill>
                  <a:schemeClr val="bg1"/>
                </a:solidFill>
                <a:latin typeface="Segoe UI Black" panose="020B0A02040204020203" pitchFamily="34" charset="0"/>
                <a:ea typeface="Segoe UI Black" panose="020B0A02040204020203" pitchFamily="34" charset="0"/>
                <a:cs typeface="Segoe UI" panose="020B0502040204020203" pitchFamily="34" charset="0"/>
              </a:rPr>
              <a:pPr marL="0" indent="0" algn="ctr"/>
              <a:t>5%</a:t>
            </a:fld>
            <a:endParaRPr lang="en-US" sz="3333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0</xdr:col>
      <xdr:colOff>41829</xdr:colOff>
      <xdr:row>0</xdr:row>
      <xdr:rowOff>98778</xdr:rowOff>
    </xdr:from>
    <xdr:to>
      <xdr:col>29</xdr:col>
      <xdr:colOff>259543</xdr:colOff>
      <xdr:row>7</xdr:row>
      <xdr:rowOff>23686</xdr:rowOff>
    </xdr:to>
    <xdr:grpSp>
      <xdr:nvGrpSpPr>
        <xdr:cNvPr id="18" name="Group 17">
          <a:extLst>
            <a:ext uri="{FF2B5EF4-FFF2-40B4-BE49-F238E27FC236}">
              <a16:creationId xmlns:a16="http://schemas.microsoft.com/office/drawing/2014/main" id="{DD652988-EAB1-E734-74FA-E2FE753812DE}"/>
            </a:ext>
          </a:extLst>
        </xdr:cNvPr>
        <xdr:cNvGrpSpPr>
          <a:grpSpLocks/>
        </xdr:cNvGrpSpPr>
      </xdr:nvGrpSpPr>
      <xdr:grpSpPr>
        <a:xfrm>
          <a:off x="41829" y="98778"/>
          <a:ext cx="18219964" cy="1258408"/>
          <a:chOff x="13607" y="0"/>
          <a:chExt cx="18301607" cy="1265464"/>
        </a:xfrm>
      </xdr:grpSpPr>
      <xdr:sp macro="" textlink="">
        <xdr:nvSpPr>
          <xdr:cNvPr id="16" name="Rectangle 15">
            <a:extLst>
              <a:ext uri="{FF2B5EF4-FFF2-40B4-BE49-F238E27FC236}">
                <a16:creationId xmlns:a16="http://schemas.microsoft.com/office/drawing/2014/main" id="{4A442A50-9C22-1ADC-BA9C-6B1D16E03F11}"/>
              </a:ext>
            </a:extLst>
          </xdr:cNvPr>
          <xdr:cNvSpPr/>
        </xdr:nvSpPr>
        <xdr:spPr>
          <a:xfrm>
            <a:off x="13607" y="0"/>
            <a:ext cx="18301607"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6" name="Rectangle 5">
            <a:extLst>
              <a:ext uri="{FF2B5EF4-FFF2-40B4-BE49-F238E27FC236}">
                <a16:creationId xmlns:a16="http://schemas.microsoft.com/office/drawing/2014/main" id="{5C11FBAE-C86B-13A1-C003-EA999969D7E4}"/>
              </a:ext>
            </a:extLst>
          </xdr:cNvPr>
          <xdr:cNvSpPr/>
        </xdr:nvSpPr>
        <xdr:spPr>
          <a:xfrm>
            <a:off x="3818796" y="121536"/>
            <a:ext cx="6005561"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DASHBOARD</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twoCellAnchor>
    <xdr:from>
      <xdr:col>1</xdr:col>
      <xdr:colOff>328708</xdr:colOff>
      <xdr:row>87</xdr:row>
      <xdr:rowOff>93916</xdr:rowOff>
    </xdr:from>
    <xdr:to>
      <xdr:col>15</xdr:col>
      <xdr:colOff>455709</xdr:colOff>
      <xdr:row>103</xdr:row>
      <xdr:rowOff>207842</xdr:rowOff>
    </xdr:to>
    <xdr:sp macro="" textlink="">
      <xdr:nvSpPr>
        <xdr:cNvPr id="22" name="Rectangle: Rounded Corners 21">
          <a:extLst>
            <a:ext uri="{FF2B5EF4-FFF2-40B4-BE49-F238E27FC236}">
              <a16:creationId xmlns:a16="http://schemas.microsoft.com/office/drawing/2014/main" id="{C00745E8-B6A3-5C71-E0FB-989A9A6B49A0}"/>
            </a:ext>
          </a:extLst>
        </xdr:cNvPr>
        <xdr:cNvSpPr/>
      </xdr:nvSpPr>
      <xdr:spPr>
        <a:xfrm>
          <a:off x="1030943" y="16798151"/>
          <a:ext cx="10316884" cy="5388162"/>
        </a:xfrm>
        <a:prstGeom prst="roundRect">
          <a:avLst>
            <a:gd name="adj" fmla="val 5942"/>
          </a:avLst>
        </a:prstGeom>
        <a:noFill/>
        <a:ln w="57150">
          <a:solidFill>
            <a:srgbClr val="A29BF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xdr:col>
      <xdr:colOff>560483</xdr:colOff>
      <xdr:row>88</xdr:row>
      <xdr:rowOff>80367</xdr:rowOff>
    </xdr:from>
    <xdr:to>
      <xdr:col>5</xdr:col>
      <xdr:colOff>5643</xdr:colOff>
      <xdr:row>90</xdr:row>
      <xdr:rowOff>144702</xdr:rowOff>
    </xdr:to>
    <xdr:sp macro="" textlink="">
      <xdr:nvSpPr>
        <xdr:cNvPr id="29" name="TextBox 28">
          <a:extLst>
            <a:ext uri="{FF2B5EF4-FFF2-40B4-BE49-F238E27FC236}">
              <a16:creationId xmlns:a16="http://schemas.microsoft.com/office/drawing/2014/main" id="{5FB5553D-ABCE-4C20-A2BB-D6C8AEFA051D}"/>
            </a:ext>
          </a:extLst>
        </xdr:cNvPr>
        <xdr:cNvSpPr txBox="1"/>
      </xdr:nvSpPr>
      <xdr:spPr>
        <a:xfrm>
          <a:off x="1172804" y="10557867"/>
          <a:ext cx="2221018" cy="445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800" b="1">
              <a:solidFill>
                <a:srgbClr val="FF5E8D"/>
              </a:solidFill>
              <a:latin typeface="Segoe UI Black" panose="020B0A02040204020203" pitchFamily="34" charset="0"/>
              <a:ea typeface="Segoe UI Black" panose="020B0A02040204020203" pitchFamily="34" charset="0"/>
              <a:cs typeface="Segoe UI" panose="020B0502040204020203" pitchFamily="34" charset="0"/>
            </a:rPr>
            <a:t>Risk Heatmap</a:t>
          </a:r>
        </a:p>
      </xdr:txBody>
    </xdr:sp>
    <xdr:clientData/>
  </xdr:twoCellAnchor>
  <xdr:twoCellAnchor>
    <xdr:from>
      <xdr:col>1</xdr:col>
      <xdr:colOff>560483</xdr:colOff>
      <xdr:row>90</xdr:row>
      <xdr:rowOff>139989</xdr:rowOff>
    </xdr:from>
    <xdr:to>
      <xdr:col>7</xdr:col>
      <xdr:colOff>107682</xdr:colOff>
      <xdr:row>92</xdr:row>
      <xdr:rowOff>74223</xdr:rowOff>
    </xdr:to>
    <xdr:sp macro="" textlink="">
      <xdr:nvSpPr>
        <xdr:cNvPr id="33" name="TextBox 32">
          <a:extLst>
            <a:ext uri="{FF2B5EF4-FFF2-40B4-BE49-F238E27FC236}">
              <a16:creationId xmlns:a16="http://schemas.microsoft.com/office/drawing/2014/main" id="{40426AFB-CA1E-4D5E-9A27-4FA420735EF6}"/>
            </a:ext>
          </a:extLst>
        </xdr:cNvPr>
        <xdr:cNvSpPr txBox="1"/>
      </xdr:nvSpPr>
      <xdr:spPr>
        <a:xfrm>
          <a:off x="1172804" y="10998489"/>
          <a:ext cx="3547699" cy="342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rgbClr val="252B42"/>
              </a:solidFill>
              <a:latin typeface="Segoe UI" panose="020B0502040204020203" pitchFamily="34" charset="0"/>
              <a:ea typeface="Segoe UI Black" panose="020B0A02040204020203" pitchFamily="34" charset="0"/>
              <a:cs typeface="Segoe UI" panose="020B0502040204020203" pitchFamily="34" charset="0"/>
            </a:rPr>
            <a:t>Heatmap showing all Active Risks</a:t>
          </a:r>
        </a:p>
      </xdr:txBody>
    </xdr:sp>
    <xdr:clientData/>
  </xdr:twoCellAnchor>
  <xdr:twoCellAnchor>
    <xdr:from>
      <xdr:col>1</xdr:col>
      <xdr:colOff>560482</xdr:colOff>
      <xdr:row>92</xdr:row>
      <xdr:rowOff>73060</xdr:rowOff>
    </xdr:from>
    <xdr:to>
      <xdr:col>14</xdr:col>
      <xdr:colOff>320452</xdr:colOff>
      <xdr:row>92</xdr:row>
      <xdr:rowOff>74220</xdr:rowOff>
    </xdr:to>
    <xdr:cxnSp macro="">
      <xdr:nvCxnSpPr>
        <xdr:cNvPr id="35" name="Straight Connector 34">
          <a:extLst>
            <a:ext uri="{FF2B5EF4-FFF2-40B4-BE49-F238E27FC236}">
              <a16:creationId xmlns:a16="http://schemas.microsoft.com/office/drawing/2014/main" id="{54159814-5774-4FD3-99B6-5FBB9DF9B963}"/>
            </a:ext>
          </a:extLst>
        </xdr:cNvPr>
        <xdr:cNvCxnSpPr/>
      </xdr:nvCxnSpPr>
      <xdr:spPr>
        <a:xfrm flipV="1">
          <a:off x="1172803" y="11339774"/>
          <a:ext cx="8046720" cy="1160"/>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12</xdr:col>
      <xdr:colOff>70756</xdr:colOff>
      <xdr:row>7</xdr:row>
      <xdr:rowOff>111573</xdr:rowOff>
    </xdr:from>
    <xdr:to>
      <xdr:col>17</xdr:col>
      <xdr:colOff>40820</xdr:colOff>
      <xdr:row>20</xdr:row>
      <xdr:rowOff>148994</xdr:rowOff>
    </xdr:to>
    <xdr:grpSp>
      <xdr:nvGrpSpPr>
        <xdr:cNvPr id="47" name="Group 46">
          <a:extLst>
            <a:ext uri="{FF2B5EF4-FFF2-40B4-BE49-F238E27FC236}">
              <a16:creationId xmlns:a16="http://schemas.microsoft.com/office/drawing/2014/main" id="{16281D26-102B-34B8-21EE-F981F3C0BA19}"/>
            </a:ext>
          </a:extLst>
        </xdr:cNvPr>
        <xdr:cNvGrpSpPr/>
      </xdr:nvGrpSpPr>
      <xdr:grpSpPr>
        <a:xfrm>
          <a:off x="7709806" y="1445073"/>
          <a:ext cx="3018064" cy="2513921"/>
          <a:chOff x="892971" y="1700890"/>
          <a:chExt cx="2521630" cy="2513921"/>
        </a:xfrm>
      </xdr:grpSpPr>
      <xdr:sp macro="" textlink="">
        <xdr:nvSpPr>
          <xdr:cNvPr id="48" name="Rectangle: Rounded Corners 47">
            <a:extLst>
              <a:ext uri="{FF2B5EF4-FFF2-40B4-BE49-F238E27FC236}">
                <a16:creationId xmlns:a16="http://schemas.microsoft.com/office/drawing/2014/main" id="{7C50DEF6-631C-765C-3FCA-2E32C0B52006}"/>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49" name="TextBox 48">
            <a:extLst>
              <a:ext uri="{FF2B5EF4-FFF2-40B4-BE49-F238E27FC236}">
                <a16:creationId xmlns:a16="http://schemas.microsoft.com/office/drawing/2014/main" id="{B69F82E3-A804-416A-3675-F2C9AA7507A1}"/>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Risk above tolerance</a:t>
            </a:r>
          </a:p>
        </xdr:txBody>
      </xdr:sp>
      <xdr:sp macro="" textlink="">
        <xdr:nvSpPr>
          <xdr:cNvPr id="50" name="TextBox 49">
            <a:extLst>
              <a:ext uri="{FF2B5EF4-FFF2-40B4-BE49-F238E27FC236}">
                <a16:creationId xmlns:a16="http://schemas.microsoft.com/office/drawing/2014/main" id="{F626814A-98DA-8C37-C27D-FE5D588E4954}"/>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of risks that exceed the tolerance level</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51" name="Straight Connector 50">
            <a:extLst>
              <a:ext uri="{FF2B5EF4-FFF2-40B4-BE49-F238E27FC236}">
                <a16:creationId xmlns:a16="http://schemas.microsoft.com/office/drawing/2014/main" id="{91F4EF14-FD11-1C4A-2067-DD36DAB7F88F}"/>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52" name="percent_compliance">
            <a:extLst>
              <a:ext uri="{FF2B5EF4-FFF2-40B4-BE49-F238E27FC236}">
                <a16:creationId xmlns:a16="http://schemas.microsoft.com/office/drawing/2014/main" id="{93560452-6366-FF57-FD4D-97C01AE27B23}"/>
              </a:ext>
            </a:extLst>
          </xdr:cNvPr>
          <xdr:cNvSpPr txBox="1"/>
        </xdr:nvSpPr>
        <xdr:spPr>
          <a:xfrm>
            <a:off x="1037842" y="2734037"/>
            <a:ext cx="2252262"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FD8F480-B4F4-44FF-9345-65C5E8F40614}" type="TxLink">
              <a:rPr lang="en-US" sz="6600" b="1" i="0" u="none" strike="noStrike">
                <a:solidFill>
                  <a:schemeClr val="bg1"/>
                </a:solidFill>
                <a:latin typeface="Segoe UI Black" panose="020B0A02040204020203" pitchFamily="34" charset="0"/>
                <a:ea typeface="Segoe UI Black" panose="020B0A02040204020203" pitchFamily="34" charset="0"/>
                <a:cs typeface="Calibri"/>
              </a:rPr>
              <a:pPr marL="0" indent="0" algn="ctr"/>
              <a:t>85%</a:t>
            </a:fld>
            <a:endParaRPr lang="en-US" sz="66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17</xdr:col>
      <xdr:colOff>601435</xdr:colOff>
      <xdr:row>7</xdr:row>
      <xdr:rowOff>111577</xdr:rowOff>
    </xdr:from>
    <xdr:to>
      <xdr:col>22</xdr:col>
      <xdr:colOff>571499</xdr:colOff>
      <xdr:row>20</xdr:row>
      <xdr:rowOff>148998</xdr:rowOff>
    </xdr:to>
    <xdr:grpSp>
      <xdr:nvGrpSpPr>
        <xdr:cNvPr id="57" name="Group 56">
          <a:extLst>
            <a:ext uri="{FF2B5EF4-FFF2-40B4-BE49-F238E27FC236}">
              <a16:creationId xmlns:a16="http://schemas.microsoft.com/office/drawing/2014/main" id="{CDD7C690-D838-1E3E-CD68-3C965874CAF4}"/>
            </a:ext>
          </a:extLst>
        </xdr:cNvPr>
        <xdr:cNvGrpSpPr/>
      </xdr:nvGrpSpPr>
      <xdr:grpSpPr>
        <a:xfrm>
          <a:off x="11288485" y="1445077"/>
          <a:ext cx="3018064" cy="2513921"/>
          <a:chOff x="892971" y="1700890"/>
          <a:chExt cx="2521630" cy="2513921"/>
        </a:xfrm>
      </xdr:grpSpPr>
      <xdr:sp macro="" textlink="">
        <xdr:nvSpPr>
          <xdr:cNvPr id="58" name="Rectangle: Rounded Corners 57">
            <a:extLst>
              <a:ext uri="{FF2B5EF4-FFF2-40B4-BE49-F238E27FC236}">
                <a16:creationId xmlns:a16="http://schemas.microsoft.com/office/drawing/2014/main" id="{11887F73-8817-C678-122D-3E504132A7D2}"/>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59" name="TextBox 58">
            <a:extLst>
              <a:ext uri="{FF2B5EF4-FFF2-40B4-BE49-F238E27FC236}">
                <a16:creationId xmlns:a16="http://schemas.microsoft.com/office/drawing/2014/main" id="{A5D0862F-0E4E-C6D3-EAA3-F9AD65BD806D}"/>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Accepted Risks</a:t>
            </a:r>
          </a:p>
        </xdr:txBody>
      </xdr:sp>
      <xdr:sp macro="" textlink="">
        <xdr:nvSpPr>
          <xdr:cNvPr id="60" name="TextBox 59">
            <a:extLst>
              <a:ext uri="{FF2B5EF4-FFF2-40B4-BE49-F238E27FC236}">
                <a16:creationId xmlns:a16="http://schemas.microsoft.com/office/drawing/2014/main" id="{3E678E0B-CE09-0C3E-FC3F-230B184C0C20}"/>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Percentage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have been accepted</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61" name="Straight Connector 60">
            <a:extLst>
              <a:ext uri="{FF2B5EF4-FFF2-40B4-BE49-F238E27FC236}">
                <a16:creationId xmlns:a16="http://schemas.microsoft.com/office/drawing/2014/main" id="{A4CFDB0B-D48D-9F8A-49E7-BF1273E06776}"/>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62" name="percent_compliance">
            <a:extLst>
              <a:ext uri="{FF2B5EF4-FFF2-40B4-BE49-F238E27FC236}">
                <a16:creationId xmlns:a16="http://schemas.microsoft.com/office/drawing/2014/main" id="{343466BC-1202-60B5-C6C8-8DD24355F569}"/>
              </a:ext>
            </a:extLst>
          </xdr:cNvPr>
          <xdr:cNvSpPr txBox="1"/>
        </xdr:nvSpPr>
        <xdr:spPr>
          <a:xfrm>
            <a:off x="1162338" y="2734037"/>
            <a:ext cx="2014588"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6D1DF39-C396-4E43-BA55-CDF38F199D57}" type="TxLink">
              <a:rPr lang="en-US" sz="6600" b="0" i="0" u="none" strike="noStrike">
                <a:solidFill>
                  <a:schemeClr val="bg1"/>
                </a:solidFill>
                <a:latin typeface="Segoe UI Black" panose="020B0A02040204020203" pitchFamily="34" charset="0"/>
                <a:ea typeface="Segoe UI Black" panose="020B0A02040204020203" pitchFamily="34" charset="0"/>
                <a:cs typeface="Calibri"/>
              </a:rPr>
              <a:pPr marL="0" indent="0" algn="ctr"/>
              <a:t>10%</a:t>
            </a:fld>
            <a:endParaRPr lang="en-US" sz="6600" b="0">
              <a:solidFill>
                <a:schemeClr val="bg1"/>
              </a:solidFill>
              <a:latin typeface="Segoe UI Black" panose="020B0A02040204020203" pitchFamily="34" charset="0"/>
              <a:ea typeface="Segoe UI Black" panose="020B0A02040204020203" pitchFamily="34" charset="0"/>
              <a:cs typeface="Segoe UI" panose="020B0502040204020203" pitchFamily="34" charset="0"/>
            </a:endParaRPr>
          </a:p>
        </xdr:txBody>
      </xdr:sp>
    </xdr:grpSp>
    <xdr:clientData/>
  </xdr:twoCellAnchor>
  <xdr:twoCellAnchor editAs="absolute">
    <xdr:from>
      <xdr:col>23</xdr:col>
      <xdr:colOff>465365</xdr:colOff>
      <xdr:row>7</xdr:row>
      <xdr:rowOff>125183</xdr:rowOff>
    </xdr:from>
    <xdr:to>
      <xdr:col>28</xdr:col>
      <xdr:colOff>435429</xdr:colOff>
      <xdr:row>20</xdr:row>
      <xdr:rowOff>162604</xdr:rowOff>
    </xdr:to>
    <xdr:grpSp>
      <xdr:nvGrpSpPr>
        <xdr:cNvPr id="69" name="Group 68">
          <a:extLst>
            <a:ext uri="{FF2B5EF4-FFF2-40B4-BE49-F238E27FC236}">
              <a16:creationId xmlns:a16="http://schemas.microsoft.com/office/drawing/2014/main" id="{40D4A8C0-DE3F-F355-B021-455C2977B9C3}"/>
            </a:ext>
          </a:extLst>
        </xdr:cNvPr>
        <xdr:cNvGrpSpPr/>
      </xdr:nvGrpSpPr>
      <xdr:grpSpPr>
        <a:xfrm>
          <a:off x="14810015" y="1458683"/>
          <a:ext cx="3018064" cy="2513921"/>
          <a:chOff x="892971" y="1700890"/>
          <a:chExt cx="2521630" cy="2513921"/>
        </a:xfrm>
      </xdr:grpSpPr>
      <xdr:sp macro="" textlink="">
        <xdr:nvSpPr>
          <xdr:cNvPr id="70" name="Rectangle: Rounded Corners 69">
            <a:extLst>
              <a:ext uri="{FF2B5EF4-FFF2-40B4-BE49-F238E27FC236}">
                <a16:creationId xmlns:a16="http://schemas.microsoft.com/office/drawing/2014/main" id="{A74A0664-8119-F65D-A761-FBCA3C180B67}"/>
              </a:ext>
            </a:extLst>
          </xdr:cNvPr>
          <xdr:cNvSpPr/>
        </xdr:nvSpPr>
        <xdr:spPr>
          <a:xfrm>
            <a:off x="892971" y="1700890"/>
            <a:ext cx="2521630" cy="2513921"/>
          </a:xfrm>
          <a:prstGeom prst="roundRect">
            <a:avLst>
              <a:gd name="adj" fmla="val 9032"/>
            </a:avLst>
          </a:prstGeom>
          <a:solidFill>
            <a:srgbClr val="252B4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71" name="TextBox 70">
            <a:extLst>
              <a:ext uri="{FF2B5EF4-FFF2-40B4-BE49-F238E27FC236}">
                <a16:creationId xmlns:a16="http://schemas.microsoft.com/office/drawing/2014/main" id="{CC3D0E85-EB83-0989-7BEC-1C7CB8B3586A}"/>
              </a:ext>
            </a:extLst>
          </xdr:cNvPr>
          <xdr:cNvSpPr txBox="1"/>
        </xdr:nvSpPr>
        <xdr:spPr>
          <a:xfrm>
            <a:off x="947398" y="1864176"/>
            <a:ext cx="2286116" cy="391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Segoe UI Black" panose="020B0A02040204020203" pitchFamily="34" charset="0"/>
                <a:ea typeface="Segoe UI Black" panose="020B0A02040204020203" pitchFamily="34" charset="0"/>
                <a:cs typeface="Segoe UI" panose="020B0502040204020203" pitchFamily="34" charset="0"/>
              </a:rPr>
              <a:t>Overdue Risks</a:t>
            </a:r>
          </a:p>
        </xdr:txBody>
      </xdr:sp>
      <xdr:sp macro="" textlink="">
        <xdr:nvSpPr>
          <xdr:cNvPr id="72" name="TextBox 71">
            <a:extLst>
              <a:ext uri="{FF2B5EF4-FFF2-40B4-BE49-F238E27FC236}">
                <a16:creationId xmlns:a16="http://schemas.microsoft.com/office/drawing/2014/main" id="{5D112397-B051-E358-76F8-9B79373E0F2D}"/>
              </a:ext>
            </a:extLst>
          </xdr:cNvPr>
          <xdr:cNvSpPr txBox="1"/>
        </xdr:nvSpPr>
        <xdr:spPr>
          <a:xfrm>
            <a:off x="961006" y="2177140"/>
            <a:ext cx="2432275" cy="3401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rPr>
              <a:t>Number of risks</a:t>
            </a:r>
            <a:r>
              <a:rPr lang="en-US" sz="1100" b="0" baseline="0">
                <a:solidFill>
                  <a:schemeClr val="bg1"/>
                </a:solidFill>
                <a:latin typeface="Segoe UI" panose="020B0502040204020203" pitchFamily="34" charset="0"/>
                <a:ea typeface="Segoe UI Black" panose="020B0A02040204020203" pitchFamily="34" charset="0"/>
                <a:cs typeface="Segoe UI" panose="020B0502040204020203" pitchFamily="34" charset="0"/>
              </a:rPr>
              <a:t> that are overdue</a:t>
            </a:r>
            <a:endParaRPr lang="en-US" sz="1100" b="0">
              <a:solidFill>
                <a:schemeClr val="bg1"/>
              </a:solidFill>
              <a:latin typeface="Segoe UI" panose="020B0502040204020203" pitchFamily="34" charset="0"/>
              <a:ea typeface="Segoe UI Black" panose="020B0A02040204020203" pitchFamily="34" charset="0"/>
              <a:cs typeface="Segoe UI" panose="020B0502040204020203" pitchFamily="34" charset="0"/>
            </a:endParaRPr>
          </a:p>
        </xdr:txBody>
      </xdr:sp>
      <xdr:cxnSp macro="">
        <xdr:nvCxnSpPr>
          <xdr:cNvPr id="73" name="Straight Connector 72">
            <a:extLst>
              <a:ext uri="{FF2B5EF4-FFF2-40B4-BE49-F238E27FC236}">
                <a16:creationId xmlns:a16="http://schemas.microsoft.com/office/drawing/2014/main" id="{71B57633-AE62-B239-38E3-7DF6F2A5C4C9}"/>
              </a:ext>
            </a:extLst>
          </xdr:cNvPr>
          <xdr:cNvCxnSpPr/>
        </xdr:nvCxnSpPr>
        <xdr:spPr>
          <a:xfrm>
            <a:off x="1022300" y="2509630"/>
            <a:ext cx="2289402" cy="2589"/>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sp macro="" textlink="#REF!">
        <xdr:nvSpPr>
          <xdr:cNvPr id="74" name="percent_compliance">
            <a:extLst>
              <a:ext uri="{FF2B5EF4-FFF2-40B4-BE49-F238E27FC236}">
                <a16:creationId xmlns:a16="http://schemas.microsoft.com/office/drawing/2014/main" id="{E9421647-BD09-7480-8B33-8D7229E72009}"/>
              </a:ext>
            </a:extLst>
          </xdr:cNvPr>
          <xdr:cNvSpPr txBox="1"/>
        </xdr:nvSpPr>
        <xdr:spPr>
          <a:xfrm>
            <a:off x="1162338" y="2734037"/>
            <a:ext cx="2014588" cy="10205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710F4F-BC43-4C5F-9B61-FBAE5DFC0A37}" type="TxLink">
              <a:rPr lang="en-US" sz="6600" b="0" i="0" u="none" strike="noStrike">
                <a:solidFill>
                  <a:schemeClr val="bg1"/>
                </a:solidFill>
                <a:latin typeface="Segoe UI Black" panose="020B0A02040204020203" pitchFamily="34" charset="0"/>
                <a:ea typeface="Segoe UI Black" panose="020B0A02040204020203" pitchFamily="34" charset="0"/>
                <a:cs typeface="Calibri"/>
              </a:rPr>
              <a:pPr marL="0" indent="0" algn="ctr"/>
              <a:t>12</a:t>
            </a:fld>
            <a:endParaRPr lang="en-US" sz="6600" b="0" i="0" u="none" strike="noStrike">
              <a:solidFill>
                <a:schemeClr val="bg1"/>
              </a:solidFill>
              <a:latin typeface="Segoe UI Black" panose="020B0A02040204020203" pitchFamily="34" charset="0"/>
              <a:ea typeface="Segoe UI Black" panose="020B0A02040204020203" pitchFamily="34" charset="0"/>
              <a:cs typeface="Calibri"/>
            </a:endParaRPr>
          </a:p>
        </xdr:txBody>
      </xdr:sp>
    </xdr:grpSp>
    <xdr:clientData/>
  </xdr:twoCellAnchor>
  <xdr:twoCellAnchor editAs="absolute">
    <xdr:from>
      <xdr:col>14</xdr:col>
      <xdr:colOff>565562</xdr:colOff>
      <xdr:row>54</xdr:row>
      <xdr:rowOff>12367</xdr:rowOff>
    </xdr:from>
    <xdr:to>
      <xdr:col>28</xdr:col>
      <xdr:colOff>394854</xdr:colOff>
      <xdr:row>84</xdr:row>
      <xdr:rowOff>117764</xdr:rowOff>
    </xdr:to>
    <xdr:grpSp>
      <xdr:nvGrpSpPr>
        <xdr:cNvPr id="5" name="Group 4">
          <a:extLst>
            <a:ext uri="{FF2B5EF4-FFF2-40B4-BE49-F238E27FC236}">
              <a16:creationId xmlns:a16="http://schemas.microsoft.com/office/drawing/2014/main" id="{5D81056B-2AE1-0006-7B5D-54D182B79F8F}"/>
            </a:ext>
          </a:extLst>
        </xdr:cNvPr>
        <xdr:cNvGrpSpPr/>
      </xdr:nvGrpSpPr>
      <xdr:grpSpPr>
        <a:xfrm>
          <a:off x="9423812" y="10299367"/>
          <a:ext cx="8363692" cy="5820397"/>
          <a:chOff x="9212032" y="4327069"/>
          <a:chExt cx="7905752" cy="5820397"/>
        </a:xfrm>
      </xdr:grpSpPr>
      <xdr:grpSp>
        <xdr:nvGrpSpPr>
          <xdr:cNvPr id="63" name="Group 62">
            <a:extLst>
              <a:ext uri="{FF2B5EF4-FFF2-40B4-BE49-F238E27FC236}">
                <a16:creationId xmlns:a16="http://schemas.microsoft.com/office/drawing/2014/main" id="{B16C4865-2813-7F35-0DB3-9DB132B3BF6B}"/>
              </a:ext>
            </a:extLst>
          </xdr:cNvPr>
          <xdr:cNvGrpSpPr/>
        </xdr:nvGrpSpPr>
        <xdr:grpSpPr>
          <a:xfrm>
            <a:off x="9212032" y="4327069"/>
            <a:ext cx="7905752" cy="5820397"/>
            <a:chOff x="4942746" y="1700891"/>
            <a:chExt cx="5133573" cy="5820397"/>
          </a:xfrm>
        </xdr:grpSpPr>
        <xdr:sp macro="" textlink="">
          <xdr:nvSpPr>
            <xdr:cNvPr id="64" name="Rectangle: Rounded Corners 63">
              <a:extLst>
                <a:ext uri="{FF2B5EF4-FFF2-40B4-BE49-F238E27FC236}">
                  <a16:creationId xmlns:a16="http://schemas.microsoft.com/office/drawing/2014/main" id="{0D287602-A3AB-9FF4-6AD6-41B53F169C5A}"/>
                </a:ext>
              </a:extLst>
            </xdr:cNvPr>
            <xdr:cNvSpPr/>
          </xdr:nvSpPr>
          <xdr:spPr>
            <a:xfrm>
              <a:off x="4942746" y="1700891"/>
              <a:ext cx="5133573" cy="582039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6" name="TextBox 65">
              <a:extLst>
                <a:ext uri="{FF2B5EF4-FFF2-40B4-BE49-F238E27FC236}">
                  <a16:creationId xmlns:a16="http://schemas.microsoft.com/office/drawing/2014/main" id="{B18E3264-E5B1-A1F3-3CAF-4C0971AD5B75}"/>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Risk Categories</a:t>
              </a:r>
            </a:p>
          </xdr:txBody>
        </xdr:sp>
        <xdr:cxnSp macro="">
          <xdr:nvCxnSpPr>
            <xdr:cNvPr id="67" name="Straight Connector 66">
              <a:extLst>
                <a:ext uri="{FF2B5EF4-FFF2-40B4-BE49-F238E27FC236}">
                  <a16:creationId xmlns:a16="http://schemas.microsoft.com/office/drawing/2014/main" id="{EC7D4E2A-F71A-8C3B-1DBA-4929A6990278}"/>
                </a:ext>
              </a:extLst>
            </xdr:cNvPr>
            <xdr:cNvCxnSpPr/>
          </xdr:nvCxnSpPr>
          <xdr:spPr>
            <a:xfrm flipV="1">
              <a:off x="5140114" y="2604879"/>
              <a:ext cx="4631348"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68" name="TextBox 67">
              <a:extLst>
                <a:ext uri="{FF2B5EF4-FFF2-40B4-BE49-F238E27FC236}">
                  <a16:creationId xmlns:a16="http://schemas.microsoft.com/office/drawing/2014/main" id="{9E8F2058-0268-A767-87BA-C007AC6EB777}"/>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 the count of active</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risks under each Category</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2" name="Chart 1">
            <a:extLst>
              <a:ext uri="{FF2B5EF4-FFF2-40B4-BE49-F238E27FC236}">
                <a16:creationId xmlns:a16="http://schemas.microsoft.com/office/drawing/2014/main" id="{BA0537C7-91C7-4185-9787-AE1F383F1A6B}"/>
              </a:ext>
            </a:extLst>
          </xdr:cNvPr>
          <xdr:cNvGraphicFramePr>
            <a:graphicFrameLocks/>
          </xdr:cNvGraphicFramePr>
        </xdr:nvGraphicFramePr>
        <xdr:xfrm>
          <a:off x="9878782" y="5551711"/>
          <a:ext cx="7170968" cy="4150181"/>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16</xdr:col>
      <xdr:colOff>149678</xdr:colOff>
      <xdr:row>87</xdr:row>
      <xdr:rowOff>68036</xdr:rowOff>
    </xdr:from>
    <xdr:to>
      <xdr:col>28</xdr:col>
      <xdr:colOff>408215</xdr:colOff>
      <xdr:row>104</xdr:row>
      <xdr:rowOff>27216</xdr:rowOff>
    </xdr:to>
    <xdr:grpSp>
      <xdr:nvGrpSpPr>
        <xdr:cNvPr id="41" name="Group 40">
          <a:extLst>
            <a:ext uri="{FF2B5EF4-FFF2-40B4-BE49-F238E27FC236}">
              <a16:creationId xmlns:a16="http://schemas.microsoft.com/office/drawing/2014/main" id="{5D86D5B0-F91F-0D00-6457-6CD5DAF47FD0}"/>
            </a:ext>
          </a:extLst>
        </xdr:cNvPr>
        <xdr:cNvGrpSpPr/>
      </xdr:nvGrpSpPr>
      <xdr:grpSpPr>
        <a:xfrm>
          <a:off x="10227128" y="16641536"/>
          <a:ext cx="7573737" cy="5493205"/>
          <a:chOff x="10246178" y="10355036"/>
          <a:chExt cx="7573737" cy="5674180"/>
        </a:xfrm>
      </xdr:grpSpPr>
      <xdr:grpSp>
        <xdr:nvGrpSpPr>
          <xdr:cNvPr id="21" name="Group 20">
            <a:extLst>
              <a:ext uri="{FF2B5EF4-FFF2-40B4-BE49-F238E27FC236}">
                <a16:creationId xmlns:a16="http://schemas.microsoft.com/office/drawing/2014/main" id="{4B65C639-F34C-AF5D-9C68-BE441387D405}"/>
              </a:ext>
            </a:extLst>
          </xdr:cNvPr>
          <xdr:cNvGrpSpPr/>
        </xdr:nvGrpSpPr>
        <xdr:grpSpPr>
          <a:xfrm>
            <a:off x="10246178" y="10355036"/>
            <a:ext cx="7573737" cy="5674180"/>
            <a:chOff x="4942746" y="1700892"/>
            <a:chExt cx="5133573" cy="4887391"/>
          </a:xfrm>
        </xdr:grpSpPr>
        <xdr:sp macro="" textlink="">
          <xdr:nvSpPr>
            <xdr:cNvPr id="36" name="Rectangle: Rounded Corners 35">
              <a:extLst>
                <a:ext uri="{FF2B5EF4-FFF2-40B4-BE49-F238E27FC236}">
                  <a16:creationId xmlns:a16="http://schemas.microsoft.com/office/drawing/2014/main" id="{1A194975-2002-5DD3-641B-2AB5443CF5CD}"/>
                </a:ext>
              </a:extLst>
            </xdr:cNvPr>
            <xdr:cNvSpPr/>
          </xdr:nvSpPr>
          <xdr:spPr>
            <a:xfrm>
              <a:off x="4942746" y="1700892"/>
              <a:ext cx="5133573" cy="4887391"/>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7" name="TextBox 36">
              <a:extLst>
                <a:ext uri="{FF2B5EF4-FFF2-40B4-BE49-F238E27FC236}">
                  <a16:creationId xmlns:a16="http://schemas.microsoft.com/office/drawing/2014/main" id="{5B31E161-6CD3-9CA4-058D-B429C284EE87}"/>
                </a:ext>
              </a:extLst>
            </xdr:cNvPr>
            <xdr:cNvSpPr txBox="1"/>
          </xdr:nvSpPr>
          <xdr:spPr>
            <a:xfrm>
              <a:off x="5039941" y="1870979"/>
              <a:ext cx="3744874"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New risks reported</a:t>
              </a:r>
            </a:p>
          </xdr:txBody>
        </xdr:sp>
        <xdr:cxnSp macro="">
          <xdr:nvCxnSpPr>
            <xdr:cNvPr id="38" name="Straight Connector 37">
              <a:extLst>
                <a:ext uri="{FF2B5EF4-FFF2-40B4-BE49-F238E27FC236}">
                  <a16:creationId xmlns:a16="http://schemas.microsoft.com/office/drawing/2014/main" id="{6B5868BA-2B6A-5D9D-8A06-F4C3039189AA}"/>
                </a:ext>
              </a:extLst>
            </xdr:cNvPr>
            <xdr:cNvCxnSpPr/>
          </xdr:nvCxnSpPr>
          <xdr:spPr>
            <a:xfrm flipV="1">
              <a:off x="5112563" y="2604879"/>
              <a:ext cx="4631348"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39" name="TextBox 38">
              <a:extLst>
                <a:ext uri="{FF2B5EF4-FFF2-40B4-BE49-F238E27FC236}">
                  <a16:creationId xmlns:a16="http://schemas.microsoft.com/office/drawing/2014/main" id="{7DF314F6-0298-B6A3-1F63-5D7C641B4A11}"/>
                </a:ext>
              </a:extLst>
            </xdr:cNvPr>
            <xdr:cNvSpPr txBox="1"/>
          </xdr:nvSpPr>
          <xdr:spPr>
            <a:xfrm>
              <a:off x="5057143"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Risks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reported per month</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40" name="Chart 39">
            <a:extLst>
              <a:ext uri="{FF2B5EF4-FFF2-40B4-BE49-F238E27FC236}">
                <a16:creationId xmlns:a16="http://schemas.microsoft.com/office/drawing/2014/main" id="{F4074C0D-12C5-4B1A-82D4-D6282832AE60}"/>
              </a:ext>
            </a:extLst>
          </xdr:cNvPr>
          <xdr:cNvGraphicFramePr>
            <a:graphicFrameLocks/>
          </xdr:cNvGraphicFramePr>
        </xdr:nvGraphicFramePr>
        <xdr:xfrm>
          <a:off x="10531929" y="11585121"/>
          <a:ext cx="6855278" cy="4027713"/>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absolute">
    <xdr:from>
      <xdr:col>1</xdr:col>
      <xdr:colOff>238260</xdr:colOff>
      <xdr:row>21</xdr:row>
      <xdr:rowOff>167491</xdr:rowOff>
    </xdr:from>
    <xdr:to>
      <xdr:col>28</xdr:col>
      <xdr:colOff>398318</xdr:colOff>
      <xdr:row>52</xdr:row>
      <xdr:rowOff>58882</xdr:rowOff>
    </xdr:to>
    <xdr:grpSp>
      <xdr:nvGrpSpPr>
        <xdr:cNvPr id="54" name="Group 53">
          <a:extLst>
            <a:ext uri="{FF2B5EF4-FFF2-40B4-BE49-F238E27FC236}">
              <a16:creationId xmlns:a16="http://schemas.microsoft.com/office/drawing/2014/main" id="{DA4D04E3-389E-8A77-F284-CA40330C0D47}"/>
            </a:ext>
          </a:extLst>
        </xdr:cNvPr>
        <xdr:cNvGrpSpPr/>
      </xdr:nvGrpSpPr>
      <xdr:grpSpPr>
        <a:xfrm>
          <a:off x="847860" y="4167991"/>
          <a:ext cx="16943108" cy="5796891"/>
          <a:chOff x="844396" y="4167991"/>
          <a:chExt cx="16854786" cy="5796891"/>
        </a:xfrm>
      </xdr:grpSpPr>
      <xdr:grpSp>
        <xdr:nvGrpSpPr>
          <xdr:cNvPr id="42" name="Group 41">
            <a:extLst>
              <a:ext uri="{FF2B5EF4-FFF2-40B4-BE49-F238E27FC236}">
                <a16:creationId xmlns:a16="http://schemas.microsoft.com/office/drawing/2014/main" id="{14219B88-6D94-951C-491E-078B98119AD0}"/>
              </a:ext>
            </a:extLst>
          </xdr:cNvPr>
          <xdr:cNvGrpSpPr/>
        </xdr:nvGrpSpPr>
        <xdr:grpSpPr>
          <a:xfrm>
            <a:off x="844396" y="4167991"/>
            <a:ext cx="16854786" cy="5796891"/>
            <a:chOff x="4942746" y="1700891"/>
            <a:chExt cx="5133573" cy="5592537"/>
          </a:xfrm>
        </xdr:grpSpPr>
        <xdr:sp macro="" textlink="">
          <xdr:nvSpPr>
            <xdr:cNvPr id="43" name="Rectangle: Rounded Corners 42">
              <a:extLst>
                <a:ext uri="{FF2B5EF4-FFF2-40B4-BE49-F238E27FC236}">
                  <a16:creationId xmlns:a16="http://schemas.microsoft.com/office/drawing/2014/main" id="{E070F3FC-3DBA-E38A-7E39-CACE661B6231}"/>
                </a:ext>
              </a:extLst>
            </xdr:cNvPr>
            <xdr:cNvSpPr/>
          </xdr:nvSpPr>
          <xdr:spPr>
            <a:xfrm>
              <a:off x="4942746" y="1700891"/>
              <a:ext cx="5133573" cy="5592537"/>
            </a:xfrm>
            <a:prstGeom prst="roundRect">
              <a:avLst>
                <a:gd name="adj" fmla="val 6006"/>
              </a:avLst>
            </a:prstGeom>
            <a:solidFill>
              <a:srgbClr val="F5F5F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5" name="TextBox 44">
              <a:extLst>
                <a:ext uri="{FF2B5EF4-FFF2-40B4-BE49-F238E27FC236}">
                  <a16:creationId xmlns:a16="http://schemas.microsoft.com/office/drawing/2014/main" id="{403C9A6E-6247-7818-375D-2F7F7414DF4A}"/>
                </a:ext>
              </a:extLst>
            </xdr:cNvPr>
            <xdr:cNvSpPr txBox="1"/>
          </xdr:nvSpPr>
          <xdr:spPr>
            <a:xfrm>
              <a:off x="5039941" y="1870979"/>
              <a:ext cx="116972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FF5E8D"/>
                  </a:solidFill>
                  <a:latin typeface="Segoe UI Black" panose="020B0A02040204020203" pitchFamily="34" charset="0"/>
                  <a:ea typeface="Segoe UI Black" panose="020B0A02040204020203" pitchFamily="34" charset="0"/>
                </a:rPr>
                <a:t>Average Risk Score</a:t>
              </a:r>
            </a:p>
          </xdr:txBody>
        </xdr:sp>
        <xdr:cxnSp macro="">
          <xdr:nvCxnSpPr>
            <xdr:cNvPr id="46" name="Straight Connector 45">
              <a:extLst>
                <a:ext uri="{FF2B5EF4-FFF2-40B4-BE49-F238E27FC236}">
                  <a16:creationId xmlns:a16="http://schemas.microsoft.com/office/drawing/2014/main" id="{CAA3652D-ABC9-E3D9-643E-0949D0048F33}"/>
                </a:ext>
              </a:extLst>
            </xdr:cNvPr>
            <xdr:cNvCxnSpPr/>
          </xdr:nvCxnSpPr>
          <xdr:spPr>
            <a:xfrm flipV="1">
              <a:off x="5039941" y="2604879"/>
              <a:ext cx="4909464" cy="3922"/>
            </a:xfrm>
            <a:prstGeom prst="line">
              <a:avLst/>
            </a:prstGeom>
            <a:ln>
              <a:solidFill>
                <a:srgbClr val="252B42"/>
              </a:solidFill>
            </a:ln>
          </xdr:spPr>
          <xdr:style>
            <a:lnRef idx="1">
              <a:schemeClr val="accent1"/>
            </a:lnRef>
            <a:fillRef idx="0">
              <a:schemeClr val="accent1"/>
            </a:fillRef>
            <a:effectRef idx="0">
              <a:schemeClr val="accent1"/>
            </a:effectRef>
            <a:fontRef idx="minor">
              <a:schemeClr val="tx1"/>
            </a:fontRef>
          </xdr:style>
        </xdr:cxnSp>
        <xdr:sp macro="" textlink="">
          <xdr:nvSpPr>
            <xdr:cNvPr id="53" name="TextBox 52">
              <a:extLst>
                <a:ext uri="{FF2B5EF4-FFF2-40B4-BE49-F238E27FC236}">
                  <a16:creationId xmlns:a16="http://schemas.microsoft.com/office/drawing/2014/main" id="{86AC65E2-1017-19A7-E9F6-DF0E7CC5CED4}"/>
                </a:ext>
              </a:extLst>
            </xdr:cNvPr>
            <xdr:cNvSpPr txBox="1"/>
          </xdr:nvSpPr>
          <xdr:spPr>
            <a:xfrm>
              <a:off x="5039941" y="2256046"/>
              <a:ext cx="2889760" cy="367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Shows</a:t>
              </a:r>
              <a:r>
                <a:rPr lang="en-US" sz="1100" b="0" baseline="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rPr>
                <a:t> the average of all risks, over a 12 month period</a:t>
              </a:r>
              <a:endParaRPr lang="en-US" sz="1100" b="0">
                <a:solidFill>
                  <a:sysClr val="windowText" lastClr="000000"/>
                </a:solidFill>
                <a:latin typeface="Segoe UI" panose="020B0502040204020203" pitchFamily="34" charset="0"/>
                <a:ea typeface="Segoe UI Black" panose="020B0A02040204020203" pitchFamily="34" charset="0"/>
                <a:cs typeface="Segoe UI" panose="020B0502040204020203" pitchFamily="34" charset="0"/>
              </a:endParaRPr>
            </a:p>
          </xdr:txBody>
        </xdr:sp>
      </xdr:grpSp>
      <xdr:graphicFrame macro="">
        <xdr:nvGraphicFramePr>
          <xdr:cNvPr id="32" name="Chart 31">
            <a:extLst>
              <a:ext uri="{FF2B5EF4-FFF2-40B4-BE49-F238E27FC236}">
                <a16:creationId xmlns:a16="http://schemas.microsoft.com/office/drawing/2014/main" id="{6DEB1CD3-5A7C-4E36-BECE-5D0CE2D20179}"/>
              </a:ext>
            </a:extLst>
          </xdr:cNvPr>
          <xdr:cNvGraphicFramePr>
            <a:graphicFrameLocks/>
          </xdr:cNvGraphicFramePr>
        </xdr:nvGraphicFramePr>
        <xdr:xfrm>
          <a:off x="1281546" y="5403272"/>
          <a:ext cx="15880772" cy="403513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0</xdr:row>
      <xdr:rowOff>22411</xdr:rowOff>
    </xdr:from>
    <xdr:to>
      <xdr:col>29</xdr:col>
      <xdr:colOff>403412</xdr:colOff>
      <xdr:row>0</xdr:row>
      <xdr:rowOff>1287875</xdr:rowOff>
    </xdr:to>
    <xdr:grpSp>
      <xdr:nvGrpSpPr>
        <xdr:cNvPr id="14" name="Group 13">
          <a:extLst>
            <a:ext uri="{FF2B5EF4-FFF2-40B4-BE49-F238E27FC236}">
              <a16:creationId xmlns:a16="http://schemas.microsoft.com/office/drawing/2014/main" id="{D7916C4E-5C46-4072-9B6A-F595758DE356}"/>
            </a:ext>
          </a:extLst>
        </xdr:cNvPr>
        <xdr:cNvGrpSpPr>
          <a:grpSpLocks noChangeAspect="1"/>
        </xdr:cNvGrpSpPr>
      </xdr:nvGrpSpPr>
      <xdr:grpSpPr>
        <a:xfrm>
          <a:off x="1" y="22411"/>
          <a:ext cx="16345253" cy="1265464"/>
          <a:chOff x="13608" y="0"/>
          <a:chExt cx="16349382" cy="1265464"/>
        </a:xfrm>
      </xdr:grpSpPr>
      <xdr:sp macro="" textlink="">
        <xdr:nvSpPr>
          <xdr:cNvPr id="15" name="Rectangle 14">
            <a:extLst>
              <a:ext uri="{FF2B5EF4-FFF2-40B4-BE49-F238E27FC236}">
                <a16:creationId xmlns:a16="http://schemas.microsoft.com/office/drawing/2014/main" id="{2A61B980-A8C0-A3BA-A987-525A4C495EDA}"/>
              </a:ext>
            </a:extLst>
          </xdr:cNvPr>
          <xdr:cNvSpPr/>
        </xdr:nvSpPr>
        <xdr:spPr>
          <a:xfrm>
            <a:off x="13608" y="0"/>
            <a:ext cx="16349382"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16" name="Rectangle 15">
            <a:extLst>
              <a:ext uri="{FF2B5EF4-FFF2-40B4-BE49-F238E27FC236}">
                <a16:creationId xmlns:a16="http://schemas.microsoft.com/office/drawing/2014/main" id="{1EA81CF9-D4D3-B19F-98A6-9D90F72CD79C}"/>
              </a:ext>
            </a:extLst>
          </xdr:cNvPr>
          <xdr:cNvSpPr/>
        </xdr:nvSpPr>
        <xdr:spPr>
          <a:xfrm>
            <a:off x="3818796" y="121536"/>
            <a:ext cx="6005561"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GANTT CHART</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612321</xdr:colOff>
      <xdr:row>0</xdr:row>
      <xdr:rowOff>1265464</xdr:rowOff>
    </xdr:to>
    <xdr:grpSp>
      <xdr:nvGrpSpPr>
        <xdr:cNvPr id="5" name="Group 4">
          <a:extLst>
            <a:ext uri="{FF2B5EF4-FFF2-40B4-BE49-F238E27FC236}">
              <a16:creationId xmlns:a16="http://schemas.microsoft.com/office/drawing/2014/main" id="{47AF6B37-1B4B-4031-A50B-DE7A8A140582}"/>
            </a:ext>
          </a:extLst>
        </xdr:cNvPr>
        <xdr:cNvGrpSpPr>
          <a:grpSpLocks noChangeAspect="1"/>
        </xdr:cNvGrpSpPr>
      </xdr:nvGrpSpPr>
      <xdr:grpSpPr>
        <a:xfrm>
          <a:off x="0" y="0"/>
          <a:ext cx="18320627" cy="1265464"/>
          <a:chOff x="13607" y="0"/>
          <a:chExt cx="18301607" cy="1265464"/>
        </a:xfrm>
      </xdr:grpSpPr>
      <xdr:sp macro="" textlink="">
        <xdr:nvSpPr>
          <xdr:cNvPr id="6" name="Rectangle 5">
            <a:extLst>
              <a:ext uri="{FF2B5EF4-FFF2-40B4-BE49-F238E27FC236}">
                <a16:creationId xmlns:a16="http://schemas.microsoft.com/office/drawing/2014/main" id="{F762D1B0-413E-B2E9-D73C-C66B4513FE80}"/>
              </a:ext>
            </a:extLst>
          </xdr:cNvPr>
          <xdr:cNvSpPr/>
        </xdr:nvSpPr>
        <xdr:spPr>
          <a:xfrm>
            <a:off x="13607" y="0"/>
            <a:ext cx="18301607"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7" name="Rectangle 6">
            <a:extLst>
              <a:ext uri="{FF2B5EF4-FFF2-40B4-BE49-F238E27FC236}">
                <a16:creationId xmlns:a16="http://schemas.microsoft.com/office/drawing/2014/main" id="{97D669B4-F89E-4906-FE24-0A7FC44910B0}"/>
              </a:ext>
            </a:extLst>
          </xdr:cNvPr>
          <xdr:cNvSpPr/>
        </xdr:nvSpPr>
        <xdr:spPr>
          <a:xfrm>
            <a:off x="1673678" y="121536"/>
            <a:ext cx="8150679"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800" b="1">
                <a:solidFill>
                  <a:sysClr val="windowText" lastClr="000000"/>
                </a:solidFill>
                <a:effectLst/>
                <a:latin typeface="Segoe UI" panose="020B0502040204020203" pitchFamily="34" charset="0"/>
                <a:ea typeface="+mn-ea"/>
                <a:cs typeface="Segoe UI" panose="020B0502040204020203" pitchFamily="34" charset="0"/>
              </a:rPr>
              <a:t>RISK REGISTER</a:t>
            </a:r>
            <a:endParaRPr lang="en-US" sz="48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1447352</xdr:colOff>
      <xdr:row>0</xdr:row>
      <xdr:rowOff>1260421</xdr:rowOff>
    </xdr:to>
    <xdr:grpSp>
      <xdr:nvGrpSpPr>
        <xdr:cNvPr id="4" name="Group 3">
          <a:extLst>
            <a:ext uri="{FF2B5EF4-FFF2-40B4-BE49-F238E27FC236}">
              <a16:creationId xmlns:a16="http://schemas.microsoft.com/office/drawing/2014/main" id="{15A90FC3-C6ED-4177-BB90-0C702610EF88}"/>
            </a:ext>
          </a:extLst>
        </xdr:cNvPr>
        <xdr:cNvGrpSpPr>
          <a:grpSpLocks noChangeAspect="1"/>
        </xdr:cNvGrpSpPr>
      </xdr:nvGrpSpPr>
      <xdr:grpSpPr>
        <a:xfrm>
          <a:off x="0" y="0"/>
          <a:ext cx="11500557" cy="1260421"/>
          <a:chOff x="13607" y="0"/>
          <a:chExt cx="11519678" cy="1265464"/>
        </a:xfrm>
      </xdr:grpSpPr>
      <xdr:sp macro="" textlink="">
        <xdr:nvSpPr>
          <xdr:cNvPr id="5" name="Rectangle 4">
            <a:extLst>
              <a:ext uri="{FF2B5EF4-FFF2-40B4-BE49-F238E27FC236}">
                <a16:creationId xmlns:a16="http://schemas.microsoft.com/office/drawing/2014/main" id="{D4B30F8D-3855-1FFE-21D2-8BF8252EE8CC}"/>
              </a:ext>
            </a:extLst>
          </xdr:cNvPr>
          <xdr:cNvSpPr/>
        </xdr:nvSpPr>
        <xdr:spPr>
          <a:xfrm>
            <a:off x="13607" y="0"/>
            <a:ext cx="11519678" cy="1265464"/>
          </a:xfrm>
          <a:prstGeom prst="rect">
            <a:avLst/>
          </a:prstGeom>
          <a:solidFill>
            <a:sysClr val="window" lastClr="FFFFFF"/>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endParaRPr lang="en-US" sz="1100" kern="1200"/>
          </a:p>
        </xdr:txBody>
      </xdr:sp>
      <xdr:sp macro="" textlink="">
        <xdr:nvSpPr>
          <xdr:cNvPr id="6" name="Rectangle 5">
            <a:extLst>
              <a:ext uri="{FF2B5EF4-FFF2-40B4-BE49-F238E27FC236}">
                <a16:creationId xmlns:a16="http://schemas.microsoft.com/office/drawing/2014/main" id="{570A22AC-A452-C02F-A8D4-2931EF50B957}"/>
              </a:ext>
            </a:extLst>
          </xdr:cNvPr>
          <xdr:cNvSpPr/>
        </xdr:nvSpPr>
        <xdr:spPr>
          <a:xfrm>
            <a:off x="1673678" y="121536"/>
            <a:ext cx="8150679" cy="941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4000" b="1">
                <a:solidFill>
                  <a:sysClr val="windowText" lastClr="000000"/>
                </a:solidFill>
                <a:effectLst/>
                <a:latin typeface="Segoe UI" panose="020B0502040204020203" pitchFamily="34" charset="0"/>
                <a:ea typeface="+mn-ea"/>
                <a:cs typeface="Segoe UI" panose="020B0502040204020203" pitchFamily="34" charset="0"/>
              </a:rPr>
              <a:t>Task</a:t>
            </a:r>
            <a:r>
              <a:rPr lang="en-US" sz="4000" b="1" baseline="0">
                <a:solidFill>
                  <a:sysClr val="windowText" lastClr="000000"/>
                </a:solidFill>
                <a:effectLst/>
                <a:latin typeface="Segoe UI" panose="020B0502040204020203" pitchFamily="34" charset="0"/>
                <a:ea typeface="+mn-ea"/>
                <a:cs typeface="Segoe UI" panose="020B0502040204020203" pitchFamily="34" charset="0"/>
              </a:rPr>
              <a:t> Tracker for Risks</a:t>
            </a:r>
            <a:endParaRPr lang="en-US" sz="4000" b="1">
              <a:solidFill>
                <a:sysClr val="windowText" lastClr="000000"/>
              </a:solidFill>
              <a:effectLst/>
              <a:latin typeface="Segoe UI" panose="020B0502040204020203" pitchFamily="34" charset="0"/>
              <a:cs typeface="Segoe UI" panose="020B0502040204020203" pitchFamily="34" charset="0"/>
            </a:endParaRPr>
          </a:p>
        </xdr:txBody>
      </xdr:sp>
    </xdr:grp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704.719456250001" createdVersion="8" refreshedVersion="8" minRefreshableVersion="3" recordCount="100" xr:uid="{27464020-68FD-499C-9056-39057724BEFD}">
  <cacheSource type="worksheet">
    <worksheetSource name="Tasks"/>
  </cacheSource>
  <cacheFields count="17">
    <cacheField name="Task ID" numFmtId="0">
      <sharedItems/>
    </cacheField>
    <cacheField name="Created Date" numFmtId="165">
      <sharedItems containsNonDate="0" containsDate="1" containsString="0" containsBlank="1" minDate="2024-02-03T00:00:00" maxDate="2024-04-10T00:00:00"/>
    </cacheField>
    <cacheField name="Task Title" numFmtId="0">
      <sharedItems containsBlank="1"/>
    </cacheField>
    <cacheField name="Task Description" numFmtId="0">
      <sharedItems containsBlank="1"/>
    </cacheField>
    <cacheField name="Assignee" numFmtId="0">
      <sharedItems containsBlank="1"/>
    </cacheField>
    <cacheField name="Status" numFmtId="0">
      <sharedItems containsBlank="1"/>
    </cacheField>
    <cacheField name="Due Date" numFmtId="164">
      <sharedItems containsNonDate="0" containsDate="1" containsString="0" containsBlank="1" minDate="2024-01-01T00:00:00" maxDate="2024-11-24T00:00:00"/>
    </cacheField>
    <cacheField name="Comments" numFmtId="0">
      <sharedItems containsBlank="1"/>
    </cacheField>
    <cacheField name="Risk ID" numFmtId="0">
      <sharedItems containsString="0" containsBlank="1" containsNumber="1" containsInteger="1" minValue="1" maxValue="4"/>
    </cacheField>
    <cacheField name="Risk Title" numFmtId="0">
      <sharedItems/>
    </cacheField>
    <cacheField name="Overdue?" numFmtId="0">
      <sharedItems/>
    </cacheField>
    <cacheField name="Due Month" numFmtId="0">
      <sharedItems containsNonDate="0" containsString="0" containsBlank="1"/>
    </cacheField>
    <cacheField name="Due Year" numFmtId="0">
      <sharedItems containsNonDate="0" containsString="0" containsBlank="1"/>
    </cacheField>
    <cacheField name="Risk-ID-Title-Combo" numFmtId="0">
      <sharedItems count="9">
        <s v="1 - Risk 1"/>
        <s v="2 - Risk 2"/>
        <s v="3 - Risk 3"/>
        <s v="4 - Risk 4"/>
        <s v=" - Error!"/>
        <s v="1 - Weak physical security" u="1"/>
        <s v="2 - Windows 7 use " u="1"/>
        <s v="3 - Phishing risk" u="1"/>
        <s v="4 - DDoS attack" u="1"/>
      </sharedItems>
    </cacheField>
    <cacheField name="Residual-I-L-Combo" numFmtId="0">
      <sharedItems containsNonDate="0" containsString="0" containsBlank="1"/>
    </cacheField>
    <cacheField name="Mitigated?" numFmtId="0">
      <sharedItems containsNonDate="0" containsString="0" containsBlank="1"/>
    </cacheField>
    <cacheField name="Current Risk Leve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TASK-001"/>
    <d v="2024-04-09T00:00:00"/>
    <s v="Implement New Firewall"/>
    <s v="Simple task description"/>
    <s v="Eve"/>
    <s v="Closed"/>
    <d v="2024-04-18T00:00:00"/>
    <s v="Pending review."/>
    <n v="1"/>
    <s v="Risk 1"/>
    <s v="No"/>
    <m/>
    <m/>
    <x v="0"/>
    <m/>
    <m/>
    <m/>
  </r>
  <r>
    <s v="TASK-002"/>
    <d v="2024-02-10T00:00:00"/>
    <s v="Update Documentation"/>
    <s v="Simple task description"/>
    <s v="Alice"/>
    <s v="Closed"/>
    <d v="2024-09-03T00:00:00"/>
    <s v="No comments"/>
    <n v="2"/>
    <s v="Risk 2"/>
    <s v="No"/>
    <m/>
    <m/>
    <x v="1"/>
    <m/>
    <m/>
    <m/>
  </r>
  <r>
    <s v="TASK-003"/>
    <d v="2024-02-09T00:00:00"/>
    <s v="Conduct Risk Assessment"/>
    <s v="Simple task description"/>
    <s v="Eve"/>
    <s v="In Progress"/>
    <d v="2024-07-31T00:00:00"/>
    <s v="Pending review."/>
    <n v="3"/>
    <s v="Risk 3"/>
    <s v="Yes"/>
    <m/>
    <m/>
    <x v="2"/>
    <m/>
    <m/>
    <m/>
  </r>
  <r>
    <s v="TASK-004"/>
    <d v="2024-04-09T00:00:00"/>
    <s v="Employee Training"/>
    <s v="Simple task description"/>
    <s v="Bob"/>
    <s v="In Progress"/>
    <d v="2024-04-27T00:00:00"/>
    <s v="Pending review."/>
    <n v="1"/>
    <s v="Risk 1"/>
    <s v="Yes"/>
    <m/>
    <m/>
    <x v="0"/>
    <m/>
    <m/>
    <m/>
  </r>
  <r>
    <s v="TASK-005"/>
    <d v="2024-02-27T00:00:00"/>
    <s v="Conduct Risk Assessment"/>
    <s v="Simple task description"/>
    <s v="Diana"/>
    <s v="Closed"/>
    <d v="2024-04-24T00:00:00"/>
    <s v="Pending review."/>
    <n v="2"/>
    <s v="Risk 2"/>
    <s v="No"/>
    <m/>
    <m/>
    <x v="1"/>
    <m/>
    <m/>
    <m/>
  </r>
  <r>
    <s v="TASK-006"/>
    <d v="2024-02-17T00:00:00"/>
    <s v="Conduct Risk Assessment"/>
    <s v="Simple task description"/>
    <s v="Bob"/>
    <s v="In Progress"/>
    <d v="2024-08-11T00:00:00"/>
    <s v="Pending review."/>
    <n v="4"/>
    <s v="Risk 4"/>
    <s v="Yes"/>
    <m/>
    <m/>
    <x v="3"/>
    <m/>
    <m/>
    <m/>
  </r>
  <r>
    <s v="TASK-007"/>
    <d v="2024-04-09T00:00:00"/>
    <s v="Review Security Policies"/>
    <s v="Simple task description"/>
    <s v="Alice"/>
    <s v="In Progress"/>
    <d v="2024-11-01T00:00:00"/>
    <s v="Pending review."/>
    <n v="1"/>
    <s v="Risk 1"/>
    <s v="Yes"/>
    <m/>
    <m/>
    <x v="0"/>
    <m/>
    <m/>
    <m/>
  </r>
  <r>
    <s v="TASK-008"/>
    <d v="2024-02-22T00:00:00"/>
    <s v="Update Documentation"/>
    <s v="Simple task description"/>
    <s v="Eve"/>
    <s v="On Hold"/>
    <d v="2024-08-11T00:00:00"/>
    <s v="Pending review."/>
    <n v="2"/>
    <s v="Risk 2"/>
    <s v="Yes"/>
    <m/>
    <m/>
    <x v="1"/>
    <m/>
    <m/>
    <m/>
  </r>
  <r>
    <s v="TASK-009"/>
    <d v="2024-02-21T00:00:00"/>
    <s v="Conduct Risk Assessment"/>
    <s v="Simple task description"/>
    <s v="Bob"/>
    <s v="Not Started"/>
    <d v="2024-02-07T00:00:00"/>
    <s v="Pending review."/>
    <n v="3"/>
    <s v="Risk 3"/>
    <s v="Yes"/>
    <m/>
    <m/>
    <x v="2"/>
    <m/>
    <m/>
    <m/>
  </r>
  <r>
    <s v="TASK-010"/>
    <d v="2024-04-09T00:00:00"/>
    <s v="Implement new tool"/>
    <s v="Simple task description"/>
    <s v="Charlie"/>
    <s v="Not Started"/>
    <d v="2024-08-26T00:00:00"/>
    <s v="Pending review."/>
    <n v="1"/>
    <s v="Risk 1"/>
    <s v="Yes"/>
    <m/>
    <m/>
    <x v="0"/>
    <m/>
    <m/>
    <m/>
  </r>
  <r>
    <s v="TASK-011"/>
    <d v="2024-02-04T00:00:00"/>
    <s v="Employee Training"/>
    <s v="Simple task description"/>
    <s v="Diana"/>
    <s v="On Hold"/>
    <d v="2024-08-20T00:00:00"/>
    <s v="No comments"/>
    <n v="2"/>
    <s v="Risk 2"/>
    <s v="Yes"/>
    <m/>
    <m/>
    <x v="1"/>
    <m/>
    <m/>
    <m/>
  </r>
  <r>
    <s v="TASK-012"/>
    <d v="2024-02-14T00:00:00"/>
    <s v="Implement new tool"/>
    <s v="Simple task description"/>
    <s v="Eve"/>
    <s v="In Progress"/>
    <d v="2024-02-21T00:00:00"/>
    <s v="No comments"/>
    <n v="3"/>
    <s v="Risk 3"/>
    <s v="Yes"/>
    <m/>
    <m/>
    <x v="2"/>
    <m/>
    <m/>
    <m/>
  </r>
  <r>
    <s v="TASK-013"/>
    <d v="2024-04-09T00:00:00"/>
    <s v="Implement new tool"/>
    <s v="Simple task description"/>
    <s v="Bob"/>
    <s v="Closed"/>
    <d v="2024-11-10T00:00:00"/>
    <s v="Pending review."/>
    <n v="1"/>
    <s v="Risk 1"/>
    <s v="No"/>
    <m/>
    <m/>
    <x v="0"/>
    <m/>
    <m/>
    <m/>
  </r>
  <r>
    <s v="TASK-014"/>
    <d v="2024-04-09T00:00:00"/>
    <s v="Implement new tool"/>
    <s v="Simple task description"/>
    <s v="Bob"/>
    <s v="Closed"/>
    <d v="2024-02-15T00:00:00"/>
    <s v="Pending review."/>
    <n v="1"/>
    <s v="Risk 1"/>
    <s v="No"/>
    <m/>
    <m/>
    <x v="0"/>
    <m/>
    <m/>
    <m/>
  </r>
  <r>
    <s v="TASK-015"/>
    <d v="2024-02-24T00:00:00"/>
    <s v="Employee Training"/>
    <s v="Simple task description"/>
    <s v="Alice"/>
    <s v="Closed"/>
    <d v="2024-10-12T00:00:00"/>
    <s v="Pending review."/>
    <n v="2"/>
    <s v="Risk 2"/>
    <s v="No"/>
    <m/>
    <m/>
    <x v="1"/>
    <m/>
    <m/>
    <m/>
  </r>
  <r>
    <s v="TASK-016"/>
    <d v="2024-02-26T00:00:00"/>
    <s v="Review Security Policies"/>
    <s v="Simple task description"/>
    <s v="Charlie"/>
    <s v="Not Started"/>
    <d v="2024-01-01T00:00:00"/>
    <s v="No comments"/>
    <n v="2"/>
    <s v="Risk 2"/>
    <s v="Yes"/>
    <m/>
    <m/>
    <x v="1"/>
    <m/>
    <m/>
    <m/>
  </r>
  <r>
    <s v="TASK-017"/>
    <d v="2024-02-27T00:00:00"/>
    <s v="Review Security Policies"/>
    <s v="Simple task description"/>
    <s v="Eve"/>
    <s v="On Hold"/>
    <d v="2024-11-02T00:00:00"/>
    <s v="Pending review."/>
    <n v="3"/>
    <s v="Risk 3"/>
    <s v="Yes"/>
    <m/>
    <m/>
    <x v="2"/>
    <m/>
    <m/>
    <m/>
  </r>
  <r>
    <s v="TASK-018"/>
    <d v="2024-02-04T00:00:00"/>
    <s v="Implement new tool"/>
    <s v="Simple task description"/>
    <s v="Eve"/>
    <s v="Closed"/>
    <d v="2024-02-26T00:00:00"/>
    <s v="Pending review."/>
    <n v="3"/>
    <s v="Risk 3"/>
    <s v="No"/>
    <m/>
    <m/>
    <x v="2"/>
    <m/>
    <m/>
    <m/>
  </r>
  <r>
    <s v="TASK-019"/>
    <d v="2024-04-09T00:00:00"/>
    <s v="Employee Training"/>
    <s v="Simple task description"/>
    <s v="Diana"/>
    <s v="Closed"/>
    <d v="2024-11-23T00:00:00"/>
    <s v="No comments"/>
    <n v="1"/>
    <s v="Risk 1"/>
    <s v="No"/>
    <m/>
    <m/>
    <x v="0"/>
    <m/>
    <m/>
    <m/>
  </r>
  <r>
    <s v="TASK-020"/>
    <d v="2024-02-03T00:00:00"/>
    <s v="Employee Training"/>
    <s v="Simple task description"/>
    <s v="Diana"/>
    <s v="In Progress"/>
    <d v="2024-06-14T00:00:00"/>
    <s v="Pending review."/>
    <n v="2"/>
    <s v="Risk 2"/>
    <s v="Yes"/>
    <m/>
    <m/>
    <x v="1"/>
    <m/>
    <m/>
    <m/>
  </r>
  <r>
    <s v="TASK-021"/>
    <m/>
    <m/>
    <m/>
    <m/>
    <m/>
    <m/>
    <m/>
    <m/>
    <s v="Error!"/>
    <s v="Error"/>
    <m/>
    <m/>
    <x v="4"/>
    <m/>
    <m/>
    <m/>
  </r>
  <r>
    <s v="TASK-022"/>
    <m/>
    <m/>
    <m/>
    <m/>
    <m/>
    <m/>
    <m/>
    <m/>
    <s v="Error!"/>
    <s v="Error"/>
    <m/>
    <m/>
    <x v="4"/>
    <m/>
    <m/>
    <m/>
  </r>
  <r>
    <s v="TASK-023"/>
    <m/>
    <m/>
    <m/>
    <m/>
    <m/>
    <m/>
    <m/>
    <m/>
    <s v="Error!"/>
    <s v="Error"/>
    <m/>
    <m/>
    <x v="4"/>
    <m/>
    <m/>
    <m/>
  </r>
  <r>
    <s v="TASK-024"/>
    <m/>
    <m/>
    <m/>
    <m/>
    <m/>
    <m/>
    <m/>
    <m/>
    <s v="Error!"/>
    <s v="Error"/>
    <m/>
    <m/>
    <x v="4"/>
    <m/>
    <m/>
    <m/>
  </r>
  <r>
    <s v="TASK-025"/>
    <m/>
    <m/>
    <m/>
    <m/>
    <m/>
    <m/>
    <m/>
    <m/>
    <s v="Error!"/>
    <s v="Error"/>
    <m/>
    <m/>
    <x v="4"/>
    <m/>
    <m/>
    <m/>
  </r>
  <r>
    <s v="TASK-026"/>
    <m/>
    <m/>
    <m/>
    <m/>
    <m/>
    <m/>
    <m/>
    <m/>
    <s v="Error!"/>
    <s v="Error"/>
    <m/>
    <m/>
    <x v="4"/>
    <m/>
    <m/>
    <m/>
  </r>
  <r>
    <s v="TASK-027"/>
    <m/>
    <m/>
    <m/>
    <m/>
    <m/>
    <m/>
    <m/>
    <m/>
    <s v="Error!"/>
    <s v="Error"/>
    <m/>
    <m/>
    <x v="4"/>
    <m/>
    <m/>
    <m/>
  </r>
  <r>
    <s v="TASK-028"/>
    <m/>
    <m/>
    <m/>
    <m/>
    <m/>
    <m/>
    <m/>
    <m/>
    <s v="Error!"/>
    <s v="Error"/>
    <m/>
    <m/>
    <x v="4"/>
    <m/>
    <m/>
    <m/>
  </r>
  <r>
    <s v="TASK-029"/>
    <m/>
    <m/>
    <m/>
    <m/>
    <m/>
    <m/>
    <m/>
    <m/>
    <s v="Error!"/>
    <s v="Error"/>
    <m/>
    <m/>
    <x v="4"/>
    <m/>
    <m/>
    <m/>
  </r>
  <r>
    <s v="TASK-030"/>
    <m/>
    <m/>
    <m/>
    <m/>
    <m/>
    <m/>
    <m/>
    <m/>
    <s v="Error!"/>
    <s v="Error"/>
    <m/>
    <m/>
    <x v="4"/>
    <m/>
    <m/>
    <m/>
  </r>
  <r>
    <s v="TASK-031"/>
    <m/>
    <m/>
    <m/>
    <m/>
    <m/>
    <m/>
    <m/>
    <m/>
    <s v="Error!"/>
    <s v="Error"/>
    <m/>
    <m/>
    <x v="4"/>
    <m/>
    <m/>
    <m/>
  </r>
  <r>
    <s v="TASK-032"/>
    <m/>
    <m/>
    <m/>
    <m/>
    <m/>
    <m/>
    <m/>
    <m/>
    <s v="Error!"/>
    <s v="Error"/>
    <m/>
    <m/>
    <x v="4"/>
    <m/>
    <m/>
    <m/>
  </r>
  <r>
    <s v="TASK-033"/>
    <m/>
    <m/>
    <m/>
    <m/>
    <m/>
    <m/>
    <m/>
    <m/>
    <s v="Error!"/>
    <s v="Error"/>
    <m/>
    <m/>
    <x v="4"/>
    <m/>
    <m/>
    <m/>
  </r>
  <r>
    <s v="TASK-034"/>
    <m/>
    <m/>
    <m/>
    <m/>
    <m/>
    <m/>
    <m/>
    <m/>
    <s v="Error!"/>
    <s v="Error"/>
    <m/>
    <m/>
    <x v="4"/>
    <m/>
    <m/>
    <m/>
  </r>
  <r>
    <s v="TASK-035"/>
    <m/>
    <m/>
    <m/>
    <m/>
    <m/>
    <m/>
    <m/>
    <m/>
    <s v="Error!"/>
    <s v="Error"/>
    <m/>
    <m/>
    <x v="4"/>
    <m/>
    <m/>
    <m/>
  </r>
  <r>
    <s v="TASK-036"/>
    <m/>
    <m/>
    <m/>
    <m/>
    <m/>
    <m/>
    <m/>
    <m/>
    <s v="Error!"/>
    <s v="Error"/>
    <m/>
    <m/>
    <x v="4"/>
    <m/>
    <m/>
    <m/>
  </r>
  <r>
    <s v="TASK-037"/>
    <m/>
    <m/>
    <m/>
    <m/>
    <m/>
    <m/>
    <m/>
    <m/>
    <s v="Error!"/>
    <s v="Error"/>
    <m/>
    <m/>
    <x v="4"/>
    <m/>
    <m/>
    <m/>
  </r>
  <r>
    <s v="TASK-038"/>
    <m/>
    <m/>
    <m/>
    <m/>
    <m/>
    <m/>
    <m/>
    <m/>
    <s v="Error!"/>
    <s v="Error"/>
    <m/>
    <m/>
    <x v="4"/>
    <m/>
    <m/>
    <m/>
  </r>
  <r>
    <s v="TASK-039"/>
    <m/>
    <m/>
    <m/>
    <m/>
    <m/>
    <m/>
    <m/>
    <m/>
    <s v="Error!"/>
    <s v="Error"/>
    <m/>
    <m/>
    <x v="4"/>
    <m/>
    <m/>
    <m/>
  </r>
  <r>
    <s v="TASK-040"/>
    <m/>
    <m/>
    <m/>
    <m/>
    <m/>
    <m/>
    <m/>
    <m/>
    <s v="Error!"/>
    <s v="Error"/>
    <m/>
    <m/>
    <x v="4"/>
    <m/>
    <m/>
    <m/>
  </r>
  <r>
    <s v="TASK-041"/>
    <m/>
    <m/>
    <m/>
    <m/>
    <m/>
    <m/>
    <m/>
    <m/>
    <s v="Error!"/>
    <s v="Error"/>
    <m/>
    <m/>
    <x v="4"/>
    <m/>
    <m/>
    <m/>
  </r>
  <r>
    <s v="TASK-042"/>
    <m/>
    <m/>
    <m/>
    <m/>
    <m/>
    <m/>
    <m/>
    <m/>
    <s v="Error!"/>
    <s v="Error"/>
    <m/>
    <m/>
    <x v="4"/>
    <m/>
    <m/>
    <m/>
  </r>
  <r>
    <s v="TASK-043"/>
    <m/>
    <m/>
    <m/>
    <m/>
    <m/>
    <m/>
    <m/>
    <m/>
    <s v="Error!"/>
    <s v="Error"/>
    <m/>
    <m/>
    <x v="4"/>
    <m/>
    <m/>
    <m/>
  </r>
  <r>
    <s v="TASK-044"/>
    <m/>
    <m/>
    <m/>
    <m/>
    <m/>
    <m/>
    <m/>
    <m/>
    <s v="Error!"/>
    <s v="Error"/>
    <m/>
    <m/>
    <x v="4"/>
    <m/>
    <m/>
    <m/>
  </r>
  <r>
    <s v="TASK-045"/>
    <m/>
    <m/>
    <m/>
    <m/>
    <m/>
    <m/>
    <m/>
    <m/>
    <s v="Error!"/>
    <s v="Error"/>
    <m/>
    <m/>
    <x v="4"/>
    <m/>
    <m/>
    <m/>
  </r>
  <r>
    <s v="TASK-046"/>
    <m/>
    <m/>
    <m/>
    <m/>
    <m/>
    <m/>
    <m/>
    <m/>
    <s v="Error!"/>
    <s v="Error"/>
    <m/>
    <m/>
    <x v="4"/>
    <m/>
    <m/>
    <m/>
  </r>
  <r>
    <s v="TASK-047"/>
    <m/>
    <m/>
    <m/>
    <m/>
    <m/>
    <m/>
    <m/>
    <m/>
    <s v="Error!"/>
    <s v="Error"/>
    <m/>
    <m/>
    <x v="4"/>
    <m/>
    <m/>
    <m/>
  </r>
  <r>
    <s v="TASK-048"/>
    <m/>
    <m/>
    <m/>
    <m/>
    <m/>
    <m/>
    <m/>
    <m/>
    <s v="Error!"/>
    <s v="Error"/>
    <m/>
    <m/>
    <x v="4"/>
    <m/>
    <m/>
    <m/>
  </r>
  <r>
    <s v="TASK-049"/>
    <m/>
    <m/>
    <m/>
    <m/>
    <m/>
    <m/>
    <m/>
    <m/>
    <s v="Error!"/>
    <s v="Error"/>
    <m/>
    <m/>
    <x v="4"/>
    <m/>
    <m/>
    <m/>
  </r>
  <r>
    <s v="TASK-050"/>
    <m/>
    <m/>
    <m/>
    <m/>
    <m/>
    <m/>
    <m/>
    <m/>
    <s v="Error!"/>
    <s v="Error"/>
    <m/>
    <m/>
    <x v="4"/>
    <m/>
    <m/>
    <m/>
  </r>
  <r>
    <s v="TASK-051"/>
    <m/>
    <m/>
    <m/>
    <m/>
    <m/>
    <m/>
    <m/>
    <m/>
    <s v="Error!"/>
    <s v="Error"/>
    <m/>
    <m/>
    <x v="4"/>
    <m/>
    <m/>
    <m/>
  </r>
  <r>
    <s v="TASK-052"/>
    <m/>
    <m/>
    <m/>
    <m/>
    <m/>
    <m/>
    <m/>
    <m/>
    <s v="Error!"/>
    <s v="Error"/>
    <m/>
    <m/>
    <x v="4"/>
    <m/>
    <m/>
    <m/>
  </r>
  <r>
    <s v="TASK-053"/>
    <m/>
    <m/>
    <m/>
    <m/>
    <m/>
    <m/>
    <m/>
    <m/>
    <s v="Error!"/>
    <s v="Error"/>
    <m/>
    <m/>
    <x v="4"/>
    <m/>
    <m/>
    <m/>
  </r>
  <r>
    <s v="TASK-054"/>
    <m/>
    <m/>
    <m/>
    <m/>
    <m/>
    <m/>
    <m/>
    <m/>
    <s v="Error!"/>
    <s v="Error"/>
    <m/>
    <m/>
    <x v="4"/>
    <m/>
    <m/>
    <m/>
  </r>
  <r>
    <s v="TASK-055"/>
    <m/>
    <m/>
    <m/>
    <m/>
    <m/>
    <m/>
    <m/>
    <m/>
    <s v="Error!"/>
    <s v="Error"/>
    <m/>
    <m/>
    <x v="4"/>
    <m/>
    <m/>
    <m/>
  </r>
  <r>
    <s v="TASK-056"/>
    <m/>
    <m/>
    <m/>
    <m/>
    <m/>
    <m/>
    <m/>
    <m/>
    <s v="Error!"/>
    <s v="Error"/>
    <m/>
    <m/>
    <x v="4"/>
    <m/>
    <m/>
    <m/>
  </r>
  <r>
    <s v="TASK-057"/>
    <m/>
    <m/>
    <m/>
    <m/>
    <m/>
    <m/>
    <m/>
    <m/>
    <s v="Error!"/>
    <s v="Error"/>
    <m/>
    <m/>
    <x v="4"/>
    <m/>
    <m/>
    <m/>
  </r>
  <r>
    <s v="TASK-058"/>
    <m/>
    <m/>
    <m/>
    <m/>
    <m/>
    <m/>
    <m/>
    <m/>
    <s v="Error!"/>
    <s v="Error"/>
    <m/>
    <m/>
    <x v="4"/>
    <m/>
    <m/>
    <m/>
  </r>
  <r>
    <s v="TASK-059"/>
    <m/>
    <m/>
    <m/>
    <m/>
    <m/>
    <m/>
    <m/>
    <m/>
    <s v="Error!"/>
    <s v="Error"/>
    <m/>
    <m/>
    <x v="4"/>
    <m/>
    <m/>
    <m/>
  </r>
  <r>
    <s v="TASK-060"/>
    <m/>
    <m/>
    <m/>
    <m/>
    <m/>
    <m/>
    <m/>
    <m/>
    <s v="Error!"/>
    <s v="Error"/>
    <m/>
    <m/>
    <x v="4"/>
    <m/>
    <m/>
    <m/>
  </r>
  <r>
    <s v="TASK-061"/>
    <m/>
    <m/>
    <m/>
    <m/>
    <m/>
    <m/>
    <m/>
    <m/>
    <s v="Error!"/>
    <s v="Error"/>
    <m/>
    <m/>
    <x v="4"/>
    <m/>
    <m/>
    <m/>
  </r>
  <r>
    <s v="TASK-062"/>
    <m/>
    <m/>
    <m/>
    <m/>
    <m/>
    <m/>
    <m/>
    <m/>
    <s v="Error!"/>
    <s v="Error"/>
    <m/>
    <m/>
    <x v="4"/>
    <m/>
    <m/>
    <m/>
  </r>
  <r>
    <s v="TASK-063"/>
    <m/>
    <m/>
    <m/>
    <m/>
    <m/>
    <m/>
    <m/>
    <m/>
    <s v="Error!"/>
    <s v="Error"/>
    <m/>
    <m/>
    <x v="4"/>
    <m/>
    <m/>
    <m/>
  </r>
  <r>
    <s v="TASK-064"/>
    <m/>
    <m/>
    <m/>
    <m/>
    <m/>
    <m/>
    <m/>
    <m/>
    <s v="Error!"/>
    <s v="Error"/>
    <m/>
    <m/>
    <x v="4"/>
    <m/>
    <m/>
    <m/>
  </r>
  <r>
    <s v="TASK-065"/>
    <m/>
    <m/>
    <m/>
    <m/>
    <m/>
    <m/>
    <m/>
    <m/>
    <s v="Error!"/>
    <s v="Error"/>
    <m/>
    <m/>
    <x v="4"/>
    <m/>
    <m/>
    <m/>
  </r>
  <r>
    <s v="TASK-066"/>
    <m/>
    <m/>
    <m/>
    <m/>
    <m/>
    <m/>
    <m/>
    <m/>
    <s v="Error!"/>
    <s v="Error"/>
    <m/>
    <m/>
    <x v="4"/>
    <m/>
    <m/>
    <m/>
  </r>
  <r>
    <s v="TASK-067"/>
    <m/>
    <m/>
    <m/>
    <m/>
    <m/>
    <m/>
    <m/>
    <m/>
    <s v="Error!"/>
    <s v="Error"/>
    <m/>
    <m/>
    <x v="4"/>
    <m/>
    <m/>
    <m/>
  </r>
  <r>
    <s v="TASK-068"/>
    <m/>
    <m/>
    <m/>
    <m/>
    <m/>
    <m/>
    <m/>
    <m/>
    <s v="Error!"/>
    <s v="Error"/>
    <m/>
    <m/>
    <x v="4"/>
    <m/>
    <m/>
    <m/>
  </r>
  <r>
    <s v="TASK-069"/>
    <m/>
    <m/>
    <m/>
    <m/>
    <m/>
    <m/>
    <m/>
    <m/>
    <s v="Error!"/>
    <s v="Error"/>
    <m/>
    <m/>
    <x v="4"/>
    <m/>
    <m/>
    <m/>
  </r>
  <r>
    <s v="TASK-070"/>
    <m/>
    <m/>
    <m/>
    <m/>
    <m/>
    <m/>
    <m/>
    <m/>
    <s v="Error!"/>
    <s v="Error"/>
    <m/>
    <m/>
    <x v="4"/>
    <m/>
    <m/>
    <m/>
  </r>
  <r>
    <s v="TASK-071"/>
    <m/>
    <m/>
    <m/>
    <m/>
    <m/>
    <m/>
    <m/>
    <m/>
    <s v="Error!"/>
    <s v="Error"/>
    <m/>
    <m/>
    <x v="4"/>
    <m/>
    <m/>
    <m/>
  </r>
  <r>
    <s v="TASK-072"/>
    <m/>
    <m/>
    <m/>
    <m/>
    <m/>
    <m/>
    <m/>
    <m/>
    <s v="Error!"/>
    <s v="Error"/>
    <m/>
    <m/>
    <x v="4"/>
    <m/>
    <m/>
    <m/>
  </r>
  <r>
    <s v="TASK-073"/>
    <m/>
    <m/>
    <m/>
    <m/>
    <m/>
    <m/>
    <m/>
    <m/>
    <s v="Error!"/>
    <s v="Error"/>
    <m/>
    <m/>
    <x v="4"/>
    <m/>
    <m/>
    <m/>
  </r>
  <r>
    <s v="TASK-074"/>
    <m/>
    <m/>
    <m/>
    <m/>
    <m/>
    <m/>
    <m/>
    <m/>
    <s v="Error!"/>
    <s v="Error"/>
    <m/>
    <m/>
    <x v="4"/>
    <m/>
    <m/>
    <m/>
  </r>
  <r>
    <s v="TASK-075"/>
    <m/>
    <m/>
    <m/>
    <m/>
    <m/>
    <m/>
    <m/>
    <m/>
    <s v="Error!"/>
    <s v="Error"/>
    <m/>
    <m/>
    <x v="4"/>
    <m/>
    <m/>
    <m/>
  </r>
  <r>
    <s v="TASK-076"/>
    <m/>
    <m/>
    <m/>
    <m/>
    <m/>
    <m/>
    <m/>
    <m/>
    <s v="Error!"/>
    <s v="Error"/>
    <m/>
    <m/>
    <x v="4"/>
    <m/>
    <m/>
    <m/>
  </r>
  <r>
    <s v="TASK-077"/>
    <m/>
    <m/>
    <m/>
    <m/>
    <m/>
    <m/>
    <m/>
    <m/>
    <s v="Error!"/>
    <s v="Error"/>
    <m/>
    <m/>
    <x v="4"/>
    <m/>
    <m/>
    <m/>
  </r>
  <r>
    <s v="TASK-078"/>
    <m/>
    <m/>
    <m/>
    <m/>
    <m/>
    <m/>
    <m/>
    <m/>
    <s v="Error!"/>
    <s v="Error"/>
    <m/>
    <m/>
    <x v="4"/>
    <m/>
    <m/>
    <m/>
  </r>
  <r>
    <s v="TASK-079"/>
    <m/>
    <m/>
    <m/>
    <m/>
    <m/>
    <m/>
    <m/>
    <m/>
    <s v="Error!"/>
    <s v="Error"/>
    <m/>
    <m/>
    <x v="4"/>
    <m/>
    <m/>
    <m/>
  </r>
  <r>
    <s v="TASK-080"/>
    <m/>
    <m/>
    <m/>
    <m/>
    <m/>
    <m/>
    <m/>
    <m/>
    <s v="Error!"/>
    <s v="Error"/>
    <m/>
    <m/>
    <x v="4"/>
    <m/>
    <m/>
    <m/>
  </r>
  <r>
    <s v="TASK-081"/>
    <m/>
    <m/>
    <m/>
    <m/>
    <m/>
    <m/>
    <m/>
    <m/>
    <s v="Error!"/>
    <s v="Error"/>
    <m/>
    <m/>
    <x v="4"/>
    <m/>
    <m/>
    <m/>
  </r>
  <r>
    <s v="TASK-082"/>
    <m/>
    <m/>
    <m/>
    <m/>
    <m/>
    <m/>
    <m/>
    <m/>
    <s v="Error!"/>
    <s v="Error"/>
    <m/>
    <m/>
    <x v="4"/>
    <m/>
    <m/>
    <m/>
  </r>
  <r>
    <s v="TASK-083"/>
    <m/>
    <m/>
    <m/>
    <m/>
    <m/>
    <m/>
    <m/>
    <m/>
    <s v="Error!"/>
    <s v="Error"/>
    <m/>
    <m/>
    <x v="4"/>
    <m/>
    <m/>
    <m/>
  </r>
  <r>
    <s v="TASK-084"/>
    <m/>
    <m/>
    <m/>
    <m/>
    <m/>
    <m/>
    <m/>
    <m/>
    <s v="Error!"/>
    <s v="Error"/>
    <m/>
    <m/>
    <x v="4"/>
    <m/>
    <m/>
    <m/>
  </r>
  <r>
    <s v="TASK-085"/>
    <m/>
    <m/>
    <m/>
    <m/>
    <m/>
    <m/>
    <m/>
    <m/>
    <s v="Error!"/>
    <s v="Error"/>
    <m/>
    <m/>
    <x v="4"/>
    <m/>
    <m/>
    <m/>
  </r>
  <r>
    <s v="TASK-086"/>
    <m/>
    <m/>
    <m/>
    <m/>
    <m/>
    <m/>
    <m/>
    <m/>
    <s v="Error!"/>
    <s v="Error"/>
    <m/>
    <m/>
    <x v="4"/>
    <m/>
    <m/>
    <m/>
  </r>
  <r>
    <s v="TASK-087"/>
    <m/>
    <m/>
    <m/>
    <m/>
    <m/>
    <m/>
    <m/>
    <m/>
    <s v="Error!"/>
    <s v="Error"/>
    <m/>
    <m/>
    <x v="4"/>
    <m/>
    <m/>
    <m/>
  </r>
  <r>
    <s v="TASK-088"/>
    <m/>
    <m/>
    <m/>
    <m/>
    <m/>
    <m/>
    <m/>
    <m/>
    <s v="Error!"/>
    <s v="Error"/>
    <m/>
    <m/>
    <x v="4"/>
    <m/>
    <m/>
    <m/>
  </r>
  <r>
    <s v="TASK-089"/>
    <m/>
    <m/>
    <m/>
    <m/>
    <m/>
    <m/>
    <m/>
    <m/>
    <s v="Error!"/>
    <s v="Error"/>
    <m/>
    <m/>
    <x v="4"/>
    <m/>
    <m/>
    <m/>
  </r>
  <r>
    <s v="TASK-090"/>
    <m/>
    <m/>
    <m/>
    <m/>
    <m/>
    <m/>
    <m/>
    <m/>
    <s v="Error!"/>
    <s v="Error"/>
    <m/>
    <m/>
    <x v="4"/>
    <m/>
    <m/>
    <m/>
  </r>
  <r>
    <s v="TASK-091"/>
    <m/>
    <m/>
    <m/>
    <m/>
    <m/>
    <m/>
    <m/>
    <m/>
    <s v="Error!"/>
    <e v="#REF!"/>
    <m/>
    <m/>
    <x v="4"/>
    <m/>
    <m/>
    <m/>
  </r>
  <r>
    <s v="TASK-092"/>
    <m/>
    <m/>
    <m/>
    <m/>
    <m/>
    <m/>
    <m/>
    <m/>
    <s v="Error!"/>
    <s v="Error"/>
    <m/>
    <m/>
    <x v="4"/>
    <m/>
    <m/>
    <m/>
  </r>
  <r>
    <s v="TASK-093"/>
    <m/>
    <m/>
    <m/>
    <m/>
    <m/>
    <m/>
    <m/>
    <m/>
    <s v="Error!"/>
    <s v="Error"/>
    <m/>
    <m/>
    <x v="4"/>
    <m/>
    <m/>
    <m/>
  </r>
  <r>
    <s v="TASK-094"/>
    <m/>
    <m/>
    <m/>
    <m/>
    <m/>
    <m/>
    <m/>
    <m/>
    <s v="Error!"/>
    <s v="Error"/>
    <m/>
    <m/>
    <x v="4"/>
    <m/>
    <m/>
    <m/>
  </r>
  <r>
    <s v="TASK-095"/>
    <m/>
    <m/>
    <m/>
    <m/>
    <m/>
    <m/>
    <m/>
    <m/>
    <s v="Error!"/>
    <s v="Error"/>
    <m/>
    <m/>
    <x v="4"/>
    <m/>
    <m/>
    <m/>
  </r>
  <r>
    <s v="TASK-096"/>
    <m/>
    <m/>
    <m/>
    <m/>
    <m/>
    <m/>
    <m/>
    <m/>
    <s v="Error!"/>
    <s v="Error"/>
    <m/>
    <m/>
    <x v="4"/>
    <m/>
    <m/>
    <m/>
  </r>
  <r>
    <s v="TASK-097"/>
    <m/>
    <m/>
    <m/>
    <m/>
    <m/>
    <m/>
    <m/>
    <m/>
    <s v="Error!"/>
    <s v="Error"/>
    <m/>
    <m/>
    <x v="4"/>
    <m/>
    <m/>
    <m/>
  </r>
  <r>
    <s v="TASK-098"/>
    <m/>
    <m/>
    <m/>
    <m/>
    <m/>
    <m/>
    <m/>
    <m/>
    <s v="Error!"/>
    <s v="Error"/>
    <m/>
    <m/>
    <x v="4"/>
    <m/>
    <m/>
    <m/>
  </r>
  <r>
    <s v="TASK-099"/>
    <m/>
    <m/>
    <m/>
    <m/>
    <m/>
    <m/>
    <m/>
    <m/>
    <s v="Error!"/>
    <s v="Error"/>
    <m/>
    <m/>
    <x v="4"/>
    <m/>
    <m/>
    <m/>
  </r>
  <r>
    <s v="TASK-100"/>
    <m/>
    <m/>
    <m/>
    <m/>
    <m/>
    <m/>
    <m/>
    <m/>
    <s v="Error!"/>
    <s v="Error"/>
    <m/>
    <m/>
    <x v="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660FCA-3347-4C29-B027-9381D488729A}" name="PivotTable10" cacheId="0" applyNumberFormats="0" applyBorderFormats="0" applyFontFormats="0" applyPatternFormats="0" applyAlignmentFormats="0" applyWidthHeightFormats="1" dataCaption="Values" updatedVersion="8" minRefreshableVersion="3" showDrill="0" rowGrandTotals="0" colGrandTotals="0" itemPrintTitles="1" createdVersion="8" indent="0" outline="1" outlineData="1" multipleFieldFilters="0" chartFormat="4" rowHeaderCaption="Risks">
  <location ref="B6:D10" firstHeaderRow="0" firstDataRow="1" firstDataCol="1"/>
  <pivotFields count="17">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axis="axisRow" showAll="0">
      <items count="10">
        <item h="1" x="4"/>
        <item m="1" x="5"/>
        <item m="1" x="6"/>
        <item m="1" x="7"/>
        <item m="1" x="8"/>
        <item x="0"/>
        <item x="1"/>
        <item x="2"/>
        <item x="3"/>
        <item t="default"/>
      </items>
    </pivotField>
    <pivotField showAll="0"/>
    <pivotField showAll="0"/>
    <pivotField showAll="0"/>
  </pivotFields>
  <rowFields count="1">
    <field x="13"/>
  </rowFields>
  <rowItems count="4">
    <i>
      <x v="5"/>
    </i>
    <i>
      <x v="6"/>
    </i>
    <i>
      <x v="7"/>
    </i>
    <i>
      <x v="8"/>
    </i>
  </rowItems>
  <colFields count="1">
    <field x="-2"/>
  </colFields>
  <colItems count="2">
    <i>
      <x/>
    </i>
    <i i="1">
      <x v="1"/>
    </i>
  </colItems>
  <dataFields count="2">
    <dataField name="Start" fld="1" subtotal="min" baseField="13" baseItem="1" numFmtId="165"/>
    <dataField name="Due" fld="6" subtotal="max" baseField="13" baseItem="2"/>
  </dataFields>
  <formats count="9">
    <format dxfId="15">
      <pivotArea collapsedLevelsAreSubtotals="1" fieldPosition="0">
        <references count="2">
          <reference field="4294967294" count="1" selected="0">
            <x v="1"/>
          </reference>
          <reference field="13" count="0"/>
        </references>
      </pivotArea>
    </format>
    <format dxfId="14">
      <pivotArea outline="0" collapsedLevelsAreSubtotals="1" fieldPosition="0">
        <references count="1">
          <reference field="4294967294" count="1" selected="0">
            <x v="0"/>
          </reference>
        </references>
      </pivotArea>
    </format>
    <format dxfId="13">
      <pivotArea outline="0" collapsedLevelsAreSubtotals="1" fieldPosition="0"/>
    </format>
    <format dxfId="12">
      <pivotArea dataOnly="0" labelOnly="1" outline="0" fieldPosition="0">
        <references count="1">
          <reference field="4294967294" count="2">
            <x v="0"/>
            <x v="1"/>
          </reference>
        </references>
      </pivotArea>
    </format>
    <format dxfId="11">
      <pivotArea type="all" dataOnly="0" outline="0" fieldPosition="0"/>
    </format>
    <format dxfId="10">
      <pivotArea outline="0" collapsedLevelsAreSubtotals="1" fieldPosition="0"/>
    </format>
    <format dxfId="9">
      <pivotArea field="13" type="button" dataOnly="0" labelOnly="1" outline="0" axis="axisRow" fieldPosition="0"/>
    </format>
    <format dxfId="8">
      <pivotArea dataOnly="0" labelOnly="1" fieldPosition="0">
        <references count="1">
          <reference field="13" count="0"/>
        </references>
      </pivotArea>
    </format>
    <format dxfId="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6685F8-C059-4F5C-B7FF-A71D555C7119}" name="RiskRegister" displayName="RiskRegister" ref="A3:AE1020" totalsRowShown="0" headerRowDxfId="49" dataDxfId="47" headerRowBorderDxfId="48" headerRowCellStyle="Title 2">
  <autoFilter ref="A3:AE1020" xr:uid="{636685F8-C059-4F5C-B7FF-A71D555C7119}">
    <filterColumn colId="0">
      <customFilters>
        <customFilter operator="greaterThan" val=""/>
      </customFilters>
    </filterColumn>
    <filterColumn colId="5">
      <filters blank="1"/>
    </filterColumn>
  </autoFilter>
  <sortState xmlns:xlrd2="http://schemas.microsoft.com/office/spreadsheetml/2017/richdata2" ref="A1004:AE1020">
    <sortCondition ref="G3:G1020"/>
  </sortState>
  <tableColumns count="31">
    <tableColumn id="3" xr3:uid="{5909478F-C303-424C-B563-36706BCF9F52}" name="Risk ID" dataDxfId="46"/>
    <tableColumn id="4" xr3:uid="{F3298DF4-2666-4D4D-A358-DE705433F38B}" name="Asset " dataDxfId="45"/>
    <tableColumn id="5" xr3:uid="{5B98027C-37BB-44BD-9A81-4430BD249986}" name="Risk Description" dataDxfId="44"/>
    <tableColumn id="39" xr3:uid="{4C68680D-E6BB-4CD7-BA69-9473D87A4F73}" name="Threat" dataDxfId="43"/>
    <tableColumn id="29" xr3:uid="{5925DE37-8377-46F7-BC3C-6B84B5A5EEB4}" name="Vulnerability" dataDxfId="42"/>
    <tableColumn id="22" xr3:uid="{FF65577B-FDEA-4913-895D-8B1B15398E17}" name="Likelihood" dataDxfId="41"/>
    <tableColumn id="6" xr3:uid="{13A6724C-2C47-43B3-830E-DA584A406559}" name="Imapct" dataDxfId="40"/>
    <tableColumn id="8" xr3:uid="{A089B670-F85A-4A10-B608-6C25AF209690}" name="Risk score" dataDxfId="39"/>
    <tableColumn id="9" xr3:uid="{1C67AE7A-7351-430F-ABB7-6AA8DD7C1160}" name="Risk Level" dataDxfId="38"/>
    <tableColumn id="10" xr3:uid="{A7793825-053F-479E-B35D-DEC2D94177F2}" name="Risk Owner" dataDxfId="37"/>
    <tableColumn id="12" xr3:uid="{1F573EC7-D71E-423F-BBF4-565C9EB0F262}" name="Existing measures and controls" dataDxfId="36"/>
    <tableColumn id="13" xr3:uid="{513624EC-104F-4375-8D7E-422C7C50EB6B}" name="Inherent Impact LevelL3:L1020D1007L3:L1019" dataDxfId="35"/>
    <tableColumn id="14" xr3:uid="{27F59E0B-ACF2-45C2-9B6A-9DD32A21A4C3}" name="Inherent Impact Rating" dataDxfId="34">
      <calculatedColumnFormula>VLOOKUP(RiskRegister[[#This Row],[Inherent Impact LevelL3:L1020D1007L3:L1019]],'Rating factors'!$F$4:$G$9,2,FALSE)</calculatedColumnFormula>
    </tableColumn>
    <tableColumn id="15" xr3:uid="{96074D76-069B-414D-98B3-4CE418E70074}" name="Inherent Likelihood Level" dataDxfId="33"/>
    <tableColumn id="16" xr3:uid="{F95034EB-7E9C-426A-ABA8-625AC57F57A1}" name="Inherent Likelihood Rating" dataDxfId="32">
      <calculatedColumnFormula>VLOOKUP(RiskRegister[[#This Row],[Inherent Likelihood Level]],'Rating factors'!$F$16:$G$21,2,FALSE)</calculatedColumnFormula>
    </tableColumn>
    <tableColumn id="11" xr3:uid="{8078D843-73A3-4C9F-8C46-EFD78A1A385C}" name="Inherent Risk Level" dataDxfId="31">
      <calculatedColumnFormula>IFERROR(VLOOKUP(RiskRegister[[#This Row],[Inherent Risk Rating]],'Rating factors'!$F$30:$G$44,2,FALSE),"-- Error --")</calculatedColumnFormula>
    </tableColumn>
    <tableColumn id="20" xr3:uid="{1E8BCB32-FE28-4147-AC5B-004529DA3042}" name="Inherent Risk Rating" dataDxfId="30">
      <calculatedColumnFormula>IFERROR(RiskRegister[[#This Row],[Inherent Impact Rating]]*RiskRegister[[#This Row],[Inherent Likelihood Rating]],"-- Error --")</calculatedColumnFormula>
    </tableColumn>
    <tableColumn id="17" xr3:uid="{F3785242-EE2B-4BAE-9854-A803F5565915}" name="Risk Response Strategy" dataDxfId="29"/>
    <tableColumn id="23" xr3:uid="{D42D447D-DE03-4793-A763-C335B67218A0}" name="New measures and controls" dataDxfId="28"/>
    <tableColumn id="24" xr3:uid="{5028DB38-7F9A-428D-BCC1-DC3BFECEB50B}" name="Residual Impact Level" dataDxfId="27"/>
    <tableColumn id="25" xr3:uid="{8DD2AE4A-7153-4051-94D4-458E54BFBDA5}" name="Residual Impact Rating" dataDxfId="26">
      <calculatedColumnFormula array="1">+U4:Y1019VLOOKUP(RiskRegister[[#This Row],[Residual Impact Level]],'Rating factors'!$F$4:$G$9,2,FALSE)</calculatedColumnFormula>
    </tableColumn>
    <tableColumn id="28" xr3:uid="{81826F36-A747-4580-8F3F-609291641DD9}" name="Residual Likelihood Level" dataDxfId="25"/>
    <tableColumn id="27" xr3:uid="{CC6DDBA1-E720-4977-A7B8-A165004DDC69}" name="Residual Likelihood Rating" dataDxfId="24">
      <calculatedColumnFormula>VLOOKUP(RiskRegister[[#This Row],[Residual Likelihood Level]],'Rating factors'!$F$16:$G$21,2,FALSE)</calculatedColumnFormula>
    </tableColumn>
    <tableColumn id="31" xr3:uid="{403676CD-DEB5-4770-BD2D-027E7836EFCB}" name="Residual Risk Level" dataDxfId="23">
      <calculatedColumnFormula>IFERROR(VLOOKUP(RiskRegister[[#This Row],[Residual Risk Rating]],'Rating factors'!$F$30:$G$44,2,FALSE),"-- Error --")</calculatedColumnFormula>
    </tableColumn>
    <tableColumn id="26" xr3:uid="{50A22AC0-4C55-4F47-9FB1-2498445555ED}" name="Residual Risk Rating" dataDxfId="22">
      <calculatedColumnFormula>IFERROR(RiskRegister[[#This Row],[Residual Impact Rating]]*RiskRegister[[#This Row],[Residual Likelihood Rating]],"-- Error --")</calculatedColumnFormula>
    </tableColumn>
    <tableColumn id="30" xr3:uid="{7D4BF366-DA05-4530-92F8-1A772E4FA651}" name="Risk Status" dataDxfId="21"/>
    <tableColumn id="7" xr3:uid="{863397D2-6602-4577-9315-0D08CB488A63}" name="Status comments" dataDxfId="20"/>
    <tableColumn id="18" xr3:uid="{50B84654-2411-4843-8AAB-CEC9DDDDA07A}" name="Risk Due Date" dataDxfId="19"/>
    <tableColumn id="32" xr3:uid="{D6CFC33F-D172-4251-BC17-6EF0A4BC7564}" name="Risk Close Date" dataDxfId="18"/>
    <tableColumn id="19" xr3:uid="{8B49C431-63AC-45B1-B4E1-97DDC5E174AD}" name="Overdue?" dataDxfId="17"/>
    <tableColumn id="21" xr3:uid="{86B50D48-1AA0-47D1-86CE-4F28B2B90D8F}" name="Next Review Date" dataDxfId="16"/>
  </tableColumns>
  <tableStyleInfo name="Custom Blue"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0A92F6-2BAB-4EA5-B1BD-5A4FD0CB5527}" name="Tasks" displayName="Tasks" ref="A3:Q103" totalsRowShown="0" headerRowDxfId="6" headerRowCellStyle="Title 2">
  <autoFilter ref="A3:Q103" xr:uid="{190A92F6-2BAB-4EA5-B1BD-5A4FD0CB5527}"/>
  <tableColumns count="17">
    <tableColumn id="2" xr3:uid="{7866062C-A8B8-4AD7-9C7E-24AA3129D0F5}" name="Task ID"/>
    <tableColumn id="41" xr3:uid="{D0833E4C-DCD9-454C-870A-48F9716C6160}" name="Created Date" dataDxfId="5"/>
    <tableColumn id="4" xr3:uid="{25AF9E0C-F40D-4A6C-9594-4BCC5ECF3498}" name="Task Title"/>
    <tableColumn id="5" xr3:uid="{3E84FAEF-8DE8-481B-987F-C4530370DAC9}" name="Task Description"/>
    <tableColumn id="6" xr3:uid="{EF88593E-CFF4-4ABC-BC5C-1D6E9762C1A2}" name="Assignee"/>
    <tableColumn id="38" xr3:uid="{1E81D19F-A087-4D3D-9824-6EC99F2568C2}" name="Status"/>
    <tableColumn id="7" xr3:uid="{C94C727E-F015-4E31-9BF4-AE6BB62B90A2}" name="Due Date" dataDxfId="4"/>
    <tableColumn id="9" xr3:uid="{D065E62D-D43A-4C69-B861-382DD3CE869F}" name="Comments"/>
    <tableColumn id="10" xr3:uid="{593649DD-8A3A-4B33-A2FC-D8AC447F87E3}" name="Risk ID"/>
    <tableColumn id="11" xr3:uid="{CDB02363-F827-4CB0-91DE-B4AF2E49A016}" name="Risk Title" dataDxfId="3"/>
    <tableColumn id="33" xr3:uid="{EF4BA74D-4D77-4DE1-99FB-85F1D9309471}" name="Overdue?" dataDxfId="2"/>
    <tableColumn id="39" xr3:uid="{17C7DDDE-D183-4D60-B6A6-AB99FAC985F0}" name="Due Month"/>
    <tableColumn id="40" xr3:uid="{87E7C050-3A66-402B-A23F-0AA63D7FE83C}" name="Due Year"/>
    <tableColumn id="34" xr3:uid="{9C213F33-FF7E-475B-A607-3A1DC0810948}" name="Risk-ID-Title-Combo" dataDxfId="1"/>
    <tableColumn id="35" xr3:uid="{8F65E14F-201D-4614-8DA7-EBDC19AAEAED}" name="Residual-I-L-Combo"/>
    <tableColumn id="36" xr3:uid="{122CC3AF-5998-414D-AA3F-4CBBAC3115B2}" name="Mitigated?"/>
    <tableColumn id="37" xr3:uid="{C603920C-C41A-4F3B-9AC7-DB470ECC7EBF}" name="Current Risk Level"/>
  </tableColumns>
  <tableStyleInfo name="Custom Blu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92A53-40E8-4EF7-89BB-F65F41C2E077}">
  <sheetPr>
    <pageSetUpPr fitToPage="1"/>
  </sheetPr>
  <dimension ref="A91:AD105"/>
  <sheetViews>
    <sheetView showGridLines="0" zoomScaleNormal="100" workbookViewId="0">
      <selection activeCell="A24" sqref="A24"/>
    </sheetView>
  </sheetViews>
  <sheetFormatPr defaultColWidth="0" defaultRowHeight="15" x14ac:dyDescent="0.25"/>
  <cols>
    <col min="1" max="3" width="9.140625" customWidth="1"/>
    <col min="4" max="4" width="14" customWidth="1"/>
    <col min="5" max="30" width="9.140625" customWidth="1"/>
    <col min="31" max="16384" width="9.140625" hidden="1"/>
  </cols>
  <sheetData>
    <row r="91" spans="3:17" ht="16.5" x14ac:dyDescent="0.3">
      <c r="C91" s="21"/>
      <c r="D91" s="21"/>
      <c r="E91" s="21"/>
      <c r="F91" s="22"/>
      <c r="G91" s="22"/>
      <c r="H91" s="22"/>
      <c r="I91" s="22"/>
      <c r="J91" s="22"/>
      <c r="K91" s="22"/>
      <c r="L91" s="22"/>
      <c r="M91" s="21"/>
      <c r="N91" s="21"/>
      <c r="O91" s="21"/>
      <c r="P91" s="21"/>
      <c r="Q91" s="21"/>
    </row>
    <row r="92" spans="3:17" ht="16.5" x14ac:dyDescent="0.3">
      <c r="C92" s="21"/>
      <c r="D92" s="21"/>
      <c r="E92" s="21"/>
      <c r="F92" s="133"/>
      <c r="G92" s="133"/>
      <c r="H92" s="133"/>
      <c r="I92" s="133"/>
      <c r="J92" s="133"/>
      <c r="K92" s="133"/>
      <c r="L92" s="133"/>
      <c r="M92" s="133"/>
      <c r="N92" s="133"/>
      <c r="O92" s="133"/>
      <c r="P92" s="21"/>
      <c r="Q92" s="21"/>
    </row>
    <row r="93" spans="3:17" ht="16.5" x14ac:dyDescent="0.3">
      <c r="C93" s="21"/>
      <c r="D93" s="21"/>
      <c r="E93" s="21"/>
      <c r="F93" s="133"/>
      <c r="G93" s="133"/>
      <c r="H93" s="133"/>
      <c r="I93" s="133"/>
      <c r="J93" s="133"/>
      <c r="K93" s="133"/>
      <c r="L93" s="133"/>
      <c r="M93" s="133"/>
      <c r="N93" s="133"/>
      <c r="O93" s="133"/>
      <c r="P93" s="21"/>
      <c r="Q93" s="21"/>
    </row>
    <row r="94" spans="3:17" ht="16.5" x14ac:dyDescent="0.3">
      <c r="C94" s="21"/>
      <c r="D94" s="21"/>
      <c r="E94" s="21"/>
      <c r="F94" s="22"/>
      <c r="G94" s="22"/>
      <c r="H94" s="22"/>
      <c r="I94" s="22"/>
      <c r="J94" s="22"/>
      <c r="K94" s="22"/>
      <c r="L94" s="22"/>
      <c r="M94" s="21"/>
      <c r="N94" s="21"/>
      <c r="O94" s="21"/>
      <c r="P94" s="21"/>
      <c r="Q94" s="21"/>
    </row>
    <row r="95" spans="3:17" ht="51" x14ac:dyDescent="0.3">
      <c r="C95" s="136" t="s">
        <v>110</v>
      </c>
      <c r="D95" s="40" t="s">
        <v>80</v>
      </c>
      <c r="E95" s="45">
        <v>5</v>
      </c>
      <c r="F95" s="124" t="e">
        <f>VLOOKUP($F$101&amp;"-"&amp;D95,#REF!,2,FALSE)</f>
        <v>#REF!</v>
      </c>
      <c r="G95" s="138"/>
      <c r="H95" s="123" t="e">
        <f>VLOOKUP($H$101&amp;"-"&amp;D95,#REF!,2,FALSE)</f>
        <v>#REF!</v>
      </c>
      <c r="I95" s="124"/>
      <c r="J95" s="123" t="e">
        <f>VLOOKUP($J$101&amp;"-"&amp;D95,#REF!,2,FALSE)</f>
        <v>#REF!</v>
      </c>
      <c r="K95" s="124"/>
      <c r="L95" s="134" t="e">
        <f>VLOOKUP($L$101&amp;"-"&amp;D95,#REF!,2,FALSE)</f>
        <v>#REF!</v>
      </c>
      <c r="M95" s="135"/>
      <c r="N95" s="134" t="e">
        <f>VLOOKUP($N$101&amp;"-"&amp;D95,#REF!,2,FALSE)</f>
        <v>#REF!</v>
      </c>
      <c r="O95" s="135"/>
      <c r="P95" s="21"/>
    </row>
    <row r="96" spans="3:17" ht="38.25" x14ac:dyDescent="0.3">
      <c r="C96" s="137"/>
      <c r="D96" s="40" t="s">
        <v>5</v>
      </c>
      <c r="E96" s="45">
        <v>4</v>
      </c>
      <c r="F96" s="139" t="e">
        <f>VLOOKUP($F$101&amp;"-"&amp;D96,#REF!,2,FALSE)</f>
        <v>#REF!</v>
      </c>
      <c r="G96" s="140"/>
      <c r="H96" s="123" t="e">
        <f>VLOOKUP($H$101&amp;"-"&amp;D96,#REF!,2,FALSE)</f>
        <v>#REF!</v>
      </c>
      <c r="I96" s="124"/>
      <c r="J96" s="123" t="e">
        <f>VLOOKUP($J$101&amp;"-"&amp;D96,#REF!,2,FALSE)</f>
        <v>#REF!</v>
      </c>
      <c r="K96" s="124"/>
      <c r="L96" s="123" t="e">
        <f>VLOOKUP($L$101&amp;"-"&amp;D96,#REF!,2,FALSE)</f>
        <v>#REF!</v>
      </c>
      <c r="M96" s="124"/>
      <c r="N96" s="134" t="e">
        <f>VLOOKUP($N$101&amp;"-"&amp;D96,#REF!,2,FALSE)</f>
        <v>#REF!</v>
      </c>
      <c r="O96" s="135"/>
      <c r="P96" s="21"/>
    </row>
    <row r="97" spans="3:17" ht="38.25" x14ac:dyDescent="0.3">
      <c r="C97" s="137"/>
      <c r="D97" s="40" t="s">
        <v>83</v>
      </c>
      <c r="E97" s="45">
        <v>3</v>
      </c>
      <c r="F97" s="125" t="e">
        <f>VLOOKUP($F$101&amp;"-"&amp;D97,#REF!,2,FALSE)</f>
        <v>#REF!</v>
      </c>
      <c r="G97" s="126"/>
      <c r="H97" s="127" t="e">
        <f>VLOOKUP($H$101&amp;"-"&amp;D97,#REF!,2,FALSE)</f>
        <v>#REF!</v>
      </c>
      <c r="I97" s="128"/>
      <c r="J97" s="123" t="e">
        <f>VLOOKUP($J$101&amp;"-"&amp;D97,#REF!,2,FALSE)</f>
        <v>#REF!</v>
      </c>
      <c r="K97" s="124"/>
      <c r="L97" s="123" t="e">
        <f>VLOOKUP($L$101&amp;"-"&amp;D97,#REF!,2,FALSE)</f>
        <v>#REF!</v>
      </c>
      <c r="M97" s="124"/>
      <c r="N97" s="123" t="e">
        <f>VLOOKUP($N$101&amp;"-"&amp;D97,#REF!,2,FALSE)</f>
        <v>#REF!</v>
      </c>
      <c r="O97" s="124"/>
      <c r="P97" s="21"/>
    </row>
    <row r="98" spans="3:17" ht="38.25" x14ac:dyDescent="0.3">
      <c r="C98" s="137"/>
      <c r="D98" s="40" t="s">
        <v>6</v>
      </c>
      <c r="E98" s="45">
        <v>2</v>
      </c>
      <c r="F98" s="125" t="e">
        <f>VLOOKUP($F$101&amp;"-"&amp;D98,#REF!,2,FALSE)</f>
        <v>#REF!</v>
      </c>
      <c r="G98" s="126"/>
      <c r="H98" s="123" t="e">
        <f>VLOOKUP($H$101&amp;"-"&amp;D98,#REF!,2,FALSE)</f>
        <v>#REF!</v>
      </c>
      <c r="I98" s="124"/>
      <c r="J98" s="123" t="e">
        <f>VLOOKUP($J$101&amp;"-"&amp;D98,#REF!,2,FALSE)</f>
        <v>#REF!</v>
      </c>
      <c r="K98" s="124"/>
      <c r="L98" s="127" t="e">
        <f>VLOOKUP($L$101&amp;"-"&amp;D98,#REF!,2,FALSE)</f>
        <v>#REF!</v>
      </c>
      <c r="M98" s="128"/>
      <c r="N98" s="123" t="e">
        <f>VLOOKUP($N$101&amp;"-"&amp;D98,#REF!,2,FALSE)</f>
        <v>#REF!</v>
      </c>
      <c r="O98" s="124"/>
      <c r="P98" s="21"/>
    </row>
    <row r="99" spans="3:17" ht="38.25" x14ac:dyDescent="0.3">
      <c r="C99" s="137"/>
      <c r="D99" s="40" t="s">
        <v>7</v>
      </c>
      <c r="E99" s="45">
        <v>1</v>
      </c>
      <c r="F99" s="131" t="e">
        <f>VLOOKUP($F$101&amp;"-"&amp;D99,#REF!,2,FALSE)</f>
        <v>#REF!</v>
      </c>
      <c r="G99" s="132"/>
      <c r="H99" s="131" t="e">
        <f>VLOOKUP($H$101&amp;"-"&amp;D99,#REF!,2,FALSE)</f>
        <v>#REF!</v>
      </c>
      <c r="I99" s="132"/>
      <c r="J99" s="131" t="e">
        <f>VLOOKUP($J$101&amp;"-"&amp;D99,#REF!,2,FALSE)</f>
        <v>#REF!</v>
      </c>
      <c r="K99" s="132"/>
      <c r="L99" s="121" t="e">
        <f>VLOOKUP($L$101&amp;"-"&amp;D99,#REF!,2,FALSE)</f>
        <v>#REF!</v>
      </c>
      <c r="M99" s="122"/>
      <c r="N99" s="129" t="e">
        <f>VLOOKUP($N$101&amp;"-"&amp;D99,#REF!,2,FALSE)</f>
        <v>#REF!</v>
      </c>
      <c r="O99" s="130"/>
      <c r="P99" s="21"/>
    </row>
    <row r="100" spans="3:17" ht="29.25" customHeight="1" x14ac:dyDescent="0.3">
      <c r="C100" s="21"/>
      <c r="D100" s="21"/>
      <c r="E100" s="22"/>
      <c r="F100" s="115">
        <v>1</v>
      </c>
      <c r="G100" s="116"/>
      <c r="H100" s="115">
        <v>2</v>
      </c>
      <c r="I100" s="117"/>
      <c r="J100" s="115">
        <v>3</v>
      </c>
      <c r="K100" s="117"/>
      <c r="L100" s="115">
        <v>4</v>
      </c>
      <c r="M100" s="117"/>
      <c r="N100" s="115">
        <v>5</v>
      </c>
      <c r="O100" s="117"/>
      <c r="P100" s="21"/>
    </row>
    <row r="101" spans="3:17" ht="29.25" customHeight="1" x14ac:dyDescent="0.3">
      <c r="C101" s="21"/>
      <c r="D101" s="21"/>
      <c r="E101" s="22"/>
      <c r="F101" s="118" t="s">
        <v>91</v>
      </c>
      <c r="G101" s="119"/>
      <c r="H101" s="118" t="s">
        <v>10</v>
      </c>
      <c r="I101" s="120"/>
      <c r="J101" s="118" t="s">
        <v>4</v>
      </c>
      <c r="K101" s="120"/>
      <c r="L101" s="118" t="s">
        <v>8</v>
      </c>
      <c r="M101" s="120"/>
      <c r="N101" s="118" t="s">
        <v>92</v>
      </c>
      <c r="O101" s="120"/>
      <c r="P101" s="21"/>
    </row>
    <row r="102" spans="3:17" ht="29.25" customHeight="1" x14ac:dyDescent="0.3">
      <c r="C102" s="21"/>
      <c r="D102" s="21"/>
      <c r="E102" s="22"/>
      <c r="F102" s="114" t="s">
        <v>109</v>
      </c>
      <c r="G102" s="114"/>
      <c r="H102" s="114"/>
      <c r="I102" s="114"/>
      <c r="J102" s="114"/>
      <c r="K102" s="114"/>
      <c r="L102" s="114"/>
      <c r="M102" s="114"/>
      <c r="N102" s="114"/>
      <c r="O102" s="114"/>
      <c r="P102" s="21"/>
    </row>
    <row r="103" spans="3:17" ht="16.5" x14ac:dyDescent="0.3">
      <c r="C103" s="21"/>
      <c r="D103" s="21"/>
      <c r="E103" s="21"/>
      <c r="F103" s="22"/>
      <c r="G103" s="22"/>
      <c r="H103" s="22"/>
      <c r="I103" s="22"/>
      <c r="J103" s="22"/>
      <c r="K103" s="22"/>
      <c r="L103" s="22"/>
      <c r="M103" s="21"/>
      <c r="N103" s="21"/>
      <c r="O103" s="21"/>
      <c r="P103" s="21"/>
      <c r="Q103" s="21"/>
    </row>
    <row r="104" spans="3:17" ht="16.5" x14ac:dyDescent="0.3">
      <c r="C104" s="21"/>
      <c r="D104" s="21"/>
      <c r="E104" s="21"/>
      <c r="F104" s="22"/>
      <c r="G104" s="22"/>
      <c r="H104" s="22"/>
      <c r="I104" s="22"/>
      <c r="J104" s="22"/>
      <c r="K104" s="22"/>
      <c r="L104" s="22"/>
      <c r="M104" s="21"/>
      <c r="N104" s="21"/>
      <c r="O104" s="21"/>
      <c r="P104" s="21"/>
      <c r="Q104" s="21"/>
    </row>
    <row r="105" spans="3:17" ht="16.5" x14ac:dyDescent="0.3">
      <c r="C105" s="21"/>
      <c r="D105" s="21"/>
      <c r="E105" s="21"/>
      <c r="F105" s="22"/>
      <c r="G105" s="22"/>
      <c r="H105" s="22"/>
      <c r="I105" s="22"/>
      <c r="J105" s="22"/>
      <c r="K105" s="22"/>
      <c r="L105" s="22"/>
      <c r="M105" s="21"/>
      <c r="N105" s="21"/>
      <c r="O105" s="21"/>
      <c r="P105" s="21"/>
      <c r="Q105" s="21"/>
    </row>
  </sheetData>
  <mergeCells count="38">
    <mergeCell ref="C95:C99"/>
    <mergeCell ref="F95:G95"/>
    <mergeCell ref="H95:I95"/>
    <mergeCell ref="F96:G96"/>
    <mergeCell ref="H96:I96"/>
    <mergeCell ref="F92:O93"/>
    <mergeCell ref="J96:K96"/>
    <mergeCell ref="L96:M96"/>
    <mergeCell ref="N96:O96"/>
    <mergeCell ref="J95:K95"/>
    <mergeCell ref="L95:M95"/>
    <mergeCell ref="N95:O95"/>
    <mergeCell ref="N97:O97"/>
    <mergeCell ref="F97:G97"/>
    <mergeCell ref="H97:I97"/>
    <mergeCell ref="J97:K97"/>
    <mergeCell ref="L97:M97"/>
    <mergeCell ref="L99:M99"/>
    <mergeCell ref="N98:O98"/>
    <mergeCell ref="F98:G98"/>
    <mergeCell ref="H98:I98"/>
    <mergeCell ref="J98:K98"/>
    <mergeCell ref="L98:M98"/>
    <mergeCell ref="N99:O99"/>
    <mergeCell ref="F99:G99"/>
    <mergeCell ref="H99:I99"/>
    <mergeCell ref="J99:K99"/>
    <mergeCell ref="F102:O102"/>
    <mergeCell ref="F100:G100"/>
    <mergeCell ref="H100:I100"/>
    <mergeCell ref="J100:K100"/>
    <mergeCell ref="L100:M100"/>
    <mergeCell ref="N100:O100"/>
    <mergeCell ref="F101:G101"/>
    <mergeCell ref="H101:I101"/>
    <mergeCell ref="J101:K101"/>
    <mergeCell ref="L101:M101"/>
    <mergeCell ref="N101:O101"/>
  </mergeCells>
  <pageMargins left="0.25" right="0.25" top="0.75" bottom="0.75" header="0.3" footer="0.3"/>
  <pageSetup paperSize="9" scale="3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089D1-913F-044C-9002-D7B4D2CD5C5E}">
  <dimension ref="I17:T23"/>
  <sheetViews>
    <sheetView showGridLines="0" workbookViewId="0">
      <selection activeCell="E35" sqref="E35"/>
    </sheetView>
  </sheetViews>
  <sheetFormatPr defaultColWidth="11.42578125" defaultRowHeight="15" x14ac:dyDescent="0.25"/>
  <cols>
    <col min="10" max="10" width="20" customWidth="1"/>
    <col min="11" max="20" width="9" customWidth="1"/>
  </cols>
  <sheetData>
    <row r="17" spans="9:20" ht="38.25" x14ac:dyDescent="0.25">
      <c r="I17" s="147" t="s">
        <v>110</v>
      </c>
      <c r="J17" s="49" t="s">
        <v>80</v>
      </c>
      <c r="K17" s="143">
        <v>5</v>
      </c>
      <c r="L17" s="143"/>
      <c r="M17" s="143">
        <v>10</v>
      </c>
      <c r="N17" s="143"/>
      <c r="O17" s="143">
        <v>15</v>
      </c>
      <c r="P17" s="143"/>
      <c r="Q17" s="148">
        <v>20</v>
      </c>
      <c r="R17" s="148"/>
      <c r="S17" s="148">
        <v>25</v>
      </c>
      <c r="T17" s="148"/>
    </row>
    <row r="18" spans="9:20" ht="38.25" x14ac:dyDescent="0.25">
      <c r="I18" s="147"/>
      <c r="J18" s="49" t="s">
        <v>5</v>
      </c>
      <c r="K18" s="144">
        <v>4</v>
      </c>
      <c r="L18" s="144"/>
      <c r="M18" s="143">
        <v>8</v>
      </c>
      <c r="N18" s="143"/>
      <c r="O18" s="143">
        <v>12</v>
      </c>
      <c r="P18" s="143"/>
      <c r="Q18" s="143">
        <v>16</v>
      </c>
      <c r="R18" s="143"/>
      <c r="S18" s="148">
        <v>20</v>
      </c>
      <c r="T18" s="148"/>
    </row>
    <row r="19" spans="9:20" ht="38.25" x14ac:dyDescent="0.25">
      <c r="I19" s="147"/>
      <c r="J19" s="49" t="s">
        <v>83</v>
      </c>
      <c r="K19" s="145">
        <v>3</v>
      </c>
      <c r="L19" s="145"/>
      <c r="M19" s="146">
        <v>6</v>
      </c>
      <c r="N19" s="146"/>
      <c r="O19" s="143">
        <v>9</v>
      </c>
      <c r="P19" s="143"/>
      <c r="Q19" s="143">
        <v>12</v>
      </c>
      <c r="R19" s="143"/>
      <c r="S19" s="143">
        <v>15</v>
      </c>
      <c r="T19" s="143"/>
    </row>
    <row r="20" spans="9:20" ht="38.25" x14ac:dyDescent="0.25">
      <c r="I20" s="147"/>
      <c r="J20" s="49" t="s">
        <v>6</v>
      </c>
      <c r="K20" s="145">
        <v>2</v>
      </c>
      <c r="L20" s="145"/>
      <c r="M20" s="143">
        <v>4</v>
      </c>
      <c r="N20" s="143"/>
      <c r="O20" s="143">
        <v>6</v>
      </c>
      <c r="P20" s="143"/>
      <c r="Q20" s="146">
        <v>8</v>
      </c>
      <c r="R20" s="146"/>
      <c r="S20" s="143">
        <v>10</v>
      </c>
      <c r="T20" s="143"/>
    </row>
    <row r="21" spans="9:20" ht="38.25" x14ac:dyDescent="0.25">
      <c r="I21" s="147"/>
      <c r="J21" s="50" t="s">
        <v>7</v>
      </c>
      <c r="K21" s="144">
        <v>1</v>
      </c>
      <c r="L21" s="144"/>
      <c r="M21" s="144">
        <v>2</v>
      </c>
      <c r="N21" s="144"/>
      <c r="O21" s="144">
        <v>3</v>
      </c>
      <c r="P21" s="144"/>
      <c r="Q21" s="145">
        <v>4</v>
      </c>
      <c r="R21" s="145"/>
      <c r="S21" s="143">
        <v>5</v>
      </c>
      <c r="T21" s="143"/>
    </row>
    <row r="22" spans="9:20" ht="41.1" customHeight="1" x14ac:dyDescent="0.3">
      <c r="I22" s="21"/>
      <c r="J22" s="21"/>
      <c r="K22" s="142" t="s">
        <v>91</v>
      </c>
      <c r="L22" s="142"/>
      <c r="M22" s="142" t="s">
        <v>10</v>
      </c>
      <c r="N22" s="142"/>
      <c r="O22" s="142" t="s">
        <v>4</v>
      </c>
      <c r="P22" s="142"/>
      <c r="Q22" s="142" t="s">
        <v>8</v>
      </c>
      <c r="R22" s="142"/>
      <c r="S22" s="142" t="s">
        <v>92</v>
      </c>
      <c r="T22" s="142"/>
    </row>
    <row r="23" spans="9:20" ht="33" x14ac:dyDescent="0.3">
      <c r="I23" s="21"/>
      <c r="J23" s="21"/>
      <c r="K23" s="141" t="s">
        <v>109</v>
      </c>
      <c r="L23" s="141"/>
      <c r="M23" s="141"/>
      <c r="N23" s="141"/>
      <c r="O23" s="141"/>
      <c r="P23" s="141"/>
      <c r="Q23" s="141"/>
      <c r="R23" s="141"/>
      <c r="S23" s="141"/>
      <c r="T23" s="141"/>
    </row>
  </sheetData>
  <mergeCells count="32">
    <mergeCell ref="S17:T17"/>
    <mergeCell ref="K18:L18"/>
    <mergeCell ref="M18:N18"/>
    <mergeCell ref="O18:P18"/>
    <mergeCell ref="Q18:R18"/>
    <mergeCell ref="S18:T18"/>
    <mergeCell ref="I17:I21"/>
    <mergeCell ref="K17:L17"/>
    <mergeCell ref="M17:N17"/>
    <mergeCell ref="O17:P17"/>
    <mergeCell ref="Q17:R17"/>
    <mergeCell ref="K19:L19"/>
    <mergeCell ref="M19:N19"/>
    <mergeCell ref="O19:P19"/>
    <mergeCell ref="Q19:R19"/>
    <mergeCell ref="S19:T19"/>
    <mergeCell ref="K21:L21"/>
    <mergeCell ref="M21:N21"/>
    <mergeCell ref="O21:P21"/>
    <mergeCell ref="Q21:R21"/>
    <mergeCell ref="S21:T21"/>
    <mergeCell ref="K20:L20"/>
    <mergeCell ref="M20:N20"/>
    <mergeCell ref="O20:P20"/>
    <mergeCell ref="Q20:R20"/>
    <mergeCell ref="S20:T20"/>
    <mergeCell ref="K23:T23"/>
    <mergeCell ref="K22:L22"/>
    <mergeCell ref="M22:N22"/>
    <mergeCell ref="O22:P22"/>
    <mergeCell ref="Q22:R22"/>
    <mergeCell ref="S22:T22"/>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BB197-4AB6-477C-906F-EA67B72F5A19}">
  <dimension ref="A1:AC972"/>
  <sheetViews>
    <sheetView showGridLines="0" zoomScale="114" zoomScaleNormal="85" workbookViewId="0">
      <pane ySplit="6" topLeftCell="A607" activePane="bottomLeft" state="frozen"/>
      <selection pane="bottomLeft" activeCell="B16" sqref="B16"/>
    </sheetView>
  </sheetViews>
  <sheetFormatPr defaultColWidth="9.140625" defaultRowHeight="20.25" x14ac:dyDescent="0.35"/>
  <cols>
    <col min="1" max="1" width="8.7109375" style="21" customWidth="1"/>
    <col min="2" max="2" width="25.140625" style="21" bestFit="1" customWidth="1"/>
    <col min="3" max="3" width="17.42578125" style="23" customWidth="1"/>
    <col min="4" max="4" width="17.42578125" style="21" customWidth="1"/>
    <col min="5" max="5" width="3.7109375" style="22" customWidth="1"/>
    <col min="6" max="6" width="8" style="22" customWidth="1"/>
    <col min="7" max="11" width="6.85546875" style="22" customWidth="1"/>
    <col min="12" max="20" width="6.85546875" style="21" customWidth="1"/>
    <col min="21" max="27" width="6.85546875" style="22" customWidth="1"/>
    <col min="28" max="29" width="6.85546875" style="21" customWidth="1"/>
    <col min="30" max="30" width="16.140625" style="21" customWidth="1"/>
    <col min="31" max="31" width="7.42578125" style="21" customWidth="1"/>
    <col min="32" max="32" width="11.42578125" style="21" customWidth="1"/>
    <col min="33" max="33" width="9.140625" style="21" customWidth="1"/>
    <col min="34" max="16384" width="9.140625" style="21"/>
  </cols>
  <sheetData>
    <row r="1" spans="1:29" ht="134.25" customHeight="1" x14ac:dyDescent="0.35"/>
    <row r="3" spans="1:29" ht="16.5" x14ac:dyDescent="0.3">
      <c r="C3" s="35" t="s">
        <v>151</v>
      </c>
      <c r="D3" s="36">
        <v>45292</v>
      </c>
    </row>
    <row r="4" spans="1:29" ht="16.5" x14ac:dyDescent="0.3">
      <c r="C4" s="35" t="s">
        <v>152</v>
      </c>
      <c r="D4" s="37">
        <v>1</v>
      </c>
    </row>
    <row r="6" spans="1:29" customFormat="1" ht="74.25" customHeight="1" x14ac:dyDescent="0.25">
      <c r="B6" s="67" t="s">
        <v>153</v>
      </c>
      <c r="C6" s="76" t="s">
        <v>154</v>
      </c>
      <c r="D6" s="77" t="s">
        <v>155</v>
      </c>
      <c r="F6" s="51">
        <f>D3</f>
        <v>45292</v>
      </c>
      <c r="G6" s="52">
        <f t="shared" ref="G6:AC6" si="0">EDATE(F6,$D$4)</f>
        <v>45323</v>
      </c>
      <c r="H6" s="52">
        <f t="shared" si="0"/>
        <v>45352</v>
      </c>
      <c r="I6" s="52">
        <f t="shared" si="0"/>
        <v>45383</v>
      </c>
      <c r="J6" s="52">
        <f t="shared" si="0"/>
        <v>45413</v>
      </c>
      <c r="K6" s="52">
        <f t="shared" si="0"/>
        <v>45444</v>
      </c>
      <c r="L6" s="52">
        <f t="shared" si="0"/>
        <v>45474</v>
      </c>
      <c r="M6" s="52">
        <f t="shared" si="0"/>
        <v>45505</v>
      </c>
      <c r="N6" s="52">
        <f t="shared" si="0"/>
        <v>45536</v>
      </c>
      <c r="O6" s="52">
        <f t="shared" si="0"/>
        <v>45566</v>
      </c>
      <c r="P6" s="52">
        <f t="shared" si="0"/>
        <v>45597</v>
      </c>
      <c r="Q6" s="52">
        <f t="shared" si="0"/>
        <v>45627</v>
      </c>
      <c r="R6" s="52">
        <f t="shared" si="0"/>
        <v>45658</v>
      </c>
      <c r="S6" s="52">
        <f t="shared" si="0"/>
        <v>45689</v>
      </c>
      <c r="T6" s="52">
        <f t="shared" si="0"/>
        <v>45717</v>
      </c>
      <c r="U6" s="52">
        <f t="shared" si="0"/>
        <v>45748</v>
      </c>
      <c r="V6" s="52">
        <f t="shared" si="0"/>
        <v>45778</v>
      </c>
      <c r="W6" s="52">
        <f t="shared" si="0"/>
        <v>45809</v>
      </c>
      <c r="X6" s="52">
        <f t="shared" si="0"/>
        <v>45839</v>
      </c>
      <c r="Y6" s="52">
        <f t="shared" si="0"/>
        <v>45870</v>
      </c>
      <c r="Z6" s="52">
        <f t="shared" si="0"/>
        <v>45901</v>
      </c>
      <c r="AA6" s="52">
        <f t="shared" si="0"/>
        <v>45931</v>
      </c>
      <c r="AB6" s="52">
        <f t="shared" si="0"/>
        <v>45962</v>
      </c>
      <c r="AC6" s="53">
        <f t="shared" si="0"/>
        <v>45992</v>
      </c>
    </row>
    <row r="7" spans="1:29" customFormat="1" ht="15" x14ac:dyDescent="0.25">
      <c r="B7" s="68" t="s">
        <v>160</v>
      </c>
      <c r="C7" s="72">
        <v>45391</v>
      </c>
      <c r="D7" s="73">
        <v>45619</v>
      </c>
      <c r="F7" s="54" t="str">
        <f t="shared" ref="F7:O22" si="1">IF(AND(F$6&gt;=$C7, F$6&lt;=$D7),"1","")</f>
        <v/>
      </c>
      <c r="G7" s="48" t="str">
        <f t="shared" si="1"/>
        <v/>
      </c>
      <c r="H7" s="48" t="str">
        <f t="shared" si="1"/>
        <v/>
      </c>
      <c r="I7" s="48" t="str">
        <f t="shared" si="1"/>
        <v/>
      </c>
      <c r="J7" s="48" t="str">
        <f t="shared" si="1"/>
        <v>1</v>
      </c>
      <c r="K7" s="48" t="str">
        <f t="shared" si="1"/>
        <v>1</v>
      </c>
      <c r="L7" s="48" t="str">
        <f t="shared" si="1"/>
        <v>1</v>
      </c>
      <c r="M7" s="48" t="str">
        <f t="shared" si="1"/>
        <v>1</v>
      </c>
      <c r="N7" s="48" t="str">
        <f t="shared" si="1"/>
        <v>1</v>
      </c>
      <c r="O7" s="48" t="str">
        <f t="shared" si="1"/>
        <v>1</v>
      </c>
      <c r="P7" s="48" t="str">
        <f t="shared" ref="P7:AC22" si="2">IF(AND(P$6&gt;=$C7, P$6&lt;=$D7),"1","")</f>
        <v>1</v>
      </c>
      <c r="Q7" s="48" t="str">
        <f t="shared" si="2"/>
        <v/>
      </c>
      <c r="R7" s="48" t="str">
        <f t="shared" si="2"/>
        <v/>
      </c>
      <c r="S7" s="48" t="str">
        <f t="shared" si="2"/>
        <v/>
      </c>
      <c r="T7" s="48" t="str">
        <f t="shared" si="2"/>
        <v/>
      </c>
      <c r="U7" s="48" t="str">
        <f t="shared" si="2"/>
        <v/>
      </c>
      <c r="V7" s="48" t="str">
        <f t="shared" si="2"/>
        <v/>
      </c>
      <c r="W7" s="48" t="str">
        <f t="shared" si="2"/>
        <v/>
      </c>
      <c r="X7" s="48" t="str">
        <f t="shared" si="2"/>
        <v/>
      </c>
      <c r="Y7" s="48" t="str">
        <f t="shared" si="2"/>
        <v/>
      </c>
      <c r="Z7" s="48" t="str">
        <f t="shared" si="2"/>
        <v/>
      </c>
      <c r="AA7" s="48" t="str">
        <f t="shared" si="2"/>
        <v/>
      </c>
      <c r="AB7" s="48" t="str">
        <f t="shared" si="2"/>
        <v/>
      </c>
      <c r="AC7" s="55" t="str">
        <f t="shared" si="2"/>
        <v/>
      </c>
    </row>
    <row r="8" spans="1:29" customFormat="1" ht="15" x14ac:dyDescent="0.25">
      <c r="B8" s="69" t="s">
        <v>161</v>
      </c>
      <c r="C8" s="74">
        <v>45325</v>
      </c>
      <c r="D8" s="59">
        <v>45577</v>
      </c>
      <c r="F8" s="54" t="str">
        <f t="shared" si="1"/>
        <v/>
      </c>
      <c r="G8" s="48" t="str">
        <f t="shared" si="1"/>
        <v/>
      </c>
      <c r="H8" s="48" t="str">
        <f t="shared" si="1"/>
        <v>1</v>
      </c>
      <c r="I8" s="48" t="str">
        <f t="shared" si="1"/>
        <v>1</v>
      </c>
      <c r="J8" s="48" t="str">
        <f t="shared" si="1"/>
        <v>1</v>
      </c>
      <c r="K8" s="48" t="str">
        <f t="shared" si="1"/>
        <v>1</v>
      </c>
      <c r="L8" s="48" t="str">
        <f t="shared" si="1"/>
        <v>1</v>
      </c>
      <c r="M8" s="48" t="str">
        <f t="shared" si="1"/>
        <v>1</v>
      </c>
      <c r="N8" s="48" t="str">
        <f t="shared" si="1"/>
        <v>1</v>
      </c>
      <c r="O8" s="48" t="str">
        <f t="shared" si="1"/>
        <v>1</v>
      </c>
      <c r="P8" s="48" t="str">
        <f t="shared" si="2"/>
        <v/>
      </c>
      <c r="Q8" s="48" t="str">
        <f t="shared" si="2"/>
        <v/>
      </c>
      <c r="R8" s="48" t="str">
        <f t="shared" si="2"/>
        <v/>
      </c>
      <c r="S8" s="48" t="str">
        <f t="shared" si="2"/>
        <v/>
      </c>
      <c r="T8" s="48" t="str">
        <f t="shared" si="2"/>
        <v/>
      </c>
      <c r="U8" s="48" t="str">
        <f t="shared" si="2"/>
        <v/>
      </c>
      <c r="V8" s="48" t="str">
        <f t="shared" si="2"/>
        <v/>
      </c>
      <c r="W8" s="48" t="str">
        <f t="shared" si="2"/>
        <v/>
      </c>
      <c r="X8" s="48" t="str">
        <f t="shared" si="2"/>
        <v/>
      </c>
      <c r="Y8" s="48" t="str">
        <f t="shared" si="2"/>
        <v/>
      </c>
      <c r="Z8" s="48" t="str">
        <f t="shared" si="2"/>
        <v/>
      </c>
      <c r="AA8" s="48" t="str">
        <f t="shared" si="2"/>
        <v/>
      </c>
      <c r="AB8" s="48" t="str">
        <f t="shared" si="2"/>
        <v/>
      </c>
      <c r="AC8" s="55" t="str">
        <f t="shared" si="2"/>
        <v/>
      </c>
    </row>
    <row r="9" spans="1:29" customFormat="1" ht="15" x14ac:dyDescent="0.25">
      <c r="B9" s="69" t="s">
        <v>162</v>
      </c>
      <c r="C9" s="74">
        <v>45326</v>
      </c>
      <c r="D9" s="59">
        <v>45598</v>
      </c>
      <c r="F9" s="54" t="str">
        <f t="shared" si="1"/>
        <v/>
      </c>
      <c r="G9" s="48" t="str">
        <f t="shared" si="1"/>
        <v/>
      </c>
      <c r="H9" s="48" t="str">
        <f t="shared" si="1"/>
        <v>1</v>
      </c>
      <c r="I9" s="48" t="str">
        <f t="shared" si="1"/>
        <v>1</v>
      </c>
      <c r="J9" s="48" t="str">
        <f t="shared" si="1"/>
        <v>1</v>
      </c>
      <c r="K9" s="48" t="str">
        <f t="shared" si="1"/>
        <v>1</v>
      </c>
      <c r="L9" s="48" t="str">
        <f t="shared" si="1"/>
        <v>1</v>
      </c>
      <c r="M9" s="48" t="str">
        <f t="shared" si="1"/>
        <v>1</v>
      </c>
      <c r="N9" s="48" t="str">
        <f t="shared" si="1"/>
        <v>1</v>
      </c>
      <c r="O9" s="48" t="str">
        <f t="shared" si="1"/>
        <v>1</v>
      </c>
      <c r="P9" s="48" t="str">
        <f t="shared" si="2"/>
        <v>1</v>
      </c>
      <c r="Q9" s="48" t="str">
        <f t="shared" si="2"/>
        <v/>
      </c>
      <c r="R9" s="48" t="str">
        <f t="shared" si="2"/>
        <v/>
      </c>
      <c r="S9" s="48" t="str">
        <f t="shared" si="2"/>
        <v/>
      </c>
      <c r="T9" s="48" t="str">
        <f t="shared" si="2"/>
        <v/>
      </c>
      <c r="U9" s="48" t="str">
        <f t="shared" si="2"/>
        <v/>
      </c>
      <c r="V9" s="48" t="str">
        <f t="shared" si="2"/>
        <v/>
      </c>
      <c r="W9" s="48" t="str">
        <f t="shared" si="2"/>
        <v/>
      </c>
      <c r="X9" s="48" t="str">
        <f t="shared" si="2"/>
        <v/>
      </c>
      <c r="Y9" s="48" t="str">
        <f t="shared" si="2"/>
        <v/>
      </c>
      <c r="Z9" s="48" t="str">
        <f t="shared" si="2"/>
        <v/>
      </c>
      <c r="AA9" s="48" t="str">
        <f t="shared" si="2"/>
        <v/>
      </c>
      <c r="AB9" s="48" t="str">
        <f t="shared" si="2"/>
        <v/>
      </c>
      <c r="AC9" s="55" t="str">
        <f t="shared" si="2"/>
        <v/>
      </c>
    </row>
    <row r="10" spans="1:29" customFormat="1" ht="15" x14ac:dyDescent="0.25">
      <c r="B10" s="70" t="s">
        <v>163</v>
      </c>
      <c r="C10" s="75">
        <v>45339</v>
      </c>
      <c r="D10" s="71">
        <v>45515</v>
      </c>
      <c r="F10" s="54" t="str">
        <f t="shared" si="1"/>
        <v/>
      </c>
      <c r="G10" s="48" t="str">
        <f t="shared" si="1"/>
        <v/>
      </c>
      <c r="H10" s="48" t="str">
        <f t="shared" si="1"/>
        <v>1</v>
      </c>
      <c r="I10" s="48" t="str">
        <f t="shared" si="1"/>
        <v>1</v>
      </c>
      <c r="J10" s="48" t="str">
        <f t="shared" si="1"/>
        <v>1</v>
      </c>
      <c r="K10" s="48" t="str">
        <f t="shared" si="1"/>
        <v>1</v>
      </c>
      <c r="L10" s="48" t="str">
        <f t="shared" si="1"/>
        <v>1</v>
      </c>
      <c r="M10" s="48" t="str">
        <f t="shared" si="1"/>
        <v>1</v>
      </c>
      <c r="N10" s="48" t="str">
        <f t="shared" si="1"/>
        <v/>
      </c>
      <c r="O10" s="48" t="str">
        <f t="shared" si="1"/>
        <v/>
      </c>
      <c r="P10" s="48" t="str">
        <f t="shared" si="2"/>
        <v/>
      </c>
      <c r="Q10" s="48" t="str">
        <f t="shared" si="2"/>
        <v/>
      </c>
      <c r="R10" s="48" t="str">
        <f t="shared" si="2"/>
        <v/>
      </c>
      <c r="S10" s="48" t="str">
        <f t="shared" si="2"/>
        <v/>
      </c>
      <c r="T10" s="48" t="str">
        <f t="shared" si="2"/>
        <v/>
      </c>
      <c r="U10" s="48" t="str">
        <f t="shared" si="2"/>
        <v/>
      </c>
      <c r="V10" s="48" t="str">
        <f t="shared" si="2"/>
        <v/>
      </c>
      <c r="W10" s="48" t="str">
        <f t="shared" si="2"/>
        <v/>
      </c>
      <c r="X10" s="48" t="str">
        <f t="shared" si="2"/>
        <v/>
      </c>
      <c r="Y10" s="48" t="str">
        <f t="shared" si="2"/>
        <v/>
      </c>
      <c r="Z10" s="48" t="str">
        <f t="shared" si="2"/>
        <v/>
      </c>
      <c r="AA10" s="48" t="str">
        <f t="shared" si="2"/>
        <v/>
      </c>
      <c r="AB10" s="48" t="str">
        <f t="shared" si="2"/>
        <v/>
      </c>
      <c r="AC10" s="55" t="str">
        <f t="shared" si="2"/>
        <v/>
      </c>
    </row>
    <row r="11" spans="1:29" ht="16.5" x14ac:dyDescent="0.3">
      <c r="A11"/>
      <c r="B11" s="60"/>
      <c r="C11"/>
      <c r="D11" s="61"/>
      <c r="F11" s="54" t="str">
        <f t="shared" si="1"/>
        <v/>
      </c>
      <c r="G11" s="48" t="str">
        <f t="shared" si="1"/>
        <v/>
      </c>
      <c r="H11" s="48" t="str">
        <f t="shared" si="1"/>
        <v/>
      </c>
      <c r="I11" s="48" t="str">
        <f t="shared" si="1"/>
        <v/>
      </c>
      <c r="J11" s="48" t="str">
        <f t="shared" si="1"/>
        <v/>
      </c>
      <c r="K11" s="48" t="str">
        <f t="shared" si="1"/>
        <v/>
      </c>
      <c r="L11" s="48" t="str">
        <f t="shared" si="1"/>
        <v/>
      </c>
      <c r="M11" s="48" t="str">
        <f t="shared" si="1"/>
        <v/>
      </c>
      <c r="N11" s="48" t="str">
        <f t="shared" si="1"/>
        <v/>
      </c>
      <c r="O11" s="48" t="str">
        <f t="shared" si="1"/>
        <v/>
      </c>
      <c r="P11" s="48" t="str">
        <f t="shared" si="2"/>
        <v/>
      </c>
      <c r="Q11" s="48" t="str">
        <f t="shared" si="2"/>
        <v/>
      </c>
      <c r="R11" s="48" t="str">
        <f t="shared" si="2"/>
        <v/>
      </c>
      <c r="S11" s="48" t="str">
        <f t="shared" si="2"/>
        <v/>
      </c>
      <c r="T11" s="48" t="str">
        <f t="shared" si="2"/>
        <v/>
      </c>
      <c r="U11" s="48" t="str">
        <f t="shared" si="2"/>
        <v/>
      </c>
      <c r="V11" s="48" t="str">
        <f t="shared" si="2"/>
        <v/>
      </c>
      <c r="W11" s="48" t="str">
        <f t="shared" si="2"/>
        <v/>
      </c>
      <c r="X11" s="48" t="str">
        <f t="shared" si="2"/>
        <v/>
      </c>
      <c r="Y11" s="48" t="str">
        <f t="shared" si="2"/>
        <v/>
      </c>
      <c r="Z11" s="48" t="str">
        <f t="shared" si="2"/>
        <v/>
      </c>
      <c r="AA11" s="48" t="str">
        <f t="shared" si="2"/>
        <v/>
      </c>
      <c r="AB11" s="48" t="str">
        <f t="shared" si="2"/>
        <v/>
      </c>
      <c r="AC11" s="55" t="str">
        <f t="shared" si="2"/>
        <v/>
      </c>
    </row>
    <row r="12" spans="1:29" x14ac:dyDescent="0.35">
      <c r="A12"/>
      <c r="B12" s="62"/>
      <c r="D12" s="63"/>
      <c r="F12" s="54" t="str">
        <f t="shared" si="1"/>
        <v/>
      </c>
      <c r="G12" s="48" t="str">
        <f t="shared" si="1"/>
        <v/>
      </c>
      <c r="H12" s="48" t="str">
        <f t="shared" si="1"/>
        <v/>
      </c>
      <c r="I12" s="48" t="str">
        <f t="shared" si="1"/>
        <v/>
      </c>
      <c r="J12" s="48" t="str">
        <f t="shared" si="1"/>
        <v/>
      </c>
      <c r="K12" s="48" t="str">
        <f t="shared" si="1"/>
        <v/>
      </c>
      <c r="L12" s="48" t="str">
        <f t="shared" si="1"/>
        <v/>
      </c>
      <c r="M12" s="48" t="str">
        <f t="shared" si="1"/>
        <v/>
      </c>
      <c r="N12" s="48" t="str">
        <f t="shared" si="1"/>
        <v/>
      </c>
      <c r="O12" s="48" t="str">
        <f t="shared" si="1"/>
        <v/>
      </c>
      <c r="P12" s="48" t="str">
        <f t="shared" si="2"/>
        <v/>
      </c>
      <c r="Q12" s="48" t="str">
        <f t="shared" si="2"/>
        <v/>
      </c>
      <c r="R12" s="48" t="str">
        <f t="shared" si="2"/>
        <v/>
      </c>
      <c r="S12" s="48" t="str">
        <f t="shared" si="2"/>
        <v/>
      </c>
      <c r="T12" s="48" t="str">
        <f t="shared" si="2"/>
        <v/>
      </c>
      <c r="U12" s="48" t="str">
        <f t="shared" si="2"/>
        <v/>
      </c>
      <c r="V12" s="48" t="str">
        <f t="shared" si="2"/>
        <v/>
      </c>
      <c r="W12" s="48" t="str">
        <f t="shared" si="2"/>
        <v/>
      </c>
      <c r="X12" s="48" t="str">
        <f t="shared" si="2"/>
        <v/>
      </c>
      <c r="Y12" s="48" t="str">
        <f t="shared" si="2"/>
        <v/>
      </c>
      <c r="Z12" s="48" t="str">
        <f t="shared" si="2"/>
        <v/>
      </c>
      <c r="AA12" s="48" t="str">
        <f t="shared" si="2"/>
        <v/>
      </c>
      <c r="AB12" s="48" t="str">
        <f t="shared" si="2"/>
        <v/>
      </c>
      <c r="AC12" s="55" t="str">
        <f t="shared" si="2"/>
        <v/>
      </c>
    </row>
    <row r="13" spans="1:29" x14ac:dyDescent="0.35">
      <c r="A13"/>
      <c r="B13" s="62"/>
      <c r="D13" s="63"/>
      <c r="F13" s="54" t="str">
        <f t="shared" si="1"/>
        <v/>
      </c>
      <c r="G13" s="48" t="str">
        <f t="shared" si="1"/>
        <v/>
      </c>
      <c r="H13" s="48" t="str">
        <f t="shared" si="1"/>
        <v/>
      </c>
      <c r="I13" s="48" t="str">
        <f t="shared" si="1"/>
        <v/>
      </c>
      <c r="J13" s="48" t="str">
        <f t="shared" si="1"/>
        <v/>
      </c>
      <c r="K13" s="48" t="str">
        <f t="shared" si="1"/>
        <v/>
      </c>
      <c r="L13" s="48" t="str">
        <f t="shared" si="1"/>
        <v/>
      </c>
      <c r="M13" s="48" t="str">
        <f t="shared" si="1"/>
        <v/>
      </c>
      <c r="N13" s="48" t="str">
        <f t="shared" si="1"/>
        <v/>
      </c>
      <c r="O13" s="48" t="str">
        <f t="shared" si="1"/>
        <v/>
      </c>
      <c r="P13" s="48" t="str">
        <f t="shared" si="2"/>
        <v/>
      </c>
      <c r="Q13" s="48" t="str">
        <f t="shared" si="2"/>
        <v/>
      </c>
      <c r="R13" s="48" t="str">
        <f t="shared" si="2"/>
        <v/>
      </c>
      <c r="S13" s="48" t="str">
        <f t="shared" si="2"/>
        <v/>
      </c>
      <c r="T13" s="48" t="str">
        <f t="shared" si="2"/>
        <v/>
      </c>
      <c r="U13" s="48" t="str">
        <f t="shared" si="2"/>
        <v/>
      </c>
      <c r="V13" s="48" t="str">
        <f t="shared" si="2"/>
        <v/>
      </c>
      <c r="W13" s="48" t="str">
        <f t="shared" si="2"/>
        <v/>
      </c>
      <c r="X13" s="48" t="str">
        <f t="shared" si="2"/>
        <v/>
      </c>
      <c r="Y13" s="48" t="str">
        <f t="shared" si="2"/>
        <v/>
      </c>
      <c r="Z13" s="48" t="str">
        <f t="shared" si="2"/>
        <v/>
      </c>
      <c r="AA13" s="48" t="str">
        <f t="shared" si="2"/>
        <v/>
      </c>
      <c r="AB13" s="48" t="str">
        <f t="shared" si="2"/>
        <v/>
      </c>
      <c r="AC13" s="55" t="str">
        <f t="shared" si="2"/>
        <v/>
      </c>
    </row>
    <row r="14" spans="1:29" x14ac:dyDescent="0.35">
      <c r="A14"/>
      <c r="B14" s="62"/>
      <c r="D14" s="63"/>
      <c r="F14" s="54" t="str">
        <f t="shared" si="1"/>
        <v/>
      </c>
      <c r="G14" s="48" t="str">
        <f t="shared" si="1"/>
        <v/>
      </c>
      <c r="H14" s="48" t="str">
        <f t="shared" si="1"/>
        <v/>
      </c>
      <c r="I14" s="48" t="str">
        <f t="shared" si="1"/>
        <v/>
      </c>
      <c r="J14" s="48" t="str">
        <f t="shared" si="1"/>
        <v/>
      </c>
      <c r="K14" s="48" t="str">
        <f t="shared" si="1"/>
        <v/>
      </c>
      <c r="L14" s="48" t="str">
        <f t="shared" si="1"/>
        <v/>
      </c>
      <c r="M14" s="48" t="str">
        <f t="shared" si="1"/>
        <v/>
      </c>
      <c r="N14" s="48" t="str">
        <f t="shared" si="1"/>
        <v/>
      </c>
      <c r="O14" s="48" t="str">
        <f t="shared" si="1"/>
        <v/>
      </c>
      <c r="P14" s="48" t="str">
        <f t="shared" si="2"/>
        <v/>
      </c>
      <c r="Q14" s="48" t="str">
        <f t="shared" si="2"/>
        <v/>
      </c>
      <c r="R14" s="48" t="str">
        <f t="shared" si="2"/>
        <v/>
      </c>
      <c r="S14" s="48" t="str">
        <f t="shared" si="2"/>
        <v/>
      </c>
      <c r="T14" s="48" t="str">
        <f t="shared" si="2"/>
        <v/>
      </c>
      <c r="U14" s="48" t="str">
        <f t="shared" si="2"/>
        <v/>
      </c>
      <c r="V14" s="48" t="str">
        <f t="shared" si="2"/>
        <v/>
      </c>
      <c r="W14" s="48" t="str">
        <f t="shared" si="2"/>
        <v/>
      </c>
      <c r="X14" s="48" t="str">
        <f t="shared" si="2"/>
        <v/>
      </c>
      <c r="Y14" s="48" t="str">
        <f t="shared" si="2"/>
        <v/>
      </c>
      <c r="Z14" s="48" t="str">
        <f t="shared" si="2"/>
        <v/>
      </c>
      <c r="AA14" s="48" t="str">
        <f t="shared" si="2"/>
        <v/>
      </c>
      <c r="AB14" s="48" t="str">
        <f t="shared" si="2"/>
        <v/>
      </c>
      <c r="AC14" s="55" t="str">
        <f t="shared" si="2"/>
        <v/>
      </c>
    </row>
    <row r="15" spans="1:29" x14ac:dyDescent="0.35">
      <c r="A15"/>
      <c r="B15" s="62"/>
      <c r="D15" s="63"/>
      <c r="F15" s="54" t="str">
        <f t="shared" si="1"/>
        <v/>
      </c>
      <c r="G15" s="48" t="str">
        <f t="shared" si="1"/>
        <v/>
      </c>
      <c r="H15" s="48" t="str">
        <f t="shared" si="1"/>
        <v/>
      </c>
      <c r="I15" s="48" t="str">
        <f t="shared" si="1"/>
        <v/>
      </c>
      <c r="J15" s="48" t="str">
        <f t="shared" si="1"/>
        <v/>
      </c>
      <c r="K15" s="48" t="str">
        <f t="shared" si="1"/>
        <v/>
      </c>
      <c r="L15" s="48" t="str">
        <f t="shared" si="1"/>
        <v/>
      </c>
      <c r="M15" s="48" t="str">
        <f t="shared" si="1"/>
        <v/>
      </c>
      <c r="N15" s="48" t="str">
        <f t="shared" si="1"/>
        <v/>
      </c>
      <c r="O15" s="48" t="str">
        <f t="shared" si="1"/>
        <v/>
      </c>
      <c r="P15" s="48" t="str">
        <f t="shared" si="2"/>
        <v/>
      </c>
      <c r="Q15" s="48" t="str">
        <f t="shared" si="2"/>
        <v/>
      </c>
      <c r="R15" s="48" t="str">
        <f t="shared" si="2"/>
        <v/>
      </c>
      <c r="S15" s="48" t="str">
        <f t="shared" si="2"/>
        <v/>
      </c>
      <c r="T15" s="48" t="str">
        <f t="shared" si="2"/>
        <v/>
      </c>
      <c r="U15" s="48" t="str">
        <f t="shared" si="2"/>
        <v/>
      </c>
      <c r="V15" s="48" t="str">
        <f t="shared" si="2"/>
        <v/>
      </c>
      <c r="W15" s="48" t="str">
        <f t="shared" si="2"/>
        <v/>
      </c>
      <c r="X15" s="48" t="str">
        <f t="shared" si="2"/>
        <v/>
      </c>
      <c r="Y15" s="48" t="str">
        <f t="shared" si="2"/>
        <v/>
      </c>
      <c r="Z15" s="48" t="str">
        <f t="shared" si="2"/>
        <v/>
      </c>
      <c r="AA15" s="48" t="str">
        <f t="shared" si="2"/>
        <v/>
      </c>
      <c r="AB15" s="48" t="str">
        <f t="shared" si="2"/>
        <v/>
      </c>
      <c r="AC15" s="55" t="str">
        <f t="shared" si="2"/>
        <v/>
      </c>
    </row>
    <row r="16" spans="1:29" x14ac:dyDescent="0.35">
      <c r="A16"/>
      <c r="B16" s="62"/>
      <c r="D16" s="63"/>
      <c r="F16" s="54" t="str">
        <f t="shared" si="1"/>
        <v/>
      </c>
      <c r="G16" s="48" t="str">
        <f t="shared" si="1"/>
        <v/>
      </c>
      <c r="H16" s="48" t="str">
        <f t="shared" si="1"/>
        <v/>
      </c>
      <c r="I16" s="48" t="str">
        <f t="shared" si="1"/>
        <v/>
      </c>
      <c r="J16" s="48" t="str">
        <f t="shared" si="1"/>
        <v/>
      </c>
      <c r="K16" s="48" t="str">
        <f t="shared" si="1"/>
        <v/>
      </c>
      <c r="L16" s="48" t="str">
        <f t="shared" si="1"/>
        <v/>
      </c>
      <c r="M16" s="48" t="str">
        <f t="shared" si="1"/>
        <v/>
      </c>
      <c r="N16" s="48" t="str">
        <f t="shared" si="1"/>
        <v/>
      </c>
      <c r="O16" s="48" t="str">
        <f t="shared" si="1"/>
        <v/>
      </c>
      <c r="P16" s="48" t="str">
        <f t="shared" si="2"/>
        <v/>
      </c>
      <c r="Q16" s="48" t="str">
        <f t="shared" si="2"/>
        <v/>
      </c>
      <c r="R16" s="48" t="str">
        <f t="shared" si="2"/>
        <v/>
      </c>
      <c r="S16" s="48" t="str">
        <f t="shared" si="2"/>
        <v/>
      </c>
      <c r="T16" s="48" t="str">
        <f t="shared" si="2"/>
        <v/>
      </c>
      <c r="U16" s="48" t="str">
        <f t="shared" si="2"/>
        <v/>
      </c>
      <c r="V16" s="48" t="str">
        <f t="shared" si="2"/>
        <v/>
      </c>
      <c r="W16" s="48" t="str">
        <f t="shared" si="2"/>
        <v/>
      </c>
      <c r="X16" s="48" t="str">
        <f t="shared" si="2"/>
        <v/>
      </c>
      <c r="Y16" s="48" t="str">
        <f t="shared" si="2"/>
        <v/>
      </c>
      <c r="Z16" s="48" t="str">
        <f t="shared" si="2"/>
        <v/>
      </c>
      <c r="AA16" s="48" t="str">
        <f t="shared" si="2"/>
        <v/>
      </c>
      <c r="AB16" s="48" t="str">
        <f t="shared" si="2"/>
        <v/>
      </c>
      <c r="AC16" s="55" t="str">
        <f t="shared" si="2"/>
        <v/>
      </c>
    </row>
    <row r="17" spans="1:29" x14ac:dyDescent="0.35">
      <c r="A17"/>
      <c r="B17" s="62"/>
      <c r="D17" s="63"/>
      <c r="F17" s="54" t="str">
        <f t="shared" si="1"/>
        <v/>
      </c>
      <c r="G17" s="48" t="str">
        <f t="shared" si="1"/>
        <v/>
      </c>
      <c r="H17" s="48" t="str">
        <f t="shared" si="1"/>
        <v/>
      </c>
      <c r="I17" s="48" t="str">
        <f t="shared" si="1"/>
        <v/>
      </c>
      <c r="J17" s="48" t="str">
        <f t="shared" si="1"/>
        <v/>
      </c>
      <c r="K17" s="48" t="str">
        <f t="shared" si="1"/>
        <v/>
      </c>
      <c r="L17" s="48" t="str">
        <f t="shared" si="1"/>
        <v/>
      </c>
      <c r="M17" s="48" t="str">
        <f t="shared" si="1"/>
        <v/>
      </c>
      <c r="N17" s="48" t="str">
        <f t="shared" si="1"/>
        <v/>
      </c>
      <c r="O17" s="48" t="str">
        <f t="shared" si="1"/>
        <v/>
      </c>
      <c r="P17" s="48" t="str">
        <f t="shared" si="2"/>
        <v/>
      </c>
      <c r="Q17" s="48" t="str">
        <f t="shared" si="2"/>
        <v/>
      </c>
      <c r="R17" s="48" t="str">
        <f t="shared" si="2"/>
        <v/>
      </c>
      <c r="S17" s="48" t="str">
        <f t="shared" si="2"/>
        <v/>
      </c>
      <c r="T17" s="48" t="str">
        <f t="shared" si="2"/>
        <v/>
      </c>
      <c r="U17" s="48" t="str">
        <f t="shared" si="2"/>
        <v/>
      </c>
      <c r="V17" s="48" t="str">
        <f t="shared" si="2"/>
        <v/>
      </c>
      <c r="W17" s="48" t="str">
        <f t="shared" si="2"/>
        <v/>
      </c>
      <c r="X17" s="48" t="str">
        <f t="shared" si="2"/>
        <v/>
      </c>
      <c r="Y17" s="48" t="str">
        <f t="shared" si="2"/>
        <v/>
      </c>
      <c r="Z17" s="48" t="str">
        <f t="shared" si="2"/>
        <v/>
      </c>
      <c r="AA17" s="48" t="str">
        <f t="shared" si="2"/>
        <v/>
      </c>
      <c r="AB17" s="48" t="str">
        <f t="shared" si="2"/>
        <v/>
      </c>
      <c r="AC17" s="55" t="str">
        <f t="shared" si="2"/>
        <v/>
      </c>
    </row>
    <row r="18" spans="1:29" x14ac:dyDescent="0.35">
      <c r="A18"/>
      <c r="B18" s="62"/>
      <c r="D18" s="63"/>
      <c r="F18" s="54" t="str">
        <f t="shared" si="1"/>
        <v/>
      </c>
      <c r="G18" s="48" t="str">
        <f t="shared" si="1"/>
        <v/>
      </c>
      <c r="H18" s="48" t="str">
        <f t="shared" si="1"/>
        <v/>
      </c>
      <c r="I18" s="48" t="str">
        <f t="shared" si="1"/>
        <v/>
      </c>
      <c r="J18" s="48" t="str">
        <f t="shared" si="1"/>
        <v/>
      </c>
      <c r="K18" s="48" t="str">
        <f t="shared" si="1"/>
        <v/>
      </c>
      <c r="L18" s="48" t="str">
        <f t="shared" si="1"/>
        <v/>
      </c>
      <c r="M18" s="48" t="str">
        <f t="shared" si="1"/>
        <v/>
      </c>
      <c r="N18" s="48" t="str">
        <f t="shared" si="1"/>
        <v/>
      </c>
      <c r="O18" s="48" t="str">
        <f t="shared" si="1"/>
        <v/>
      </c>
      <c r="P18" s="48" t="str">
        <f t="shared" si="2"/>
        <v/>
      </c>
      <c r="Q18" s="48" t="str">
        <f t="shared" si="2"/>
        <v/>
      </c>
      <c r="R18" s="48" t="str">
        <f t="shared" si="2"/>
        <v/>
      </c>
      <c r="S18" s="48" t="str">
        <f t="shared" si="2"/>
        <v/>
      </c>
      <c r="T18" s="48" t="str">
        <f t="shared" si="2"/>
        <v/>
      </c>
      <c r="U18" s="48" t="str">
        <f t="shared" si="2"/>
        <v/>
      </c>
      <c r="V18" s="48" t="str">
        <f t="shared" si="2"/>
        <v/>
      </c>
      <c r="W18" s="48" t="str">
        <f t="shared" si="2"/>
        <v/>
      </c>
      <c r="X18" s="48" t="str">
        <f t="shared" si="2"/>
        <v/>
      </c>
      <c r="Y18" s="48" t="str">
        <f t="shared" si="2"/>
        <v/>
      </c>
      <c r="Z18" s="48" t="str">
        <f t="shared" si="2"/>
        <v/>
      </c>
      <c r="AA18" s="48" t="str">
        <f t="shared" si="2"/>
        <v/>
      </c>
      <c r="AB18" s="48" t="str">
        <f t="shared" si="2"/>
        <v/>
      </c>
      <c r="AC18" s="55" t="str">
        <f t="shared" si="2"/>
        <v/>
      </c>
    </row>
    <row r="19" spans="1:29" x14ac:dyDescent="0.35">
      <c r="A19"/>
      <c r="B19" s="62"/>
      <c r="D19" s="63"/>
      <c r="F19" s="54" t="str">
        <f t="shared" si="1"/>
        <v/>
      </c>
      <c r="G19" s="48" t="str">
        <f t="shared" si="1"/>
        <v/>
      </c>
      <c r="H19" s="48" t="str">
        <f t="shared" si="1"/>
        <v/>
      </c>
      <c r="I19" s="48" t="str">
        <f t="shared" si="1"/>
        <v/>
      </c>
      <c r="J19" s="48" t="str">
        <f t="shared" si="1"/>
        <v/>
      </c>
      <c r="K19" s="48" t="str">
        <f t="shared" si="1"/>
        <v/>
      </c>
      <c r="L19" s="48" t="str">
        <f t="shared" si="1"/>
        <v/>
      </c>
      <c r="M19" s="48" t="str">
        <f t="shared" si="1"/>
        <v/>
      </c>
      <c r="N19" s="48" t="str">
        <f t="shared" si="1"/>
        <v/>
      </c>
      <c r="O19" s="48" t="str">
        <f t="shared" si="1"/>
        <v/>
      </c>
      <c r="P19" s="48" t="str">
        <f t="shared" si="2"/>
        <v/>
      </c>
      <c r="Q19" s="48" t="str">
        <f t="shared" si="2"/>
        <v/>
      </c>
      <c r="R19" s="48" t="str">
        <f t="shared" si="2"/>
        <v/>
      </c>
      <c r="S19" s="48" t="str">
        <f t="shared" si="2"/>
        <v/>
      </c>
      <c r="T19" s="48" t="str">
        <f t="shared" si="2"/>
        <v/>
      </c>
      <c r="U19" s="48" t="str">
        <f t="shared" si="2"/>
        <v/>
      </c>
      <c r="V19" s="48" t="str">
        <f t="shared" si="2"/>
        <v/>
      </c>
      <c r="W19" s="48" t="str">
        <f t="shared" si="2"/>
        <v/>
      </c>
      <c r="X19" s="48" t="str">
        <f t="shared" si="2"/>
        <v/>
      </c>
      <c r="Y19" s="48" t="str">
        <f t="shared" si="2"/>
        <v/>
      </c>
      <c r="Z19" s="48" t="str">
        <f t="shared" si="2"/>
        <v/>
      </c>
      <c r="AA19" s="48" t="str">
        <f t="shared" si="2"/>
        <v/>
      </c>
      <c r="AB19" s="48" t="str">
        <f t="shared" si="2"/>
        <v/>
      </c>
      <c r="AC19" s="55" t="str">
        <f t="shared" si="2"/>
        <v/>
      </c>
    </row>
    <row r="20" spans="1:29" x14ac:dyDescent="0.35">
      <c r="A20"/>
      <c r="B20" s="62"/>
      <c r="D20" s="63"/>
      <c r="F20" s="54" t="str">
        <f t="shared" si="1"/>
        <v/>
      </c>
      <c r="G20" s="48" t="str">
        <f t="shared" si="1"/>
        <v/>
      </c>
      <c r="H20" s="48" t="str">
        <f t="shared" si="1"/>
        <v/>
      </c>
      <c r="I20" s="48" t="str">
        <f t="shared" si="1"/>
        <v/>
      </c>
      <c r="J20" s="48" t="str">
        <f t="shared" si="1"/>
        <v/>
      </c>
      <c r="K20" s="48" t="str">
        <f t="shared" si="1"/>
        <v/>
      </c>
      <c r="L20" s="48" t="str">
        <f t="shared" si="1"/>
        <v/>
      </c>
      <c r="M20" s="48" t="str">
        <f t="shared" si="1"/>
        <v/>
      </c>
      <c r="N20" s="48" t="str">
        <f t="shared" si="1"/>
        <v/>
      </c>
      <c r="O20" s="48" t="str">
        <f t="shared" si="1"/>
        <v/>
      </c>
      <c r="P20" s="48" t="str">
        <f t="shared" si="2"/>
        <v/>
      </c>
      <c r="Q20" s="48" t="str">
        <f t="shared" si="2"/>
        <v/>
      </c>
      <c r="R20" s="48" t="str">
        <f t="shared" si="2"/>
        <v/>
      </c>
      <c r="S20" s="48" t="str">
        <f t="shared" si="2"/>
        <v/>
      </c>
      <c r="T20" s="48" t="str">
        <f t="shared" si="2"/>
        <v/>
      </c>
      <c r="U20" s="48" t="str">
        <f t="shared" si="2"/>
        <v/>
      </c>
      <c r="V20" s="48" t="str">
        <f t="shared" si="2"/>
        <v/>
      </c>
      <c r="W20" s="48" t="str">
        <f t="shared" si="2"/>
        <v/>
      </c>
      <c r="X20" s="48" t="str">
        <f t="shared" si="2"/>
        <v/>
      </c>
      <c r="Y20" s="48" t="str">
        <f t="shared" si="2"/>
        <v/>
      </c>
      <c r="Z20" s="48" t="str">
        <f t="shared" si="2"/>
        <v/>
      </c>
      <c r="AA20" s="48" t="str">
        <f t="shared" si="2"/>
        <v/>
      </c>
      <c r="AB20" s="48" t="str">
        <f t="shared" si="2"/>
        <v/>
      </c>
      <c r="AC20" s="55" t="str">
        <f t="shared" si="2"/>
        <v/>
      </c>
    </row>
    <row r="21" spans="1:29" x14ac:dyDescent="0.35">
      <c r="A21"/>
      <c r="B21" s="62"/>
      <c r="D21" s="63"/>
      <c r="F21" s="54" t="str">
        <f t="shared" si="1"/>
        <v/>
      </c>
      <c r="G21" s="48" t="str">
        <f t="shared" si="1"/>
        <v/>
      </c>
      <c r="H21" s="48" t="str">
        <f t="shared" si="1"/>
        <v/>
      </c>
      <c r="I21" s="48" t="str">
        <f t="shared" si="1"/>
        <v/>
      </c>
      <c r="J21" s="48" t="str">
        <f t="shared" si="1"/>
        <v/>
      </c>
      <c r="K21" s="48" t="str">
        <f t="shared" si="1"/>
        <v/>
      </c>
      <c r="L21" s="48" t="str">
        <f t="shared" si="1"/>
        <v/>
      </c>
      <c r="M21" s="48" t="str">
        <f t="shared" si="1"/>
        <v/>
      </c>
      <c r="N21" s="48" t="str">
        <f t="shared" si="1"/>
        <v/>
      </c>
      <c r="O21" s="48" t="str">
        <f t="shared" si="1"/>
        <v/>
      </c>
      <c r="P21" s="48" t="str">
        <f t="shared" si="2"/>
        <v/>
      </c>
      <c r="Q21" s="48" t="str">
        <f t="shared" si="2"/>
        <v/>
      </c>
      <c r="R21" s="48" t="str">
        <f t="shared" si="2"/>
        <v/>
      </c>
      <c r="S21" s="48" t="str">
        <f t="shared" si="2"/>
        <v/>
      </c>
      <c r="T21" s="48" t="str">
        <f t="shared" si="2"/>
        <v/>
      </c>
      <c r="U21" s="48" t="str">
        <f t="shared" si="2"/>
        <v/>
      </c>
      <c r="V21" s="48" t="str">
        <f t="shared" si="2"/>
        <v/>
      </c>
      <c r="W21" s="48" t="str">
        <f t="shared" si="2"/>
        <v/>
      </c>
      <c r="X21" s="48" t="str">
        <f t="shared" si="2"/>
        <v/>
      </c>
      <c r="Y21" s="48" t="str">
        <f t="shared" si="2"/>
        <v/>
      </c>
      <c r="Z21" s="48" t="str">
        <f t="shared" si="2"/>
        <v/>
      </c>
      <c r="AA21" s="48" t="str">
        <f t="shared" si="2"/>
        <v/>
      </c>
      <c r="AB21" s="48" t="str">
        <f t="shared" si="2"/>
        <v/>
      </c>
      <c r="AC21" s="55" t="str">
        <f t="shared" si="2"/>
        <v/>
      </c>
    </row>
    <row r="22" spans="1:29" x14ac:dyDescent="0.35">
      <c r="A22"/>
      <c r="B22" s="62"/>
      <c r="D22" s="63"/>
      <c r="F22" s="54" t="str">
        <f t="shared" si="1"/>
        <v/>
      </c>
      <c r="G22" s="48" t="str">
        <f t="shared" si="1"/>
        <v/>
      </c>
      <c r="H22" s="48" t="str">
        <f t="shared" si="1"/>
        <v/>
      </c>
      <c r="I22" s="48" t="str">
        <f t="shared" si="1"/>
        <v/>
      </c>
      <c r="J22" s="48" t="str">
        <f t="shared" si="1"/>
        <v/>
      </c>
      <c r="K22" s="48" t="str">
        <f t="shared" si="1"/>
        <v/>
      </c>
      <c r="L22" s="48" t="str">
        <f t="shared" si="1"/>
        <v/>
      </c>
      <c r="M22" s="48" t="str">
        <f t="shared" si="1"/>
        <v/>
      </c>
      <c r="N22" s="48" t="str">
        <f t="shared" si="1"/>
        <v/>
      </c>
      <c r="O22" s="48" t="str">
        <f t="shared" si="1"/>
        <v/>
      </c>
      <c r="P22" s="48" t="str">
        <f t="shared" si="2"/>
        <v/>
      </c>
      <c r="Q22" s="48" t="str">
        <f t="shared" si="2"/>
        <v/>
      </c>
      <c r="R22" s="48" t="str">
        <f t="shared" si="2"/>
        <v/>
      </c>
      <c r="S22" s="48" t="str">
        <f t="shared" si="2"/>
        <v/>
      </c>
      <c r="T22" s="48" t="str">
        <f t="shared" si="2"/>
        <v/>
      </c>
      <c r="U22" s="48" t="str">
        <f t="shared" si="2"/>
        <v/>
      </c>
      <c r="V22" s="48" t="str">
        <f t="shared" si="2"/>
        <v/>
      </c>
      <c r="W22" s="48" t="str">
        <f t="shared" si="2"/>
        <v/>
      </c>
      <c r="X22" s="48" t="str">
        <f t="shared" si="2"/>
        <v/>
      </c>
      <c r="Y22" s="48" t="str">
        <f t="shared" si="2"/>
        <v/>
      </c>
      <c r="Z22" s="48" t="str">
        <f t="shared" si="2"/>
        <v/>
      </c>
      <c r="AA22" s="48" t="str">
        <f t="shared" si="2"/>
        <v/>
      </c>
      <c r="AB22" s="48" t="str">
        <f t="shared" si="2"/>
        <v/>
      </c>
      <c r="AC22" s="55" t="str">
        <f t="shared" si="2"/>
        <v/>
      </c>
    </row>
    <row r="23" spans="1:29" x14ac:dyDescent="0.35">
      <c r="A23"/>
      <c r="B23" s="62"/>
      <c r="D23" s="63"/>
      <c r="F23" s="54" t="str">
        <f t="shared" ref="F23:U47" si="3">IF(AND(F$6&gt;=$C23, F$6&lt;=$D23),"1","")</f>
        <v/>
      </c>
      <c r="G23" s="48" t="str">
        <f t="shared" si="3"/>
        <v/>
      </c>
      <c r="H23" s="48" t="str">
        <f t="shared" si="3"/>
        <v/>
      </c>
      <c r="I23" s="48" t="str">
        <f t="shared" si="3"/>
        <v/>
      </c>
      <c r="J23" s="48" t="str">
        <f t="shared" si="3"/>
        <v/>
      </c>
      <c r="K23" s="48" t="str">
        <f t="shared" si="3"/>
        <v/>
      </c>
      <c r="L23" s="48" t="str">
        <f t="shared" si="3"/>
        <v/>
      </c>
      <c r="M23" s="48" t="str">
        <f t="shared" si="3"/>
        <v/>
      </c>
      <c r="N23" s="48" t="str">
        <f t="shared" si="3"/>
        <v/>
      </c>
      <c r="O23" s="48" t="str">
        <f t="shared" si="3"/>
        <v/>
      </c>
      <c r="P23" s="48" t="str">
        <f t="shared" si="3"/>
        <v/>
      </c>
      <c r="Q23" s="48" t="str">
        <f t="shared" si="3"/>
        <v/>
      </c>
      <c r="R23" s="48" t="str">
        <f t="shared" si="3"/>
        <v/>
      </c>
      <c r="S23" s="48" t="str">
        <f t="shared" si="3"/>
        <v/>
      </c>
      <c r="T23" s="48" t="str">
        <f t="shared" si="3"/>
        <v/>
      </c>
      <c r="U23" s="48" t="str">
        <f t="shared" si="3"/>
        <v/>
      </c>
      <c r="V23" s="48" t="str">
        <f t="shared" ref="P23:AC41" si="4">IF(AND(V$6&gt;=$C23, V$6&lt;=$D23),"1","")</f>
        <v/>
      </c>
      <c r="W23" s="48" t="str">
        <f t="shared" si="4"/>
        <v/>
      </c>
      <c r="X23" s="48" t="str">
        <f t="shared" si="4"/>
        <v/>
      </c>
      <c r="Y23" s="48" t="str">
        <f t="shared" si="4"/>
        <v/>
      </c>
      <c r="Z23" s="48" t="str">
        <f t="shared" si="4"/>
        <v/>
      </c>
      <c r="AA23" s="48" t="str">
        <f t="shared" si="4"/>
        <v/>
      </c>
      <c r="AB23" s="48" t="str">
        <f t="shared" si="4"/>
        <v/>
      </c>
      <c r="AC23" s="55" t="str">
        <f t="shared" si="4"/>
        <v/>
      </c>
    </row>
    <row r="24" spans="1:29" x14ac:dyDescent="0.35">
      <c r="A24"/>
      <c r="B24" s="62"/>
      <c r="D24" s="63"/>
      <c r="F24" s="54" t="str">
        <f t="shared" si="3"/>
        <v/>
      </c>
      <c r="G24" s="48" t="str">
        <f t="shared" si="3"/>
        <v/>
      </c>
      <c r="H24" s="48" t="str">
        <f t="shared" si="3"/>
        <v/>
      </c>
      <c r="I24" s="48" t="str">
        <f t="shared" si="3"/>
        <v/>
      </c>
      <c r="J24" s="48" t="str">
        <f t="shared" si="3"/>
        <v/>
      </c>
      <c r="K24" s="48" t="str">
        <f t="shared" si="3"/>
        <v/>
      </c>
      <c r="L24" s="48" t="str">
        <f t="shared" si="3"/>
        <v/>
      </c>
      <c r="M24" s="48" t="str">
        <f t="shared" si="3"/>
        <v/>
      </c>
      <c r="N24" s="48" t="str">
        <f t="shared" si="3"/>
        <v/>
      </c>
      <c r="O24" s="48" t="str">
        <f t="shared" si="3"/>
        <v/>
      </c>
      <c r="P24" s="48" t="str">
        <f t="shared" si="4"/>
        <v/>
      </c>
      <c r="Q24" s="48" t="str">
        <f t="shared" si="4"/>
        <v/>
      </c>
      <c r="R24" s="48" t="str">
        <f t="shared" si="4"/>
        <v/>
      </c>
      <c r="S24" s="48" t="str">
        <f t="shared" si="4"/>
        <v/>
      </c>
      <c r="T24" s="48" t="str">
        <f t="shared" si="4"/>
        <v/>
      </c>
      <c r="U24" s="48" t="str">
        <f t="shared" si="4"/>
        <v/>
      </c>
      <c r="V24" s="48" t="str">
        <f t="shared" si="4"/>
        <v/>
      </c>
      <c r="W24" s="48" t="str">
        <f t="shared" si="4"/>
        <v/>
      </c>
      <c r="X24" s="48" t="str">
        <f t="shared" si="4"/>
        <v/>
      </c>
      <c r="Y24" s="48" t="str">
        <f t="shared" si="4"/>
        <v/>
      </c>
      <c r="Z24" s="48" t="str">
        <f t="shared" si="4"/>
        <v/>
      </c>
      <c r="AA24" s="48" t="str">
        <f t="shared" si="4"/>
        <v/>
      </c>
      <c r="AB24" s="48" t="str">
        <f t="shared" si="4"/>
        <v/>
      </c>
      <c r="AC24" s="55" t="str">
        <f t="shared" si="4"/>
        <v/>
      </c>
    </row>
    <row r="25" spans="1:29" x14ac:dyDescent="0.35">
      <c r="A25"/>
      <c r="B25" s="62"/>
      <c r="D25" s="63"/>
      <c r="F25" s="54" t="str">
        <f t="shared" si="3"/>
        <v/>
      </c>
      <c r="G25" s="48" t="str">
        <f t="shared" si="3"/>
        <v/>
      </c>
      <c r="H25" s="48" t="str">
        <f t="shared" si="3"/>
        <v/>
      </c>
      <c r="I25" s="48" t="str">
        <f t="shared" si="3"/>
        <v/>
      </c>
      <c r="J25" s="48" t="str">
        <f t="shared" si="3"/>
        <v/>
      </c>
      <c r="K25" s="48" t="str">
        <f t="shared" si="3"/>
        <v/>
      </c>
      <c r="L25" s="48" t="str">
        <f t="shared" si="3"/>
        <v/>
      </c>
      <c r="M25" s="48" t="str">
        <f t="shared" si="3"/>
        <v/>
      </c>
      <c r="N25" s="48" t="str">
        <f t="shared" si="3"/>
        <v/>
      </c>
      <c r="O25" s="48" t="str">
        <f t="shared" si="3"/>
        <v/>
      </c>
      <c r="P25" s="48" t="str">
        <f t="shared" si="4"/>
        <v/>
      </c>
      <c r="Q25" s="48" t="str">
        <f t="shared" si="4"/>
        <v/>
      </c>
      <c r="R25" s="48" t="str">
        <f t="shared" si="4"/>
        <v/>
      </c>
      <c r="S25" s="48" t="str">
        <f t="shared" si="4"/>
        <v/>
      </c>
      <c r="T25" s="48" t="str">
        <f t="shared" si="4"/>
        <v/>
      </c>
      <c r="U25" s="48" t="str">
        <f t="shared" si="4"/>
        <v/>
      </c>
      <c r="V25" s="48" t="str">
        <f t="shared" si="4"/>
        <v/>
      </c>
      <c r="W25" s="48" t="str">
        <f t="shared" si="4"/>
        <v/>
      </c>
      <c r="X25" s="48" t="str">
        <f t="shared" si="4"/>
        <v/>
      </c>
      <c r="Y25" s="48" t="str">
        <f t="shared" si="4"/>
        <v/>
      </c>
      <c r="Z25" s="48" t="str">
        <f t="shared" si="4"/>
        <v/>
      </c>
      <c r="AA25" s="48" t="str">
        <f t="shared" si="4"/>
        <v/>
      </c>
      <c r="AB25" s="48" t="str">
        <f t="shared" si="4"/>
        <v/>
      </c>
      <c r="AC25" s="55" t="str">
        <f t="shared" si="4"/>
        <v/>
      </c>
    </row>
    <row r="26" spans="1:29" x14ac:dyDescent="0.35">
      <c r="A26"/>
      <c r="B26" s="62"/>
      <c r="D26" s="63"/>
      <c r="F26" s="54" t="str">
        <f t="shared" si="3"/>
        <v/>
      </c>
      <c r="G26" s="48" t="str">
        <f t="shared" si="3"/>
        <v/>
      </c>
      <c r="H26" s="48" t="str">
        <f t="shared" si="3"/>
        <v/>
      </c>
      <c r="I26" s="48" t="str">
        <f t="shared" si="3"/>
        <v/>
      </c>
      <c r="J26" s="48" t="str">
        <f t="shared" si="3"/>
        <v/>
      </c>
      <c r="K26" s="48" t="str">
        <f t="shared" si="3"/>
        <v/>
      </c>
      <c r="L26" s="48" t="str">
        <f t="shared" si="3"/>
        <v/>
      </c>
      <c r="M26" s="48" t="str">
        <f t="shared" si="3"/>
        <v/>
      </c>
      <c r="N26" s="48" t="str">
        <f t="shared" si="3"/>
        <v/>
      </c>
      <c r="O26" s="48" t="str">
        <f t="shared" si="3"/>
        <v/>
      </c>
      <c r="P26" s="48" t="str">
        <f t="shared" si="4"/>
        <v/>
      </c>
      <c r="Q26" s="48" t="str">
        <f t="shared" si="4"/>
        <v/>
      </c>
      <c r="R26" s="48" t="str">
        <f t="shared" si="4"/>
        <v/>
      </c>
      <c r="S26" s="48" t="str">
        <f t="shared" si="4"/>
        <v/>
      </c>
      <c r="T26" s="48" t="str">
        <f t="shared" si="4"/>
        <v/>
      </c>
      <c r="U26" s="48" t="str">
        <f t="shared" si="4"/>
        <v/>
      </c>
      <c r="V26" s="48" t="str">
        <f t="shared" si="4"/>
        <v/>
      </c>
      <c r="W26" s="48" t="str">
        <f t="shared" si="4"/>
        <v/>
      </c>
      <c r="X26" s="48" t="str">
        <f t="shared" si="4"/>
        <v/>
      </c>
      <c r="Y26" s="48" t="str">
        <f t="shared" si="4"/>
        <v/>
      </c>
      <c r="Z26" s="48" t="str">
        <f t="shared" si="4"/>
        <v/>
      </c>
      <c r="AA26" s="48" t="str">
        <f t="shared" si="4"/>
        <v/>
      </c>
      <c r="AB26" s="48" t="str">
        <f t="shared" si="4"/>
        <v/>
      </c>
      <c r="AC26" s="55" t="str">
        <f t="shared" si="4"/>
        <v/>
      </c>
    </row>
    <row r="27" spans="1:29" x14ac:dyDescent="0.35">
      <c r="A27"/>
      <c r="B27" s="62"/>
      <c r="D27" s="63"/>
      <c r="F27" s="54" t="str">
        <f t="shared" si="3"/>
        <v/>
      </c>
      <c r="G27" s="48" t="str">
        <f t="shared" si="3"/>
        <v/>
      </c>
      <c r="H27" s="48" t="str">
        <f t="shared" si="3"/>
        <v/>
      </c>
      <c r="I27" s="48" t="str">
        <f t="shared" si="3"/>
        <v/>
      </c>
      <c r="J27" s="48" t="str">
        <f t="shared" si="3"/>
        <v/>
      </c>
      <c r="K27" s="48" t="str">
        <f t="shared" si="3"/>
        <v/>
      </c>
      <c r="L27" s="48" t="str">
        <f t="shared" si="3"/>
        <v/>
      </c>
      <c r="M27" s="48" t="str">
        <f t="shared" si="3"/>
        <v/>
      </c>
      <c r="N27" s="48" t="str">
        <f t="shared" si="3"/>
        <v/>
      </c>
      <c r="O27" s="48" t="str">
        <f t="shared" si="3"/>
        <v/>
      </c>
      <c r="P27" s="48" t="str">
        <f t="shared" si="4"/>
        <v/>
      </c>
      <c r="Q27" s="48" t="str">
        <f t="shared" si="4"/>
        <v/>
      </c>
      <c r="R27" s="48" t="str">
        <f t="shared" si="4"/>
        <v/>
      </c>
      <c r="S27" s="48" t="str">
        <f t="shared" si="4"/>
        <v/>
      </c>
      <c r="T27" s="48" t="str">
        <f t="shared" si="4"/>
        <v/>
      </c>
      <c r="U27" s="48" t="str">
        <f t="shared" si="4"/>
        <v/>
      </c>
      <c r="V27" s="48" t="str">
        <f t="shared" si="4"/>
        <v/>
      </c>
      <c r="W27" s="48" t="str">
        <f t="shared" si="4"/>
        <v/>
      </c>
      <c r="X27" s="48" t="str">
        <f t="shared" si="4"/>
        <v/>
      </c>
      <c r="Y27" s="48" t="str">
        <f t="shared" si="4"/>
        <v/>
      </c>
      <c r="Z27" s="48" t="str">
        <f t="shared" si="4"/>
        <v/>
      </c>
      <c r="AA27" s="48" t="str">
        <f t="shared" si="4"/>
        <v/>
      </c>
      <c r="AB27" s="48" t="str">
        <f t="shared" si="4"/>
        <v/>
      </c>
      <c r="AC27" s="55" t="str">
        <f t="shared" si="4"/>
        <v/>
      </c>
    </row>
    <row r="28" spans="1:29" x14ac:dyDescent="0.35">
      <c r="A28"/>
      <c r="B28" s="62"/>
      <c r="D28" s="63"/>
      <c r="F28" s="54" t="str">
        <f t="shared" si="3"/>
        <v/>
      </c>
      <c r="G28" s="48" t="str">
        <f t="shared" si="3"/>
        <v/>
      </c>
      <c r="H28" s="48" t="str">
        <f t="shared" si="3"/>
        <v/>
      </c>
      <c r="I28" s="48" t="str">
        <f t="shared" si="3"/>
        <v/>
      </c>
      <c r="J28" s="48" t="str">
        <f t="shared" si="3"/>
        <v/>
      </c>
      <c r="K28" s="48" t="str">
        <f t="shared" si="3"/>
        <v/>
      </c>
      <c r="L28" s="48" t="str">
        <f t="shared" si="3"/>
        <v/>
      </c>
      <c r="M28" s="48" t="str">
        <f t="shared" si="3"/>
        <v/>
      </c>
      <c r="N28" s="48" t="str">
        <f t="shared" si="3"/>
        <v/>
      </c>
      <c r="O28" s="48" t="str">
        <f t="shared" si="3"/>
        <v/>
      </c>
      <c r="P28" s="48" t="str">
        <f t="shared" si="4"/>
        <v/>
      </c>
      <c r="Q28" s="48" t="str">
        <f t="shared" si="4"/>
        <v/>
      </c>
      <c r="R28" s="48" t="str">
        <f t="shared" si="4"/>
        <v/>
      </c>
      <c r="S28" s="48" t="str">
        <f t="shared" si="4"/>
        <v/>
      </c>
      <c r="T28" s="48" t="str">
        <f t="shared" si="4"/>
        <v/>
      </c>
      <c r="U28" s="48" t="str">
        <f t="shared" si="4"/>
        <v/>
      </c>
      <c r="V28" s="48" t="str">
        <f t="shared" si="4"/>
        <v/>
      </c>
      <c r="W28" s="48" t="str">
        <f t="shared" si="4"/>
        <v/>
      </c>
      <c r="X28" s="48" t="str">
        <f t="shared" si="4"/>
        <v/>
      </c>
      <c r="Y28" s="48" t="str">
        <f t="shared" si="4"/>
        <v/>
      </c>
      <c r="Z28" s="48" t="str">
        <f t="shared" si="4"/>
        <v/>
      </c>
      <c r="AA28" s="48" t="str">
        <f t="shared" si="4"/>
        <v/>
      </c>
      <c r="AB28" s="48" t="str">
        <f t="shared" si="4"/>
        <v/>
      </c>
      <c r="AC28" s="55" t="str">
        <f t="shared" si="4"/>
        <v/>
      </c>
    </row>
    <row r="29" spans="1:29" x14ac:dyDescent="0.35">
      <c r="A29"/>
      <c r="B29" s="62"/>
      <c r="D29" s="63"/>
      <c r="F29" s="54" t="str">
        <f t="shared" si="3"/>
        <v/>
      </c>
      <c r="G29" s="48" t="str">
        <f t="shared" si="3"/>
        <v/>
      </c>
      <c r="H29" s="48" t="str">
        <f t="shared" si="3"/>
        <v/>
      </c>
      <c r="I29" s="48" t="str">
        <f t="shared" si="3"/>
        <v/>
      </c>
      <c r="J29" s="48" t="str">
        <f t="shared" si="3"/>
        <v/>
      </c>
      <c r="K29" s="48" t="str">
        <f t="shared" si="3"/>
        <v/>
      </c>
      <c r="L29" s="48" t="str">
        <f t="shared" si="3"/>
        <v/>
      </c>
      <c r="M29" s="48" t="str">
        <f t="shared" si="3"/>
        <v/>
      </c>
      <c r="N29" s="48" t="str">
        <f t="shared" si="3"/>
        <v/>
      </c>
      <c r="O29" s="48" t="str">
        <f t="shared" si="3"/>
        <v/>
      </c>
      <c r="P29" s="48" t="str">
        <f t="shared" si="4"/>
        <v/>
      </c>
      <c r="Q29" s="48" t="str">
        <f t="shared" si="4"/>
        <v/>
      </c>
      <c r="R29" s="48" t="str">
        <f t="shared" si="4"/>
        <v/>
      </c>
      <c r="S29" s="48" t="str">
        <f t="shared" si="4"/>
        <v/>
      </c>
      <c r="T29" s="48" t="str">
        <f t="shared" si="4"/>
        <v/>
      </c>
      <c r="U29" s="48" t="str">
        <f t="shared" si="4"/>
        <v/>
      </c>
      <c r="V29" s="48" t="str">
        <f t="shared" si="4"/>
        <v/>
      </c>
      <c r="W29" s="48" t="str">
        <f t="shared" si="4"/>
        <v/>
      </c>
      <c r="X29" s="48" t="str">
        <f t="shared" si="4"/>
        <v/>
      </c>
      <c r="Y29" s="48" t="str">
        <f t="shared" si="4"/>
        <v/>
      </c>
      <c r="Z29" s="48" t="str">
        <f t="shared" si="4"/>
        <v/>
      </c>
      <c r="AA29" s="48" t="str">
        <f t="shared" si="4"/>
        <v/>
      </c>
      <c r="AB29" s="48" t="str">
        <f t="shared" si="4"/>
        <v/>
      </c>
      <c r="AC29" s="55" t="str">
        <f t="shared" si="4"/>
        <v/>
      </c>
    </row>
    <row r="30" spans="1:29" x14ac:dyDescent="0.35">
      <c r="A30"/>
      <c r="B30" s="62"/>
      <c r="D30" s="63"/>
      <c r="F30" s="54" t="str">
        <f t="shared" si="3"/>
        <v/>
      </c>
      <c r="G30" s="48" t="str">
        <f t="shared" si="3"/>
        <v/>
      </c>
      <c r="H30" s="48" t="str">
        <f t="shared" si="3"/>
        <v/>
      </c>
      <c r="I30" s="48" t="str">
        <f t="shared" si="3"/>
        <v/>
      </c>
      <c r="J30" s="48" t="str">
        <f t="shared" si="3"/>
        <v/>
      </c>
      <c r="K30" s="48" t="str">
        <f t="shared" si="3"/>
        <v/>
      </c>
      <c r="L30" s="48" t="str">
        <f t="shared" si="3"/>
        <v/>
      </c>
      <c r="M30" s="48" t="str">
        <f t="shared" si="3"/>
        <v/>
      </c>
      <c r="N30" s="48" t="str">
        <f t="shared" si="3"/>
        <v/>
      </c>
      <c r="O30" s="48" t="str">
        <f t="shared" si="3"/>
        <v/>
      </c>
      <c r="P30" s="48" t="str">
        <f t="shared" si="4"/>
        <v/>
      </c>
      <c r="Q30" s="48" t="str">
        <f t="shared" si="4"/>
        <v/>
      </c>
      <c r="R30" s="48" t="str">
        <f t="shared" si="4"/>
        <v/>
      </c>
      <c r="S30" s="48" t="str">
        <f t="shared" si="4"/>
        <v/>
      </c>
      <c r="T30" s="48" t="str">
        <f t="shared" si="4"/>
        <v/>
      </c>
      <c r="U30" s="48" t="str">
        <f t="shared" si="4"/>
        <v/>
      </c>
      <c r="V30" s="48" t="str">
        <f t="shared" si="4"/>
        <v/>
      </c>
      <c r="W30" s="48" t="str">
        <f t="shared" si="4"/>
        <v/>
      </c>
      <c r="X30" s="48" t="str">
        <f t="shared" si="4"/>
        <v/>
      </c>
      <c r="Y30" s="48" t="str">
        <f t="shared" si="4"/>
        <v/>
      </c>
      <c r="Z30" s="48" t="str">
        <f t="shared" si="4"/>
        <v/>
      </c>
      <c r="AA30" s="48" t="str">
        <f t="shared" si="4"/>
        <v/>
      </c>
      <c r="AB30" s="48" t="str">
        <f t="shared" si="4"/>
        <v/>
      </c>
      <c r="AC30" s="55" t="str">
        <f t="shared" si="4"/>
        <v/>
      </c>
    </row>
    <row r="31" spans="1:29" x14ac:dyDescent="0.35">
      <c r="A31"/>
      <c r="B31" s="62"/>
      <c r="D31" s="63"/>
      <c r="F31" s="54" t="str">
        <f t="shared" si="3"/>
        <v/>
      </c>
      <c r="G31" s="48" t="str">
        <f t="shared" si="3"/>
        <v/>
      </c>
      <c r="H31" s="48" t="str">
        <f t="shared" si="3"/>
        <v/>
      </c>
      <c r="I31" s="48" t="str">
        <f t="shared" si="3"/>
        <v/>
      </c>
      <c r="J31" s="48" t="str">
        <f t="shared" si="3"/>
        <v/>
      </c>
      <c r="K31" s="48" t="str">
        <f t="shared" si="3"/>
        <v/>
      </c>
      <c r="L31" s="48" t="str">
        <f t="shared" si="3"/>
        <v/>
      </c>
      <c r="M31" s="48" t="str">
        <f t="shared" si="3"/>
        <v/>
      </c>
      <c r="N31" s="48" t="str">
        <f t="shared" si="3"/>
        <v/>
      </c>
      <c r="O31" s="48" t="str">
        <f t="shared" si="3"/>
        <v/>
      </c>
      <c r="P31" s="48" t="str">
        <f t="shared" si="4"/>
        <v/>
      </c>
      <c r="Q31" s="48" t="str">
        <f t="shared" si="4"/>
        <v/>
      </c>
      <c r="R31" s="48" t="str">
        <f t="shared" si="4"/>
        <v/>
      </c>
      <c r="S31" s="48" t="str">
        <f t="shared" si="4"/>
        <v/>
      </c>
      <c r="T31" s="48" t="str">
        <f t="shared" si="4"/>
        <v/>
      </c>
      <c r="U31" s="48" t="str">
        <f t="shared" si="4"/>
        <v/>
      </c>
      <c r="V31" s="48" t="str">
        <f t="shared" si="4"/>
        <v/>
      </c>
      <c r="W31" s="48" t="str">
        <f t="shared" si="4"/>
        <v/>
      </c>
      <c r="X31" s="48" t="str">
        <f t="shared" si="4"/>
        <v/>
      </c>
      <c r="Y31" s="48" t="str">
        <f t="shared" si="4"/>
        <v/>
      </c>
      <c r="Z31" s="48" t="str">
        <f t="shared" si="4"/>
        <v/>
      </c>
      <c r="AA31" s="48" t="str">
        <f t="shared" si="4"/>
        <v/>
      </c>
      <c r="AB31" s="48" t="str">
        <f t="shared" si="4"/>
        <v/>
      </c>
      <c r="AC31" s="55" t="str">
        <f t="shared" si="4"/>
        <v/>
      </c>
    </row>
    <row r="32" spans="1:29" x14ac:dyDescent="0.35">
      <c r="A32"/>
      <c r="B32" s="62"/>
      <c r="D32" s="63"/>
      <c r="F32" s="54" t="str">
        <f t="shared" si="3"/>
        <v/>
      </c>
      <c r="G32" s="48" t="str">
        <f t="shared" si="3"/>
        <v/>
      </c>
      <c r="H32" s="48" t="str">
        <f t="shared" si="3"/>
        <v/>
      </c>
      <c r="I32" s="48" t="str">
        <f t="shared" si="3"/>
        <v/>
      </c>
      <c r="J32" s="48" t="str">
        <f t="shared" si="3"/>
        <v/>
      </c>
      <c r="K32" s="48" t="str">
        <f t="shared" si="3"/>
        <v/>
      </c>
      <c r="L32" s="48" t="str">
        <f t="shared" si="3"/>
        <v/>
      </c>
      <c r="M32" s="48" t="str">
        <f t="shared" si="3"/>
        <v/>
      </c>
      <c r="N32" s="48" t="str">
        <f t="shared" si="3"/>
        <v/>
      </c>
      <c r="O32" s="48" t="str">
        <f t="shared" si="3"/>
        <v/>
      </c>
      <c r="P32" s="48" t="str">
        <f t="shared" si="4"/>
        <v/>
      </c>
      <c r="Q32" s="48" t="str">
        <f t="shared" si="4"/>
        <v/>
      </c>
      <c r="R32" s="48" t="str">
        <f t="shared" si="4"/>
        <v/>
      </c>
      <c r="S32" s="48" t="str">
        <f t="shared" si="4"/>
        <v/>
      </c>
      <c r="T32" s="48" t="str">
        <f t="shared" si="4"/>
        <v/>
      </c>
      <c r="U32" s="48" t="str">
        <f t="shared" si="4"/>
        <v/>
      </c>
      <c r="V32" s="48" t="str">
        <f t="shared" si="4"/>
        <v/>
      </c>
      <c r="W32" s="48" t="str">
        <f t="shared" si="4"/>
        <v/>
      </c>
      <c r="X32" s="48" t="str">
        <f t="shared" si="4"/>
        <v/>
      </c>
      <c r="Y32" s="48" t="str">
        <f t="shared" si="4"/>
        <v/>
      </c>
      <c r="Z32" s="48" t="str">
        <f t="shared" si="4"/>
        <v/>
      </c>
      <c r="AA32" s="48" t="str">
        <f t="shared" si="4"/>
        <v/>
      </c>
      <c r="AB32" s="48" t="str">
        <f t="shared" si="4"/>
        <v/>
      </c>
      <c r="AC32" s="55" t="str">
        <f t="shared" si="4"/>
        <v/>
      </c>
    </row>
    <row r="33" spans="1:29" x14ac:dyDescent="0.35">
      <c r="A33"/>
      <c r="B33" s="62"/>
      <c r="D33" s="63"/>
      <c r="F33" s="54" t="str">
        <f t="shared" si="3"/>
        <v/>
      </c>
      <c r="G33" s="48" t="str">
        <f t="shared" si="3"/>
        <v/>
      </c>
      <c r="H33" s="48" t="str">
        <f t="shared" si="3"/>
        <v/>
      </c>
      <c r="I33" s="48" t="str">
        <f t="shared" si="3"/>
        <v/>
      </c>
      <c r="J33" s="48" t="str">
        <f t="shared" si="3"/>
        <v/>
      </c>
      <c r="K33" s="48" t="str">
        <f t="shared" si="3"/>
        <v/>
      </c>
      <c r="L33" s="48" t="str">
        <f t="shared" si="3"/>
        <v/>
      </c>
      <c r="M33" s="48" t="str">
        <f t="shared" si="3"/>
        <v/>
      </c>
      <c r="N33" s="48" t="str">
        <f t="shared" si="3"/>
        <v/>
      </c>
      <c r="O33" s="48" t="str">
        <f t="shared" si="3"/>
        <v/>
      </c>
      <c r="P33" s="48" t="str">
        <f t="shared" si="4"/>
        <v/>
      </c>
      <c r="Q33" s="48" t="str">
        <f t="shared" si="4"/>
        <v/>
      </c>
      <c r="R33" s="48" t="str">
        <f t="shared" si="4"/>
        <v/>
      </c>
      <c r="S33" s="48" t="str">
        <f t="shared" si="4"/>
        <v/>
      </c>
      <c r="T33" s="48" t="str">
        <f t="shared" si="4"/>
        <v/>
      </c>
      <c r="U33" s="48" t="str">
        <f t="shared" si="4"/>
        <v/>
      </c>
      <c r="V33" s="48" t="str">
        <f t="shared" si="4"/>
        <v/>
      </c>
      <c r="W33" s="48" t="str">
        <f t="shared" si="4"/>
        <v/>
      </c>
      <c r="X33" s="48" t="str">
        <f t="shared" si="4"/>
        <v/>
      </c>
      <c r="Y33" s="48" t="str">
        <f t="shared" si="4"/>
        <v/>
      </c>
      <c r="Z33" s="48" t="str">
        <f t="shared" si="4"/>
        <v/>
      </c>
      <c r="AA33" s="48" t="str">
        <f t="shared" si="4"/>
        <v/>
      </c>
      <c r="AB33" s="48" t="str">
        <f t="shared" si="4"/>
        <v/>
      </c>
      <c r="AC33" s="55" t="str">
        <f t="shared" si="4"/>
        <v/>
      </c>
    </row>
    <row r="34" spans="1:29" x14ac:dyDescent="0.35">
      <c r="A34"/>
      <c r="B34" s="62"/>
      <c r="D34" s="63"/>
      <c r="F34" s="54" t="str">
        <f t="shared" si="3"/>
        <v/>
      </c>
      <c r="G34" s="48" t="str">
        <f t="shared" si="3"/>
        <v/>
      </c>
      <c r="H34" s="48" t="str">
        <f t="shared" si="3"/>
        <v/>
      </c>
      <c r="I34" s="48" t="str">
        <f t="shared" si="3"/>
        <v/>
      </c>
      <c r="J34" s="48" t="str">
        <f t="shared" si="3"/>
        <v/>
      </c>
      <c r="K34" s="48" t="str">
        <f t="shared" si="3"/>
        <v/>
      </c>
      <c r="L34" s="48" t="str">
        <f t="shared" si="3"/>
        <v/>
      </c>
      <c r="M34" s="48" t="str">
        <f t="shared" si="3"/>
        <v/>
      </c>
      <c r="N34" s="48" t="str">
        <f t="shared" si="3"/>
        <v/>
      </c>
      <c r="O34" s="48" t="str">
        <f t="shared" si="3"/>
        <v/>
      </c>
      <c r="P34" s="48" t="str">
        <f t="shared" si="4"/>
        <v/>
      </c>
      <c r="Q34" s="48" t="str">
        <f t="shared" si="4"/>
        <v/>
      </c>
      <c r="R34" s="48" t="str">
        <f t="shared" si="4"/>
        <v/>
      </c>
      <c r="S34" s="48" t="str">
        <f t="shared" si="4"/>
        <v/>
      </c>
      <c r="T34" s="48" t="str">
        <f t="shared" si="4"/>
        <v/>
      </c>
      <c r="U34" s="48" t="str">
        <f t="shared" si="4"/>
        <v/>
      </c>
      <c r="V34" s="48" t="str">
        <f t="shared" si="4"/>
        <v/>
      </c>
      <c r="W34" s="48" t="str">
        <f t="shared" si="4"/>
        <v/>
      </c>
      <c r="X34" s="48" t="str">
        <f t="shared" si="4"/>
        <v/>
      </c>
      <c r="Y34" s="48" t="str">
        <f t="shared" si="4"/>
        <v/>
      </c>
      <c r="Z34" s="48" t="str">
        <f t="shared" si="4"/>
        <v/>
      </c>
      <c r="AA34" s="48" t="str">
        <f t="shared" si="4"/>
        <v/>
      </c>
      <c r="AB34" s="48" t="str">
        <f t="shared" si="4"/>
        <v/>
      </c>
      <c r="AC34" s="55" t="str">
        <f t="shared" si="4"/>
        <v/>
      </c>
    </row>
    <row r="35" spans="1:29" x14ac:dyDescent="0.35">
      <c r="A35"/>
      <c r="B35" s="62"/>
      <c r="D35" s="63"/>
      <c r="F35" s="54" t="str">
        <f t="shared" si="3"/>
        <v/>
      </c>
      <c r="G35" s="48" t="str">
        <f t="shared" si="3"/>
        <v/>
      </c>
      <c r="H35" s="48" t="str">
        <f t="shared" si="3"/>
        <v/>
      </c>
      <c r="I35" s="48" t="str">
        <f t="shared" si="3"/>
        <v/>
      </c>
      <c r="J35" s="48" t="str">
        <f t="shared" si="3"/>
        <v/>
      </c>
      <c r="K35" s="48" t="str">
        <f t="shared" si="3"/>
        <v/>
      </c>
      <c r="L35" s="48" t="str">
        <f t="shared" si="3"/>
        <v/>
      </c>
      <c r="M35" s="48" t="str">
        <f t="shared" si="3"/>
        <v/>
      </c>
      <c r="N35" s="48" t="str">
        <f t="shared" si="3"/>
        <v/>
      </c>
      <c r="O35" s="48" t="str">
        <f t="shared" si="3"/>
        <v/>
      </c>
      <c r="P35" s="48" t="str">
        <f t="shared" si="4"/>
        <v/>
      </c>
      <c r="Q35" s="48" t="str">
        <f t="shared" si="4"/>
        <v/>
      </c>
      <c r="R35" s="48" t="str">
        <f t="shared" si="4"/>
        <v/>
      </c>
      <c r="S35" s="48" t="str">
        <f t="shared" si="4"/>
        <v/>
      </c>
      <c r="T35" s="48" t="str">
        <f t="shared" si="4"/>
        <v/>
      </c>
      <c r="U35" s="48" t="str">
        <f t="shared" si="4"/>
        <v/>
      </c>
      <c r="V35" s="48" t="str">
        <f t="shared" si="4"/>
        <v/>
      </c>
      <c r="W35" s="48" t="str">
        <f t="shared" si="4"/>
        <v/>
      </c>
      <c r="X35" s="48" t="str">
        <f t="shared" si="4"/>
        <v/>
      </c>
      <c r="Y35" s="48" t="str">
        <f t="shared" si="4"/>
        <v/>
      </c>
      <c r="Z35" s="48" t="str">
        <f t="shared" si="4"/>
        <v/>
      </c>
      <c r="AA35" s="48" t="str">
        <f t="shared" si="4"/>
        <v/>
      </c>
      <c r="AB35" s="48" t="str">
        <f t="shared" si="4"/>
        <v/>
      </c>
      <c r="AC35" s="55" t="str">
        <f t="shared" si="4"/>
        <v/>
      </c>
    </row>
    <row r="36" spans="1:29" x14ac:dyDescent="0.35">
      <c r="A36"/>
      <c r="B36" s="62"/>
      <c r="D36" s="63"/>
      <c r="F36" s="54" t="str">
        <f t="shared" si="3"/>
        <v/>
      </c>
      <c r="G36" s="48" t="str">
        <f t="shared" si="3"/>
        <v/>
      </c>
      <c r="H36" s="48" t="str">
        <f t="shared" si="3"/>
        <v/>
      </c>
      <c r="I36" s="48" t="str">
        <f t="shared" si="3"/>
        <v/>
      </c>
      <c r="J36" s="48" t="str">
        <f t="shared" si="3"/>
        <v/>
      </c>
      <c r="K36" s="48" t="str">
        <f t="shared" si="3"/>
        <v/>
      </c>
      <c r="L36" s="48" t="str">
        <f t="shared" si="3"/>
        <v/>
      </c>
      <c r="M36" s="48" t="str">
        <f t="shared" si="3"/>
        <v/>
      </c>
      <c r="N36" s="48" t="str">
        <f t="shared" si="3"/>
        <v/>
      </c>
      <c r="O36" s="48" t="str">
        <f t="shared" si="3"/>
        <v/>
      </c>
      <c r="P36" s="48" t="str">
        <f t="shared" si="4"/>
        <v/>
      </c>
      <c r="Q36" s="48" t="str">
        <f t="shared" si="4"/>
        <v/>
      </c>
      <c r="R36" s="48" t="str">
        <f t="shared" si="4"/>
        <v/>
      </c>
      <c r="S36" s="48" t="str">
        <f t="shared" si="4"/>
        <v/>
      </c>
      <c r="T36" s="48" t="str">
        <f t="shared" si="4"/>
        <v/>
      </c>
      <c r="U36" s="48" t="str">
        <f t="shared" si="4"/>
        <v/>
      </c>
      <c r="V36" s="48" t="str">
        <f t="shared" si="4"/>
        <v/>
      </c>
      <c r="W36" s="48" t="str">
        <f t="shared" si="4"/>
        <v/>
      </c>
      <c r="X36" s="48" t="str">
        <f t="shared" si="4"/>
        <v/>
      </c>
      <c r="Y36" s="48" t="str">
        <f t="shared" si="4"/>
        <v/>
      </c>
      <c r="Z36" s="48" t="str">
        <f t="shared" si="4"/>
        <v/>
      </c>
      <c r="AA36" s="48" t="str">
        <f t="shared" si="4"/>
        <v/>
      </c>
      <c r="AB36" s="48" t="str">
        <f t="shared" si="4"/>
        <v/>
      </c>
      <c r="AC36" s="55" t="str">
        <f t="shared" si="4"/>
        <v/>
      </c>
    </row>
    <row r="37" spans="1:29" x14ac:dyDescent="0.35">
      <c r="A37"/>
      <c r="B37" s="62"/>
      <c r="D37" s="63"/>
      <c r="F37" s="54" t="str">
        <f t="shared" si="3"/>
        <v/>
      </c>
      <c r="G37" s="48" t="str">
        <f t="shared" si="3"/>
        <v/>
      </c>
      <c r="H37" s="48" t="str">
        <f t="shared" si="3"/>
        <v/>
      </c>
      <c r="I37" s="48" t="str">
        <f t="shared" si="3"/>
        <v/>
      </c>
      <c r="J37" s="48" t="str">
        <f t="shared" si="3"/>
        <v/>
      </c>
      <c r="K37" s="48" t="str">
        <f t="shared" si="3"/>
        <v/>
      </c>
      <c r="L37" s="48" t="str">
        <f t="shared" si="3"/>
        <v/>
      </c>
      <c r="M37" s="48" t="str">
        <f t="shared" si="3"/>
        <v/>
      </c>
      <c r="N37" s="48" t="str">
        <f t="shared" si="3"/>
        <v/>
      </c>
      <c r="O37" s="48" t="str">
        <f t="shared" si="3"/>
        <v/>
      </c>
      <c r="P37" s="48" t="str">
        <f t="shared" si="4"/>
        <v/>
      </c>
      <c r="Q37" s="48" t="str">
        <f t="shared" si="4"/>
        <v/>
      </c>
      <c r="R37" s="48" t="str">
        <f t="shared" si="4"/>
        <v/>
      </c>
      <c r="S37" s="48" t="str">
        <f t="shared" si="4"/>
        <v/>
      </c>
      <c r="T37" s="48" t="str">
        <f t="shared" si="4"/>
        <v/>
      </c>
      <c r="U37" s="48" t="str">
        <f t="shared" si="4"/>
        <v/>
      </c>
      <c r="V37" s="48" t="str">
        <f t="shared" si="4"/>
        <v/>
      </c>
      <c r="W37" s="48" t="str">
        <f t="shared" si="4"/>
        <v/>
      </c>
      <c r="X37" s="48" t="str">
        <f t="shared" si="4"/>
        <v/>
      </c>
      <c r="Y37" s="48" t="str">
        <f t="shared" si="4"/>
        <v/>
      </c>
      <c r="Z37" s="48" t="str">
        <f t="shared" si="4"/>
        <v/>
      </c>
      <c r="AA37" s="48" t="str">
        <f t="shared" si="4"/>
        <v/>
      </c>
      <c r="AB37" s="48" t="str">
        <f t="shared" si="4"/>
        <v/>
      </c>
      <c r="AC37" s="55" t="str">
        <f t="shared" si="4"/>
        <v/>
      </c>
    </row>
    <row r="38" spans="1:29" x14ac:dyDescent="0.35">
      <c r="A38"/>
      <c r="B38" s="62"/>
      <c r="D38" s="63"/>
      <c r="F38" s="54" t="str">
        <f t="shared" si="3"/>
        <v/>
      </c>
      <c r="G38" s="48" t="str">
        <f t="shared" si="3"/>
        <v/>
      </c>
      <c r="H38" s="48" t="str">
        <f t="shared" si="3"/>
        <v/>
      </c>
      <c r="I38" s="48" t="str">
        <f t="shared" si="3"/>
        <v/>
      </c>
      <c r="J38" s="48" t="str">
        <f t="shared" si="3"/>
        <v/>
      </c>
      <c r="K38" s="48" t="str">
        <f t="shared" si="3"/>
        <v/>
      </c>
      <c r="L38" s="48" t="str">
        <f t="shared" si="3"/>
        <v/>
      </c>
      <c r="M38" s="48" t="str">
        <f t="shared" si="3"/>
        <v/>
      </c>
      <c r="N38" s="48" t="str">
        <f t="shared" si="3"/>
        <v/>
      </c>
      <c r="O38" s="48" t="str">
        <f t="shared" si="3"/>
        <v/>
      </c>
      <c r="P38" s="48" t="str">
        <f t="shared" si="4"/>
        <v/>
      </c>
      <c r="Q38" s="48" t="str">
        <f t="shared" si="4"/>
        <v/>
      </c>
      <c r="R38" s="48" t="str">
        <f t="shared" si="4"/>
        <v/>
      </c>
      <c r="S38" s="48" t="str">
        <f t="shared" si="4"/>
        <v/>
      </c>
      <c r="T38" s="48" t="str">
        <f t="shared" si="4"/>
        <v/>
      </c>
      <c r="U38" s="48" t="str">
        <f t="shared" si="4"/>
        <v/>
      </c>
      <c r="V38" s="48" t="str">
        <f t="shared" si="4"/>
        <v/>
      </c>
      <c r="W38" s="48" t="str">
        <f t="shared" si="4"/>
        <v/>
      </c>
      <c r="X38" s="48" t="str">
        <f t="shared" si="4"/>
        <v/>
      </c>
      <c r="Y38" s="48" t="str">
        <f t="shared" si="4"/>
        <v/>
      </c>
      <c r="Z38" s="48" t="str">
        <f t="shared" si="4"/>
        <v/>
      </c>
      <c r="AA38" s="48" t="str">
        <f t="shared" si="4"/>
        <v/>
      </c>
      <c r="AB38" s="48" t="str">
        <f t="shared" si="4"/>
        <v/>
      </c>
      <c r="AC38" s="55" t="str">
        <f t="shared" si="4"/>
        <v/>
      </c>
    </row>
    <row r="39" spans="1:29" x14ac:dyDescent="0.35">
      <c r="A39"/>
      <c r="B39" s="62"/>
      <c r="D39" s="63"/>
      <c r="F39" s="54" t="str">
        <f t="shared" si="3"/>
        <v/>
      </c>
      <c r="G39" s="48" t="str">
        <f t="shared" si="3"/>
        <v/>
      </c>
      <c r="H39" s="48" t="str">
        <f t="shared" si="3"/>
        <v/>
      </c>
      <c r="I39" s="48" t="str">
        <f t="shared" si="3"/>
        <v/>
      </c>
      <c r="J39" s="48" t="str">
        <f t="shared" si="3"/>
        <v/>
      </c>
      <c r="K39" s="48" t="str">
        <f t="shared" si="3"/>
        <v/>
      </c>
      <c r="L39" s="48" t="str">
        <f t="shared" si="3"/>
        <v/>
      </c>
      <c r="M39" s="48" t="str">
        <f t="shared" si="3"/>
        <v/>
      </c>
      <c r="N39" s="48" t="str">
        <f t="shared" si="3"/>
        <v/>
      </c>
      <c r="O39" s="48" t="str">
        <f t="shared" si="3"/>
        <v/>
      </c>
      <c r="P39" s="48" t="str">
        <f t="shared" si="4"/>
        <v/>
      </c>
      <c r="Q39" s="48" t="str">
        <f t="shared" si="4"/>
        <v/>
      </c>
      <c r="R39" s="48" t="str">
        <f t="shared" si="4"/>
        <v/>
      </c>
      <c r="S39" s="48" t="str">
        <f t="shared" si="4"/>
        <v/>
      </c>
      <c r="T39" s="48" t="str">
        <f t="shared" si="4"/>
        <v/>
      </c>
      <c r="U39" s="48" t="str">
        <f t="shared" si="4"/>
        <v/>
      </c>
      <c r="V39" s="48" t="str">
        <f t="shared" si="4"/>
        <v/>
      </c>
      <c r="W39" s="48" t="str">
        <f t="shared" si="4"/>
        <v/>
      </c>
      <c r="X39" s="48" t="str">
        <f t="shared" si="4"/>
        <v/>
      </c>
      <c r="Y39" s="48" t="str">
        <f t="shared" si="4"/>
        <v/>
      </c>
      <c r="Z39" s="48" t="str">
        <f t="shared" si="4"/>
        <v/>
      </c>
      <c r="AA39" s="48" t="str">
        <f t="shared" si="4"/>
        <v/>
      </c>
      <c r="AB39" s="48" t="str">
        <f t="shared" si="4"/>
        <v/>
      </c>
      <c r="AC39" s="55" t="str">
        <f t="shared" si="4"/>
        <v/>
      </c>
    </row>
    <row r="40" spans="1:29" x14ac:dyDescent="0.35">
      <c r="A40"/>
      <c r="B40" s="62"/>
      <c r="D40" s="63"/>
      <c r="F40" s="54" t="str">
        <f t="shared" si="3"/>
        <v/>
      </c>
      <c r="G40" s="48" t="str">
        <f t="shared" si="3"/>
        <v/>
      </c>
      <c r="H40" s="48" t="str">
        <f t="shared" si="3"/>
        <v/>
      </c>
      <c r="I40" s="48" t="str">
        <f t="shared" si="3"/>
        <v/>
      </c>
      <c r="J40" s="48" t="str">
        <f t="shared" si="3"/>
        <v/>
      </c>
      <c r="K40" s="48" t="str">
        <f t="shared" si="3"/>
        <v/>
      </c>
      <c r="L40" s="48" t="str">
        <f t="shared" si="3"/>
        <v/>
      </c>
      <c r="M40" s="48" t="str">
        <f t="shared" si="3"/>
        <v/>
      </c>
      <c r="N40" s="48" t="str">
        <f t="shared" si="3"/>
        <v/>
      </c>
      <c r="O40" s="48" t="str">
        <f t="shared" si="3"/>
        <v/>
      </c>
      <c r="P40" s="48" t="str">
        <f t="shared" si="4"/>
        <v/>
      </c>
      <c r="Q40" s="48" t="str">
        <f t="shared" si="4"/>
        <v/>
      </c>
      <c r="R40" s="48" t="str">
        <f t="shared" si="4"/>
        <v/>
      </c>
      <c r="S40" s="48" t="str">
        <f t="shared" si="4"/>
        <v/>
      </c>
      <c r="T40" s="48" t="str">
        <f t="shared" si="4"/>
        <v/>
      </c>
      <c r="U40" s="48" t="str">
        <f t="shared" si="4"/>
        <v/>
      </c>
      <c r="V40" s="48" t="str">
        <f t="shared" si="4"/>
        <v/>
      </c>
      <c r="W40" s="48" t="str">
        <f t="shared" si="4"/>
        <v/>
      </c>
      <c r="X40" s="48" t="str">
        <f t="shared" si="4"/>
        <v/>
      </c>
      <c r="Y40" s="48" t="str">
        <f t="shared" si="4"/>
        <v/>
      </c>
      <c r="Z40" s="48" t="str">
        <f t="shared" si="4"/>
        <v/>
      </c>
      <c r="AA40" s="48" t="str">
        <f t="shared" si="4"/>
        <v/>
      </c>
      <c r="AB40" s="48" t="str">
        <f t="shared" si="4"/>
        <v/>
      </c>
      <c r="AC40" s="55" t="str">
        <f t="shared" si="4"/>
        <v/>
      </c>
    </row>
    <row r="41" spans="1:29" x14ac:dyDescent="0.35">
      <c r="A41"/>
      <c r="B41" s="62"/>
      <c r="D41" s="63"/>
      <c r="F41" s="54" t="str">
        <f t="shared" si="3"/>
        <v/>
      </c>
      <c r="G41" s="48" t="str">
        <f t="shared" si="3"/>
        <v/>
      </c>
      <c r="H41" s="48" t="str">
        <f t="shared" si="3"/>
        <v/>
      </c>
      <c r="I41" s="48" t="str">
        <f t="shared" si="3"/>
        <v/>
      </c>
      <c r="J41" s="48" t="str">
        <f t="shared" si="3"/>
        <v/>
      </c>
      <c r="K41" s="48" t="str">
        <f t="shared" si="3"/>
        <v/>
      </c>
      <c r="L41" s="48" t="str">
        <f t="shared" si="3"/>
        <v/>
      </c>
      <c r="M41" s="48" t="str">
        <f t="shared" si="3"/>
        <v/>
      </c>
      <c r="N41" s="48" t="str">
        <f t="shared" si="3"/>
        <v/>
      </c>
      <c r="O41" s="48" t="str">
        <f t="shared" si="3"/>
        <v/>
      </c>
      <c r="P41" s="48" t="str">
        <f t="shared" si="4"/>
        <v/>
      </c>
      <c r="Q41" s="48" t="str">
        <f t="shared" si="4"/>
        <v/>
      </c>
      <c r="R41" s="48" t="str">
        <f t="shared" si="4"/>
        <v/>
      </c>
      <c r="S41" s="48" t="str">
        <f t="shared" si="4"/>
        <v/>
      </c>
      <c r="T41" s="48" t="str">
        <f t="shared" si="4"/>
        <v/>
      </c>
      <c r="U41" s="48" t="str">
        <f t="shared" si="4"/>
        <v/>
      </c>
      <c r="V41" s="48" t="str">
        <f t="shared" si="4"/>
        <v/>
      </c>
      <c r="W41" s="48" t="str">
        <f t="shared" si="4"/>
        <v/>
      </c>
      <c r="X41" s="48" t="str">
        <f t="shared" si="4"/>
        <v/>
      </c>
      <c r="Y41" s="48" t="str">
        <f t="shared" ref="P41:AC59" si="5">IF(AND(Y$6&gt;=$C41, Y$6&lt;=$D41),"1","")</f>
        <v/>
      </c>
      <c r="Z41" s="48" t="str">
        <f t="shared" si="5"/>
        <v/>
      </c>
      <c r="AA41" s="48" t="str">
        <f t="shared" si="5"/>
        <v/>
      </c>
      <c r="AB41" s="48" t="str">
        <f t="shared" si="5"/>
        <v/>
      </c>
      <c r="AC41" s="55" t="str">
        <f t="shared" si="5"/>
        <v/>
      </c>
    </row>
    <row r="42" spans="1:29" x14ac:dyDescent="0.35">
      <c r="A42"/>
      <c r="B42" s="62"/>
      <c r="D42" s="63"/>
      <c r="F42" s="54" t="str">
        <f t="shared" si="3"/>
        <v/>
      </c>
      <c r="G42" s="48" t="str">
        <f t="shared" si="3"/>
        <v/>
      </c>
      <c r="H42" s="48" t="str">
        <f t="shared" si="3"/>
        <v/>
      </c>
      <c r="I42" s="48" t="str">
        <f t="shared" si="3"/>
        <v/>
      </c>
      <c r="J42" s="48" t="str">
        <f t="shared" si="3"/>
        <v/>
      </c>
      <c r="K42" s="48" t="str">
        <f t="shared" si="3"/>
        <v/>
      </c>
      <c r="L42" s="48" t="str">
        <f t="shared" si="3"/>
        <v/>
      </c>
      <c r="M42" s="48" t="str">
        <f t="shared" si="3"/>
        <v/>
      </c>
      <c r="N42" s="48" t="str">
        <f t="shared" si="3"/>
        <v/>
      </c>
      <c r="O42" s="48" t="str">
        <f t="shared" si="3"/>
        <v/>
      </c>
      <c r="P42" s="48" t="str">
        <f t="shared" si="5"/>
        <v/>
      </c>
      <c r="Q42" s="48" t="str">
        <f t="shared" si="5"/>
        <v/>
      </c>
      <c r="R42" s="48" t="str">
        <f t="shared" si="5"/>
        <v/>
      </c>
      <c r="S42" s="48" t="str">
        <f t="shared" si="5"/>
        <v/>
      </c>
      <c r="T42" s="48" t="str">
        <f t="shared" si="5"/>
        <v/>
      </c>
      <c r="U42" s="48" t="str">
        <f t="shared" si="5"/>
        <v/>
      </c>
      <c r="V42" s="48" t="str">
        <f t="shared" si="5"/>
        <v/>
      </c>
      <c r="W42" s="48" t="str">
        <f t="shared" si="5"/>
        <v/>
      </c>
      <c r="X42" s="48" t="str">
        <f t="shared" si="5"/>
        <v/>
      </c>
      <c r="Y42" s="48" t="str">
        <f t="shared" si="5"/>
        <v/>
      </c>
      <c r="Z42" s="48" t="str">
        <f t="shared" si="5"/>
        <v/>
      </c>
      <c r="AA42" s="48" t="str">
        <f t="shared" si="5"/>
        <v/>
      </c>
      <c r="AB42" s="48" t="str">
        <f t="shared" si="5"/>
        <v/>
      </c>
      <c r="AC42" s="55" t="str">
        <f t="shared" si="5"/>
        <v/>
      </c>
    </row>
    <row r="43" spans="1:29" x14ac:dyDescent="0.35">
      <c r="A43"/>
      <c r="B43" s="62"/>
      <c r="D43" s="63"/>
      <c r="F43" s="54" t="str">
        <f t="shared" si="3"/>
        <v/>
      </c>
      <c r="G43" s="48" t="str">
        <f t="shared" si="3"/>
        <v/>
      </c>
      <c r="H43" s="48" t="str">
        <f t="shared" si="3"/>
        <v/>
      </c>
      <c r="I43" s="48" t="str">
        <f t="shared" si="3"/>
        <v/>
      </c>
      <c r="J43" s="48" t="str">
        <f t="shared" si="3"/>
        <v/>
      </c>
      <c r="K43" s="48" t="str">
        <f t="shared" si="3"/>
        <v/>
      </c>
      <c r="L43" s="48" t="str">
        <f t="shared" si="3"/>
        <v/>
      </c>
      <c r="M43" s="48" t="str">
        <f t="shared" si="3"/>
        <v/>
      </c>
      <c r="N43" s="48" t="str">
        <f t="shared" si="3"/>
        <v/>
      </c>
      <c r="O43" s="48" t="str">
        <f t="shared" si="3"/>
        <v/>
      </c>
      <c r="P43" s="48" t="str">
        <f t="shared" si="5"/>
        <v/>
      </c>
      <c r="Q43" s="48" t="str">
        <f t="shared" si="5"/>
        <v/>
      </c>
      <c r="R43" s="48" t="str">
        <f t="shared" si="5"/>
        <v/>
      </c>
      <c r="S43" s="48" t="str">
        <f t="shared" si="5"/>
        <v/>
      </c>
      <c r="T43" s="48" t="str">
        <f t="shared" si="5"/>
        <v/>
      </c>
      <c r="U43" s="48" t="str">
        <f t="shared" si="5"/>
        <v/>
      </c>
      <c r="V43" s="48" t="str">
        <f t="shared" si="5"/>
        <v/>
      </c>
      <c r="W43" s="48" t="str">
        <f t="shared" si="5"/>
        <v/>
      </c>
      <c r="X43" s="48" t="str">
        <f t="shared" si="5"/>
        <v/>
      </c>
      <c r="Y43" s="48" t="str">
        <f t="shared" si="5"/>
        <v/>
      </c>
      <c r="Z43" s="48" t="str">
        <f t="shared" si="5"/>
        <v/>
      </c>
      <c r="AA43" s="48" t="str">
        <f t="shared" si="5"/>
        <v/>
      </c>
      <c r="AB43" s="48" t="str">
        <f t="shared" si="5"/>
        <v/>
      </c>
      <c r="AC43" s="55" t="str">
        <f t="shared" si="5"/>
        <v/>
      </c>
    </row>
    <row r="44" spans="1:29" x14ac:dyDescent="0.35">
      <c r="A44"/>
      <c r="B44" s="62"/>
      <c r="D44" s="63"/>
      <c r="F44" s="54" t="str">
        <f t="shared" si="3"/>
        <v/>
      </c>
      <c r="G44" s="48" t="str">
        <f t="shared" si="3"/>
        <v/>
      </c>
      <c r="H44" s="48" t="str">
        <f t="shared" si="3"/>
        <v/>
      </c>
      <c r="I44" s="48" t="str">
        <f t="shared" si="3"/>
        <v/>
      </c>
      <c r="J44" s="48" t="str">
        <f t="shared" si="3"/>
        <v/>
      </c>
      <c r="K44" s="48" t="str">
        <f t="shared" si="3"/>
        <v/>
      </c>
      <c r="L44" s="48" t="str">
        <f t="shared" si="3"/>
        <v/>
      </c>
      <c r="M44" s="48" t="str">
        <f t="shared" si="3"/>
        <v/>
      </c>
      <c r="N44" s="48" t="str">
        <f t="shared" si="3"/>
        <v/>
      </c>
      <c r="O44" s="48" t="str">
        <f t="shared" si="3"/>
        <v/>
      </c>
      <c r="P44" s="48" t="str">
        <f t="shared" si="5"/>
        <v/>
      </c>
      <c r="Q44" s="48" t="str">
        <f t="shared" si="5"/>
        <v/>
      </c>
      <c r="R44" s="48" t="str">
        <f t="shared" si="5"/>
        <v/>
      </c>
      <c r="S44" s="48" t="str">
        <f t="shared" si="5"/>
        <v/>
      </c>
      <c r="T44" s="48" t="str">
        <f t="shared" si="5"/>
        <v/>
      </c>
      <c r="U44" s="48" t="str">
        <f t="shared" si="5"/>
        <v/>
      </c>
      <c r="V44" s="48" t="str">
        <f t="shared" si="5"/>
        <v/>
      </c>
      <c r="W44" s="48" t="str">
        <f t="shared" si="5"/>
        <v/>
      </c>
      <c r="X44" s="48" t="str">
        <f t="shared" si="5"/>
        <v/>
      </c>
      <c r="Y44" s="48" t="str">
        <f t="shared" si="5"/>
        <v/>
      </c>
      <c r="Z44" s="48" t="str">
        <f t="shared" si="5"/>
        <v/>
      </c>
      <c r="AA44" s="48" t="str">
        <f t="shared" si="5"/>
        <v/>
      </c>
      <c r="AB44" s="48" t="str">
        <f t="shared" si="5"/>
        <v/>
      </c>
      <c r="AC44" s="55" t="str">
        <f t="shared" si="5"/>
        <v/>
      </c>
    </row>
    <row r="45" spans="1:29" x14ac:dyDescent="0.35">
      <c r="A45"/>
      <c r="B45" s="62"/>
      <c r="D45" s="63"/>
      <c r="F45" s="54" t="str">
        <f t="shared" si="3"/>
        <v/>
      </c>
      <c r="G45" s="48" t="str">
        <f t="shared" si="3"/>
        <v/>
      </c>
      <c r="H45" s="48" t="str">
        <f t="shared" si="3"/>
        <v/>
      </c>
      <c r="I45" s="48" t="str">
        <f t="shared" si="3"/>
        <v/>
      </c>
      <c r="J45" s="48" t="str">
        <f t="shared" si="3"/>
        <v/>
      </c>
      <c r="K45" s="48" t="str">
        <f t="shared" si="3"/>
        <v/>
      </c>
      <c r="L45" s="48" t="str">
        <f t="shared" si="3"/>
        <v/>
      </c>
      <c r="M45" s="48" t="str">
        <f t="shared" si="3"/>
        <v/>
      </c>
      <c r="N45" s="48" t="str">
        <f t="shared" si="3"/>
        <v/>
      </c>
      <c r="O45" s="48" t="str">
        <f t="shared" si="3"/>
        <v/>
      </c>
      <c r="P45" s="48" t="str">
        <f t="shared" si="5"/>
        <v/>
      </c>
      <c r="Q45" s="48" t="str">
        <f t="shared" si="5"/>
        <v/>
      </c>
      <c r="R45" s="48" t="str">
        <f t="shared" si="5"/>
        <v/>
      </c>
      <c r="S45" s="48" t="str">
        <f t="shared" si="5"/>
        <v/>
      </c>
      <c r="T45" s="48" t="str">
        <f t="shared" si="5"/>
        <v/>
      </c>
      <c r="U45" s="48" t="str">
        <f t="shared" si="5"/>
        <v/>
      </c>
      <c r="V45" s="48" t="str">
        <f t="shared" si="5"/>
        <v/>
      </c>
      <c r="W45" s="48" t="str">
        <f t="shared" si="5"/>
        <v/>
      </c>
      <c r="X45" s="48" t="str">
        <f t="shared" si="5"/>
        <v/>
      </c>
      <c r="Y45" s="48" t="str">
        <f t="shared" si="5"/>
        <v/>
      </c>
      <c r="Z45" s="48" t="str">
        <f t="shared" si="5"/>
        <v/>
      </c>
      <c r="AA45" s="48" t="str">
        <f t="shared" si="5"/>
        <v/>
      </c>
      <c r="AB45" s="48" t="str">
        <f t="shared" si="5"/>
        <v/>
      </c>
      <c r="AC45" s="55" t="str">
        <f t="shared" si="5"/>
        <v/>
      </c>
    </row>
    <row r="46" spans="1:29" x14ac:dyDescent="0.35">
      <c r="A46"/>
      <c r="B46" s="62"/>
      <c r="D46" s="63"/>
      <c r="F46" s="54" t="str">
        <f t="shared" si="3"/>
        <v/>
      </c>
      <c r="G46" s="48" t="str">
        <f t="shared" si="3"/>
        <v/>
      </c>
      <c r="H46" s="48" t="str">
        <f t="shared" si="3"/>
        <v/>
      </c>
      <c r="I46" s="48" t="str">
        <f t="shared" si="3"/>
        <v/>
      </c>
      <c r="J46" s="48" t="str">
        <f t="shared" si="3"/>
        <v/>
      </c>
      <c r="K46" s="48" t="str">
        <f t="shared" si="3"/>
        <v/>
      </c>
      <c r="L46" s="48" t="str">
        <f t="shared" si="3"/>
        <v/>
      </c>
      <c r="M46" s="48" t="str">
        <f t="shared" si="3"/>
        <v/>
      </c>
      <c r="N46" s="48" t="str">
        <f t="shared" si="3"/>
        <v/>
      </c>
      <c r="O46" s="48" t="str">
        <f t="shared" si="3"/>
        <v/>
      </c>
      <c r="P46" s="48" t="str">
        <f t="shared" si="5"/>
        <v/>
      </c>
      <c r="Q46" s="48" t="str">
        <f t="shared" si="5"/>
        <v/>
      </c>
      <c r="R46" s="48" t="str">
        <f t="shared" si="5"/>
        <v/>
      </c>
      <c r="S46" s="48" t="str">
        <f t="shared" si="5"/>
        <v/>
      </c>
      <c r="T46" s="48" t="str">
        <f t="shared" si="5"/>
        <v/>
      </c>
      <c r="U46" s="48" t="str">
        <f t="shared" si="5"/>
        <v/>
      </c>
      <c r="V46" s="48" t="str">
        <f t="shared" si="5"/>
        <v/>
      </c>
      <c r="W46" s="48" t="str">
        <f t="shared" si="5"/>
        <v/>
      </c>
      <c r="X46" s="48" t="str">
        <f t="shared" si="5"/>
        <v/>
      </c>
      <c r="Y46" s="48" t="str">
        <f t="shared" si="5"/>
        <v/>
      </c>
      <c r="Z46" s="48" t="str">
        <f t="shared" si="5"/>
        <v/>
      </c>
      <c r="AA46" s="48" t="str">
        <f t="shared" si="5"/>
        <v/>
      </c>
      <c r="AB46" s="48" t="str">
        <f t="shared" si="5"/>
        <v/>
      </c>
      <c r="AC46" s="55" t="str">
        <f t="shared" si="5"/>
        <v/>
      </c>
    </row>
    <row r="47" spans="1:29" x14ac:dyDescent="0.35">
      <c r="A47"/>
      <c r="B47" s="62"/>
      <c r="D47" s="63"/>
      <c r="F47" s="54" t="str">
        <f t="shared" si="3"/>
        <v/>
      </c>
      <c r="G47" s="48" t="str">
        <f t="shared" si="3"/>
        <v/>
      </c>
      <c r="H47" s="48" t="str">
        <f t="shared" si="3"/>
        <v/>
      </c>
      <c r="I47" s="48" t="str">
        <f t="shared" si="3"/>
        <v/>
      </c>
      <c r="J47" s="48" t="str">
        <f t="shared" si="3"/>
        <v/>
      </c>
      <c r="K47" s="48" t="str">
        <f t="shared" si="3"/>
        <v/>
      </c>
      <c r="L47" s="48" t="str">
        <f t="shared" si="3"/>
        <v/>
      </c>
      <c r="M47" s="48" t="str">
        <f t="shared" si="3"/>
        <v/>
      </c>
      <c r="N47" s="48" t="str">
        <f t="shared" si="3"/>
        <v/>
      </c>
      <c r="O47" s="48" t="str">
        <f t="shared" ref="F47:O73" si="6">IF(AND(O$6&gt;=$C47, O$6&lt;=$D47),"1","")</f>
        <v/>
      </c>
      <c r="P47" s="48" t="str">
        <f t="shared" si="5"/>
        <v/>
      </c>
      <c r="Q47" s="48" t="str">
        <f t="shared" si="5"/>
        <v/>
      </c>
      <c r="R47" s="48" t="str">
        <f t="shared" si="5"/>
        <v/>
      </c>
      <c r="S47" s="48" t="str">
        <f t="shared" si="5"/>
        <v/>
      </c>
      <c r="T47" s="48" t="str">
        <f t="shared" si="5"/>
        <v/>
      </c>
      <c r="U47" s="48" t="str">
        <f t="shared" si="5"/>
        <v/>
      </c>
      <c r="V47" s="48" t="str">
        <f t="shared" si="5"/>
        <v/>
      </c>
      <c r="W47" s="48" t="str">
        <f t="shared" si="5"/>
        <v/>
      </c>
      <c r="X47" s="48" t="str">
        <f t="shared" si="5"/>
        <v/>
      </c>
      <c r="Y47" s="48" t="str">
        <f t="shared" si="5"/>
        <v/>
      </c>
      <c r="Z47" s="48" t="str">
        <f t="shared" si="5"/>
        <v/>
      </c>
      <c r="AA47" s="48" t="str">
        <f t="shared" si="5"/>
        <v/>
      </c>
      <c r="AB47" s="48" t="str">
        <f t="shared" si="5"/>
        <v/>
      </c>
      <c r="AC47" s="55" t="str">
        <f t="shared" si="5"/>
        <v/>
      </c>
    </row>
    <row r="48" spans="1:29" x14ac:dyDescent="0.35">
      <c r="A48"/>
      <c r="B48" s="62"/>
      <c r="D48" s="63"/>
      <c r="F48" s="54" t="str">
        <f t="shared" si="6"/>
        <v/>
      </c>
      <c r="G48" s="48" t="str">
        <f t="shared" si="6"/>
        <v/>
      </c>
      <c r="H48" s="48" t="str">
        <f t="shared" si="6"/>
        <v/>
      </c>
      <c r="I48" s="48" t="str">
        <f t="shared" si="6"/>
        <v/>
      </c>
      <c r="J48" s="48" t="str">
        <f t="shared" si="6"/>
        <v/>
      </c>
      <c r="K48" s="48" t="str">
        <f t="shared" si="6"/>
        <v/>
      </c>
      <c r="L48" s="48" t="str">
        <f t="shared" si="6"/>
        <v/>
      </c>
      <c r="M48" s="48" t="str">
        <f t="shared" si="6"/>
        <v/>
      </c>
      <c r="N48" s="48" t="str">
        <f t="shared" si="6"/>
        <v/>
      </c>
      <c r="O48" s="48" t="str">
        <f t="shared" si="6"/>
        <v/>
      </c>
      <c r="P48" s="48" t="str">
        <f t="shared" si="5"/>
        <v/>
      </c>
      <c r="Q48" s="48" t="str">
        <f t="shared" si="5"/>
        <v/>
      </c>
      <c r="R48" s="48" t="str">
        <f t="shared" si="5"/>
        <v/>
      </c>
      <c r="S48" s="48" t="str">
        <f t="shared" si="5"/>
        <v/>
      </c>
      <c r="T48" s="48" t="str">
        <f t="shared" si="5"/>
        <v/>
      </c>
      <c r="U48" s="48" t="str">
        <f t="shared" si="5"/>
        <v/>
      </c>
      <c r="V48" s="48" t="str">
        <f t="shared" si="5"/>
        <v/>
      </c>
      <c r="W48" s="48" t="str">
        <f t="shared" si="5"/>
        <v/>
      </c>
      <c r="X48" s="48" t="str">
        <f t="shared" si="5"/>
        <v/>
      </c>
      <c r="Y48" s="48" t="str">
        <f t="shared" si="5"/>
        <v/>
      </c>
      <c r="Z48" s="48" t="str">
        <f t="shared" si="5"/>
        <v/>
      </c>
      <c r="AA48" s="48" t="str">
        <f t="shared" si="5"/>
        <v/>
      </c>
      <c r="AB48" s="48" t="str">
        <f t="shared" si="5"/>
        <v/>
      </c>
      <c r="AC48" s="55" t="str">
        <f t="shared" si="5"/>
        <v/>
      </c>
    </row>
    <row r="49" spans="1:29" x14ac:dyDescent="0.35">
      <c r="A49"/>
      <c r="B49" s="62"/>
      <c r="D49" s="63"/>
      <c r="F49" s="54" t="str">
        <f t="shared" si="6"/>
        <v/>
      </c>
      <c r="G49" s="48" t="str">
        <f t="shared" si="6"/>
        <v/>
      </c>
      <c r="H49" s="48" t="str">
        <f t="shared" si="6"/>
        <v/>
      </c>
      <c r="I49" s="48" t="str">
        <f t="shared" si="6"/>
        <v/>
      </c>
      <c r="J49" s="48" t="str">
        <f t="shared" si="6"/>
        <v/>
      </c>
      <c r="K49" s="48" t="str">
        <f t="shared" si="6"/>
        <v/>
      </c>
      <c r="L49" s="48" t="str">
        <f t="shared" si="6"/>
        <v/>
      </c>
      <c r="M49" s="48" t="str">
        <f t="shared" si="6"/>
        <v/>
      </c>
      <c r="N49" s="48" t="str">
        <f t="shared" si="6"/>
        <v/>
      </c>
      <c r="O49" s="48" t="str">
        <f t="shared" si="6"/>
        <v/>
      </c>
      <c r="P49" s="48" t="str">
        <f t="shared" si="5"/>
        <v/>
      </c>
      <c r="Q49" s="48" t="str">
        <f t="shared" si="5"/>
        <v/>
      </c>
      <c r="R49" s="48" t="str">
        <f t="shared" si="5"/>
        <v/>
      </c>
      <c r="S49" s="48" t="str">
        <f t="shared" si="5"/>
        <v/>
      </c>
      <c r="T49" s="48" t="str">
        <f t="shared" si="5"/>
        <v/>
      </c>
      <c r="U49" s="48" t="str">
        <f t="shared" si="5"/>
        <v/>
      </c>
      <c r="V49" s="48" t="str">
        <f t="shared" si="5"/>
        <v/>
      </c>
      <c r="W49" s="48" t="str">
        <f t="shared" si="5"/>
        <v/>
      </c>
      <c r="X49" s="48" t="str">
        <f t="shared" si="5"/>
        <v/>
      </c>
      <c r="Y49" s="48" t="str">
        <f t="shared" si="5"/>
        <v/>
      </c>
      <c r="Z49" s="48" t="str">
        <f t="shared" si="5"/>
        <v/>
      </c>
      <c r="AA49" s="48" t="str">
        <f t="shared" si="5"/>
        <v/>
      </c>
      <c r="AB49" s="48" t="str">
        <f t="shared" si="5"/>
        <v/>
      </c>
      <c r="AC49" s="55" t="str">
        <f t="shared" si="5"/>
        <v/>
      </c>
    </row>
    <row r="50" spans="1:29" x14ac:dyDescent="0.35">
      <c r="A50"/>
      <c r="B50" s="62"/>
      <c r="D50" s="63"/>
      <c r="F50" s="54" t="str">
        <f t="shared" si="6"/>
        <v/>
      </c>
      <c r="G50" s="48" t="str">
        <f t="shared" si="6"/>
        <v/>
      </c>
      <c r="H50" s="48" t="str">
        <f t="shared" si="6"/>
        <v/>
      </c>
      <c r="I50" s="48" t="str">
        <f t="shared" si="6"/>
        <v/>
      </c>
      <c r="J50" s="48" t="str">
        <f t="shared" si="6"/>
        <v/>
      </c>
      <c r="K50" s="48" t="str">
        <f t="shared" si="6"/>
        <v/>
      </c>
      <c r="L50" s="48" t="str">
        <f t="shared" si="6"/>
        <v/>
      </c>
      <c r="M50" s="48" t="str">
        <f t="shared" si="6"/>
        <v/>
      </c>
      <c r="N50" s="48" t="str">
        <f t="shared" si="6"/>
        <v/>
      </c>
      <c r="O50" s="48" t="str">
        <f t="shared" si="6"/>
        <v/>
      </c>
      <c r="P50" s="48" t="str">
        <f t="shared" si="5"/>
        <v/>
      </c>
      <c r="Q50" s="48" t="str">
        <f t="shared" si="5"/>
        <v/>
      </c>
      <c r="R50" s="48" t="str">
        <f t="shared" si="5"/>
        <v/>
      </c>
      <c r="S50" s="48" t="str">
        <f t="shared" si="5"/>
        <v/>
      </c>
      <c r="T50" s="48" t="str">
        <f t="shared" si="5"/>
        <v/>
      </c>
      <c r="U50" s="48" t="str">
        <f t="shared" si="5"/>
        <v/>
      </c>
      <c r="V50" s="48" t="str">
        <f t="shared" si="5"/>
        <v/>
      </c>
      <c r="W50" s="48" t="str">
        <f t="shared" si="5"/>
        <v/>
      </c>
      <c r="X50" s="48" t="str">
        <f t="shared" si="5"/>
        <v/>
      </c>
      <c r="Y50" s="48" t="str">
        <f t="shared" si="5"/>
        <v/>
      </c>
      <c r="Z50" s="48" t="str">
        <f t="shared" si="5"/>
        <v/>
      </c>
      <c r="AA50" s="48" t="str">
        <f t="shared" si="5"/>
        <v/>
      </c>
      <c r="AB50" s="48" t="str">
        <f t="shared" si="5"/>
        <v/>
      </c>
      <c r="AC50" s="55" t="str">
        <f t="shared" si="5"/>
        <v/>
      </c>
    </row>
    <row r="51" spans="1:29" x14ac:dyDescent="0.35">
      <c r="A51"/>
      <c r="B51" s="62"/>
      <c r="D51" s="63"/>
      <c r="F51" s="54" t="str">
        <f t="shared" si="6"/>
        <v/>
      </c>
      <c r="G51" s="48" t="str">
        <f t="shared" si="6"/>
        <v/>
      </c>
      <c r="H51" s="48" t="str">
        <f t="shared" si="6"/>
        <v/>
      </c>
      <c r="I51" s="48" t="str">
        <f t="shared" si="6"/>
        <v/>
      </c>
      <c r="J51" s="48" t="str">
        <f t="shared" si="6"/>
        <v/>
      </c>
      <c r="K51" s="48" t="str">
        <f t="shared" si="6"/>
        <v/>
      </c>
      <c r="L51" s="48" t="str">
        <f t="shared" si="6"/>
        <v/>
      </c>
      <c r="M51" s="48" t="str">
        <f t="shared" si="6"/>
        <v/>
      </c>
      <c r="N51" s="48" t="str">
        <f t="shared" si="6"/>
        <v/>
      </c>
      <c r="O51" s="48" t="str">
        <f t="shared" si="6"/>
        <v/>
      </c>
      <c r="P51" s="48" t="str">
        <f t="shared" si="5"/>
        <v/>
      </c>
      <c r="Q51" s="48" t="str">
        <f t="shared" si="5"/>
        <v/>
      </c>
      <c r="R51" s="48" t="str">
        <f t="shared" si="5"/>
        <v/>
      </c>
      <c r="S51" s="48" t="str">
        <f t="shared" si="5"/>
        <v/>
      </c>
      <c r="T51" s="48" t="str">
        <f t="shared" si="5"/>
        <v/>
      </c>
      <c r="U51" s="48" t="str">
        <f t="shared" si="5"/>
        <v/>
      </c>
      <c r="V51" s="48" t="str">
        <f t="shared" si="5"/>
        <v/>
      </c>
      <c r="W51" s="48" t="str">
        <f t="shared" si="5"/>
        <v/>
      </c>
      <c r="X51" s="48" t="str">
        <f t="shared" si="5"/>
        <v/>
      </c>
      <c r="Y51" s="48" t="str">
        <f t="shared" si="5"/>
        <v/>
      </c>
      <c r="Z51" s="48" t="str">
        <f t="shared" si="5"/>
        <v/>
      </c>
      <c r="AA51" s="48" t="str">
        <f t="shared" si="5"/>
        <v/>
      </c>
      <c r="AB51" s="48" t="str">
        <f t="shared" si="5"/>
        <v/>
      </c>
      <c r="AC51" s="55" t="str">
        <f t="shared" si="5"/>
        <v/>
      </c>
    </row>
    <row r="52" spans="1:29" x14ac:dyDescent="0.35">
      <c r="A52"/>
      <c r="B52" s="62"/>
      <c r="D52" s="63"/>
      <c r="F52" s="54" t="str">
        <f t="shared" si="6"/>
        <v/>
      </c>
      <c r="G52" s="48" t="str">
        <f t="shared" si="6"/>
        <v/>
      </c>
      <c r="H52" s="48" t="str">
        <f t="shared" si="6"/>
        <v/>
      </c>
      <c r="I52" s="48" t="str">
        <f t="shared" si="6"/>
        <v/>
      </c>
      <c r="J52" s="48" t="str">
        <f t="shared" si="6"/>
        <v/>
      </c>
      <c r="K52" s="48" t="str">
        <f t="shared" si="6"/>
        <v/>
      </c>
      <c r="L52" s="48" t="str">
        <f t="shared" si="6"/>
        <v/>
      </c>
      <c r="M52" s="48" t="str">
        <f t="shared" si="6"/>
        <v/>
      </c>
      <c r="N52" s="48" t="str">
        <f t="shared" si="6"/>
        <v/>
      </c>
      <c r="O52" s="48" t="str">
        <f t="shared" si="6"/>
        <v/>
      </c>
      <c r="P52" s="48" t="str">
        <f t="shared" si="5"/>
        <v/>
      </c>
      <c r="Q52" s="48" t="str">
        <f t="shared" si="5"/>
        <v/>
      </c>
      <c r="R52" s="48" t="str">
        <f t="shared" si="5"/>
        <v/>
      </c>
      <c r="S52" s="48" t="str">
        <f t="shared" si="5"/>
        <v/>
      </c>
      <c r="T52" s="48" t="str">
        <f t="shared" si="5"/>
        <v/>
      </c>
      <c r="U52" s="48" t="str">
        <f t="shared" si="5"/>
        <v/>
      </c>
      <c r="V52" s="48" t="str">
        <f t="shared" si="5"/>
        <v/>
      </c>
      <c r="W52" s="48" t="str">
        <f t="shared" si="5"/>
        <v/>
      </c>
      <c r="X52" s="48" t="str">
        <f t="shared" si="5"/>
        <v/>
      </c>
      <c r="Y52" s="48" t="str">
        <f t="shared" si="5"/>
        <v/>
      </c>
      <c r="Z52" s="48" t="str">
        <f t="shared" si="5"/>
        <v/>
      </c>
      <c r="AA52" s="48" t="str">
        <f t="shared" si="5"/>
        <v/>
      </c>
      <c r="AB52" s="48" t="str">
        <f t="shared" si="5"/>
        <v/>
      </c>
      <c r="AC52" s="55" t="str">
        <f t="shared" si="5"/>
        <v/>
      </c>
    </row>
    <row r="53" spans="1:29" x14ac:dyDescent="0.35">
      <c r="A53"/>
      <c r="B53" s="62"/>
      <c r="D53" s="63"/>
      <c r="F53" s="54" t="str">
        <f t="shared" si="6"/>
        <v/>
      </c>
      <c r="G53" s="48" t="str">
        <f t="shared" si="6"/>
        <v/>
      </c>
      <c r="H53" s="48" t="str">
        <f t="shared" si="6"/>
        <v/>
      </c>
      <c r="I53" s="48" t="str">
        <f t="shared" si="6"/>
        <v/>
      </c>
      <c r="J53" s="48" t="str">
        <f t="shared" si="6"/>
        <v/>
      </c>
      <c r="K53" s="48" t="str">
        <f t="shared" si="6"/>
        <v/>
      </c>
      <c r="L53" s="48" t="str">
        <f t="shared" si="6"/>
        <v/>
      </c>
      <c r="M53" s="48" t="str">
        <f t="shared" si="6"/>
        <v/>
      </c>
      <c r="N53" s="48" t="str">
        <f t="shared" si="6"/>
        <v/>
      </c>
      <c r="O53" s="48" t="str">
        <f t="shared" si="6"/>
        <v/>
      </c>
      <c r="P53" s="48" t="str">
        <f t="shared" si="5"/>
        <v/>
      </c>
      <c r="Q53" s="48" t="str">
        <f t="shared" si="5"/>
        <v/>
      </c>
      <c r="R53" s="48" t="str">
        <f t="shared" si="5"/>
        <v/>
      </c>
      <c r="S53" s="48" t="str">
        <f t="shared" si="5"/>
        <v/>
      </c>
      <c r="T53" s="48" t="str">
        <f t="shared" si="5"/>
        <v/>
      </c>
      <c r="U53" s="48" t="str">
        <f t="shared" si="5"/>
        <v/>
      </c>
      <c r="V53" s="48" t="str">
        <f t="shared" si="5"/>
        <v/>
      </c>
      <c r="W53" s="48" t="str">
        <f t="shared" si="5"/>
        <v/>
      </c>
      <c r="X53" s="48" t="str">
        <f t="shared" si="5"/>
        <v/>
      </c>
      <c r="Y53" s="48" t="str">
        <f t="shared" si="5"/>
        <v/>
      </c>
      <c r="Z53" s="48" t="str">
        <f t="shared" si="5"/>
        <v/>
      </c>
      <c r="AA53" s="48" t="str">
        <f t="shared" si="5"/>
        <v/>
      </c>
      <c r="AB53" s="48" t="str">
        <f t="shared" si="5"/>
        <v/>
      </c>
      <c r="AC53" s="55" t="str">
        <f t="shared" si="5"/>
        <v/>
      </c>
    </row>
    <row r="54" spans="1:29" x14ac:dyDescent="0.35">
      <c r="A54"/>
      <c r="B54" s="62"/>
      <c r="D54" s="63"/>
      <c r="F54" s="54" t="str">
        <f t="shared" si="6"/>
        <v/>
      </c>
      <c r="G54" s="48" t="str">
        <f t="shared" si="6"/>
        <v/>
      </c>
      <c r="H54" s="48" t="str">
        <f t="shared" si="6"/>
        <v/>
      </c>
      <c r="I54" s="48" t="str">
        <f t="shared" si="6"/>
        <v/>
      </c>
      <c r="J54" s="48" t="str">
        <f t="shared" si="6"/>
        <v/>
      </c>
      <c r="K54" s="48" t="str">
        <f t="shared" si="6"/>
        <v/>
      </c>
      <c r="L54" s="48" t="str">
        <f t="shared" si="6"/>
        <v/>
      </c>
      <c r="M54" s="48" t="str">
        <f t="shared" si="6"/>
        <v/>
      </c>
      <c r="N54" s="48" t="str">
        <f t="shared" si="6"/>
        <v/>
      </c>
      <c r="O54" s="48" t="str">
        <f t="shared" si="6"/>
        <v/>
      </c>
      <c r="P54" s="48" t="str">
        <f t="shared" si="5"/>
        <v/>
      </c>
      <c r="Q54" s="48" t="str">
        <f t="shared" si="5"/>
        <v/>
      </c>
      <c r="R54" s="48" t="str">
        <f t="shared" si="5"/>
        <v/>
      </c>
      <c r="S54" s="48" t="str">
        <f t="shared" si="5"/>
        <v/>
      </c>
      <c r="T54" s="48" t="str">
        <f t="shared" si="5"/>
        <v/>
      </c>
      <c r="U54" s="48" t="str">
        <f t="shared" si="5"/>
        <v/>
      </c>
      <c r="V54" s="48" t="str">
        <f t="shared" si="5"/>
        <v/>
      </c>
      <c r="W54" s="48" t="str">
        <f t="shared" si="5"/>
        <v/>
      </c>
      <c r="X54" s="48" t="str">
        <f t="shared" si="5"/>
        <v/>
      </c>
      <c r="Y54" s="48" t="str">
        <f t="shared" si="5"/>
        <v/>
      </c>
      <c r="Z54" s="48" t="str">
        <f t="shared" si="5"/>
        <v/>
      </c>
      <c r="AA54" s="48" t="str">
        <f t="shared" si="5"/>
        <v/>
      </c>
      <c r="AB54" s="48" t="str">
        <f t="shared" si="5"/>
        <v/>
      </c>
      <c r="AC54" s="55" t="str">
        <f t="shared" si="5"/>
        <v/>
      </c>
    </row>
    <row r="55" spans="1:29" x14ac:dyDescent="0.35">
      <c r="A55"/>
      <c r="B55" s="62"/>
      <c r="D55" s="63"/>
      <c r="F55" s="54" t="str">
        <f t="shared" si="6"/>
        <v/>
      </c>
      <c r="G55" s="48" t="str">
        <f t="shared" si="6"/>
        <v/>
      </c>
      <c r="H55" s="48" t="str">
        <f t="shared" si="6"/>
        <v/>
      </c>
      <c r="I55" s="48" t="str">
        <f t="shared" si="6"/>
        <v/>
      </c>
      <c r="J55" s="48" t="str">
        <f t="shared" si="6"/>
        <v/>
      </c>
      <c r="K55" s="48" t="str">
        <f t="shared" si="6"/>
        <v/>
      </c>
      <c r="L55" s="48" t="str">
        <f t="shared" si="6"/>
        <v/>
      </c>
      <c r="M55" s="48" t="str">
        <f t="shared" si="6"/>
        <v/>
      </c>
      <c r="N55" s="48" t="str">
        <f t="shared" si="6"/>
        <v/>
      </c>
      <c r="O55" s="48" t="str">
        <f t="shared" si="6"/>
        <v/>
      </c>
      <c r="P55" s="48" t="str">
        <f t="shared" si="5"/>
        <v/>
      </c>
      <c r="Q55" s="48" t="str">
        <f t="shared" si="5"/>
        <v/>
      </c>
      <c r="R55" s="48" t="str">
        <f t="shared" si="5"/>
        <v/>
      </c>
      <c r="S55" s="48" t="str">
        <f t="shared" si="5"/>
        <v/>
      </c>
      <c r="T55" s="48" t="str">
        <f t="shared" si="5"/>
        <v/>
      </c>
      <c r="U55" s="48" t="str">
        <f t="shared" si="5"/>
        <v/>
      </c>
      <c r="V55" s="48" t="str">
        <f t="shared" si="5"/>
        <v/>
      </c>
      <c r="W55" s="48" t="str">
        <f t="shared" si="5"/>
        <v/>
      </c>
      <c r="X55" s="48" t="str">
        <f t="shared" si="5"/>
        <v/>
      </c>
      <c r="Y55" s="48" t="str">
        <f t="shared" si="5"/>
        <v/>
      </c>
      <c r="Z55" s="48" t="str">
        <f t="shared" si="5"/>
        <v/>
      </c>
      <c r="AA55" s="48" t="str">
        <f t="shared" si="5"/>
        <v/>
      </c>
      <c r="AB55" s="48" t="str">
        <f t="shared" si="5"/>
        <v/>
      </c>
      <c r="AC55" s="55" t="str">
        <f t="shared" si="5"/>
        <v/>
      </c>
    </row>
    <row r="56" spans="1:29" x14ac:dyDescent="0.35">
      <c r="A56"/>
      <c r="B56" s="62"/>
      <c r="D56" s="63"/>
      <c r="F56" s="54" t="str">
        <f t="shared" si="6"/>
        <v/>
      </c>
      <c r="G56" s="48" t="str">
        <f t="shared" si="6"/>
        <v/>
      </c>
      <c r="H56" s="48" t="str">
        <f t="shared" si="6"/>
        <v/>
      </c>
      <c r="I56" s="48" t="str">
        <f t="shared" si="6"/>
        <v/>
      </c>
      <c r="J56" s="48" t="str">
        <f t="shared" si="6"/>
        <v/>
      </c>
      <c r="K56" s="48" t="str">
        <f t="shared" si="6"/>
        <v/>
      </c>
      <c r="L56" s="48" t="str">
        <f t="shared" si="6"/>
        <v/>
      </c>
      <c r="M56" s="48" t="str">
        <f t="shared" si="6"/>
        <v/>
      </c>
      <c r="N56" s="48" t="str">
        <f t="shared" si="6"/>
        <v/>
      </c>
      <c r="O56" s="48" t="str">
        <f t="shared" si="6"/>
        <v/>
      </c>
      <c r="P56" s="48" t="str">
        <f t="shared" si="5"/>
        <v/>
      </c>
      <c r="Q56" s="48" t="str">
        <f t="shared" si="5"/>
        <v/>
      </c>
      <c r="R56" s="48" t="str">
        <f t="shared" si="5"/>
        <v/>
      </c>
      <c r="S56" s="48" t="str">
        <f t="shared" si="5"/>
        <v/>
      </c>
      <c r="T56" s="48" t="str">
        <f t="shared" si="5"/>
        <v/>
      </c>
      <c r="U56" s="48" t="str">
        <f t="shared" si="5"/>
        <v/>
      </c>
      <c r="V56" s="48" t="str">
        <f t="shared" si="5"/>
        <v/>
      </c>
      <c r="W56" s="48" t="str">
        <f t="shared" si="5"/>
        <v/>
      </c>
      <c r="X56" s="48" t="str">
        <f t="shared" si="5"/>
        <v/>
      </c>
      <c r="Y56" s="48" t="str">
        <f t="shared" si="5"/>
        <v/>
      </c>
      <c r="Z56" s="48" t="str">
        <f t="shared" si="5"/>
        <v/>
      </c>
      <c r="AA56" s="48" t="str">
        <f t="shared" si="5"/>
        <v/>
      </c>
      <c r="AB56" s="48" t="str">
        <f t="shared" si="5"/>
        <v/>
      </c>
      <c r="AC56" s="55" t="str">
        <f t="shared" si="5"/>
        <v/>
      </c>
    </row>
    <row r="57" spans="1:29" x14ac:dyDescent="0.35">
      <c r="A57"/>
      <c r="B57" s="62"/>
      <c r="D57" s="63"/>
      <c r="F57" s="54" t="str">
        <f t="shared" si="6"/>
        <v/>
      </c>
      <c r="G57" s="48" t="str">
        <f t="shared" si="6"/>
        <v/>
      </c>
      <c r="H57" s="48" t="str">
        <f t="shared" si="6"/>
        <v/>
      </c>
      <c r="I57" s="48" t="str">
        <f t="shared" si="6"/>
        <v/>
      </c>
      <c r="J57" s="48" t="str">
        <f t="shared" si="6"/>
        <v/>
      </c>
      <c r="K57" s="48" t="str">
        <f t="shared" si="6"/>
        <v/>
      </c>
      <c r="L57" s="48" t="str">
        <f t="shared" si="6"/>
        <v/>
      </c>
      <c r="M57" s="48" t="str">
        <f t="shared" si="6"/>
        <v/>
      </c>
      <c r="N57" s="48" t="str">
        <f t="shared" si="6"/>
        <v/>
      </c>
      <c r="O57" s="48" t="str">
        <f t="shared" si="6"/>
        <v/>
      </c>
      <c r="P57" s="48" t="str">
        <f t="shared" si="5"/>
        <v/>
      </c>
      <c r="Q57" s="48" t="str">
        <f t="shared" si="5"/>
        <v/>
      </c>
      <c r="R57" s="48" t="str">
        <f t="shared" si="5"/>
        <v/>
      </c>
      <c r="S57" s="48" t="str">
        <f t="shared" si="5"/>
        <v/>
      </c>
      <c r="T57" s="48" t="str">
        <f t="shared" si="5"/>
        <v/>
      </c>
      <c r="U57" s="48" t="str">
        <f t="shared" si="5"/>
        <v/>
      </c>
      <c r="V57" s="48" t="str">
        <f t="shared" si="5"/>
        <v/>
      </c>
      <c r="W57" s="48" t="str">
        <f t="shared" si="5"/>
        <v/>
      </c>
      <c r="X57" s="48" t="str">
        <f t="shared" si="5"/>
        <v/>
      </c>
      <c r="Y57" s="48" t="str">
        <f t="shared" si="5"/>
        <v/>
      </c>
      <c r="Z57" s="48" t="str">
        <f t="shared" si="5"/>
        <v/>
      </c>
      <c r="AA57" s="48" t="str">
        <f t="shared" si="5"/>
        <v/>
      </c>
      <c r="AB57" s="48" t="str">
        <f t="shared" si="5"/>
        <v/>
      </c>
      <c r="AC57" s="55" t="str">
        <f t="shared" si="5"/>
        <v/>
      </c>
    </row>
    <row r="58" spans="1:29" x14ac:dyDescent="0.35">
      <c r="A58"/>
      <c r="B58" s="62"/>
      <c r="D58" s="63"/>
      <c r="F58" s="54" t="str">
        <f t="shared" si="6"/>
        <v/>
      </c>
      <c r="G58" s="48" t="str">
        <f t="shared" si="6"/>
        <v/>
      </c>
      <c r="H58" s="48" t="str">
        <f t="shared" si="6"/>
        <v/>
      </c>
      <c r="I58" s="48" t="str">
        <f t="shared" si="6"/>
        <v/>
      </c>
      <c r="J58" s="48" t="str">
        <f t="shared" si="6"/>
        <v/>
      </c>
      <c r="K58" s="48" t="str">
        <f t="shared" si="6"/>
        <v/>
      </c>
      <c r="L58" s="48" t="str">
        <f t="shared" si="6"/>
        <v/>
      </c>
      <c r="M58" s="48" t="str">
        <f t="shared" si="6"/>
        <v/>
      </c>
      <c r="N58" s="48" t="str">
        <f t="shared" si="6"/>
        <v/>
      </c>
      <c r="O58" s="48" t="str">
        <f t="shared" si="6"/>
        <v/>
      </c>
      <c r="P58" s="48" t="str">
        <f t="shared" si="5"/>
        <v/>
      </c>
      <c r="Q58" s="48" t="str">
        <f t="shared" si="5"/>
        <v/>
      </c>
      <c r="R58" s="48" t="str">
        <f t="shared" si="5"/>
        <v/>
      </c>
      <c r="S58" s="48" t="str">
        <f t="shared" si="5"/>
        <v/>
      </c>
      <c r="T58" s="48" t="str">
        <f t="shared" si="5"/>
        <v/>
      </c>
      <c r="U58" s="48" t="str">
        <f t="shared" si="5"/>
        <v/>
      </c>
      <c r="V58" s="48" t="str">
        <f t="shared" si="5"/>
        <v/>
      </c>
      <c r="W58" s="48" t="str">
        <f t="shared" si="5"/>
        <v/>
      </c>
      <c r="X58" s="48" t="str">
        <f t="shared" si="5"/>
        <v/>
      </c>
      <c r="Y58" s="48" t="str">
        <f t="shared" si="5"/>
        <v/>
      </c>
      <c r="Z58" s="48" t="str">
        <f t="shared" si="5"/>
        <v/>
      </c>
      <c r="AA58" s="48" t="str">
        <f t="shared" si="5"/>
        <v/>
      </c>
      <c r="AB58" s="48" t="str">
        <f t="shared" si="5"/>
        <v/>
      </c>
      <c r="AC58" s="55" t="str">
        <f t="shared" si="5"/>
        <v/>
      </c>
    </row>
    <row r="59" spans="1:29" x14ac:dyDescent="0.35">
      <c r="A59"/>
      <c r="B59" s="62"/>
      <c r="D59" s="63"/>
      <c r="F59" s="54" t="str">
        <f t="shared" si="6"/>
        <v/>
      </c>
      <c r="G59" s="48" t="str">
        <f t="shared" si="6"/>
        <v/>
      </c>
      <c r="H59" s="48" t="str">
        <f t="shared" si="6"/>
        <v/>
      </c>
      <c r="I59" s="48" t="str">
        <f t="shared" si="6"/>
        <v/>
      </c>
      <c r="J59" s="48" t="str">
        <f t="shared" si="6"/>
        <v/>
      </c>
      <c r="K59" s="48" t="str">
        <f t="shared" si="6"/>
        <v/>
      </c>
      <c r="L59" s="48" t="str">
        <f t="shared" si="6"/>
        <v/>
      </c>
      <c r="M59" s="48" t="str">
        <f t="shared" si="6"/>
        <v/>
      </c>
      <c r="N59" s="48" t="str">
        <f t="shared" si="6"/>
        <v/>
      </c>
      <c r="O59" s="48" t="str">
        <f t="shared" si="6"/>
        <v/>
      </c>
      <c r="P59" s="48" t="str">
        <f t="shared" si="5"/>
        <v/>
      </c>
      <c r="Q59" s="48" t="str">
        <f t="shared" si="5"/>
        <v/>
      </c>
      <c r="R59" s="48" t="str">
        <f t="shared" si="5"/>
        <v/>
      </c>
      <c r="S59" s="48" t="str">
        <f t="shared" si="5"/>
        <v/>
      </c>
      <c r="T59" s="48" t="str">
        <f t="shared" si="5"/>
        <v/>
      </c>
      <c r="U59" s="48" t="str">
        <f t="shared" si="5"/>
        <v/>
      </c>
      <c r="V59" s="48" t="str">
        <f t="shared" si="5"/>
        <v/>
      </c>
      <c r="W59" s="48" t="str">
        <f t="shared" si="5"/>
        <v/>
      </c>
      <c r="X59" s="48" t="str">
        <f t="shared" si="5"/>
        <v/>
      </c>
      <c r="Y59" s="48" t="str">
        <f t="shared" si="5"/>
        <v/>
      </c>
      <c r="Z59" s="48" t="str">
        <f t="shared" si="5"/>
        <v/>
      </c>
      <c r="AA59" s="48" t="str">
        <f t="shared" si="5"/>
        <v/>
      </c>
      <c r="AB59" s="48" t="str">
        <f t="shared" ref="P59:AC78" si="7">IF(AND(AB$6&gt;=$C59, AB$6&lt;=$D59),"1","")</f>
        <v/>
      </c>
      <c r="AC59" s="55" t="str">
        <f t="shared" si="7"/>
        <v/>
      </c>
    </row>
    <row r="60" spans="1:29" x14ac:dyDescent="0.35">
      <c r="A60"/>
      <c r="B60" s="62"/>
      <c r="D60" s="63"/>
      <c r="F60" s="54" t="str">
        <f t="shared" si="6"/>
        <v/>
      </c>
      <c r="G60" s="48" t="str">
        <f t="shared" si="6"/>
        <v/>
      </c>
      <c r="H60" s="48" t="str">
        <f t="shared" si="6"/>
        <v/>
      </c>
      <c r="I60" s="48" t="str">
        <f t="shared" si="6"/>
        <v/>
      </c>
      <c r="J60" s="48" t="str">
        <f t="shared" si="6"/>
        <v/>
      </c>
      <c r="K60" s="48" t="str">
        <f t="shared" si="6"/>
        <v/>
      </c>
      <c r="L60" s="48" t="str">
        <f t="shared" si="6"/>
        <v/>
      </c>
      <c r="M60" s="48" t="str">
        <f t="shared" si="6"/>
        <v/>
      </c>
      <c r="N60" s="48" t="str">
        <f t="shared" si="6"/>
        <v/>
      </c>
      <c r="O60" s="48" t="str">
        <f t="shared" si="6"/>
        <v/>
      </c>
      <c r="P60" s="48" t="str">
        <f t="shared" si="7"/>
        <v/>
      </c>
      <c r="Q60" s="48" t="str">
        <f t="shared" si="7"/>
        <v/>
      </c>
      <c r="R60" s="48" t="str">
        <f t="shared" si="7"/>
        <v/>
      </c>
      <c r="S60" s="48" t="str">
        <f t="shared" si="7"/>
        <v/>
      </c>
      <c r="T60" s="48" t="str">
        <f t="shared" si="7"/>
        <v/>
      </c>
      <c r="U60" s="48" t="str">
        <f t="shared" si="7"/>
        <v/>
      </c>
      <c r="V60" s="48" t="str">
        <f t="shared" si="7"/>
        <v/>
      </c>
      <c r="W60" s="48" t="str">
        <f t="shared" si="7"/>
        <v/>
      </c>
      <c r="X60" s="48" t="str">
        <f t="shared" si="7"/>
        <v/>
      </c>
      <c r="Y60" s="48" t="str">
        <f t="shared" si="7"/>
        <v/>
      </c>
      <c r="Z60" s="48" t="str">
        <f t="shared" si="7"/>
        <v/>
      </c>
      <c r="AA60" s="48" t="str">
        <f t="shared" si="7"/>
        <v/>
      </c>
      <c r="AB60" s="48" t="str">
        <f t="shared" si="7"/>
        <v/>
      </c>
      <c r="AC60" s="55" t="str">
        <f t="shared" si="7"/>
        <v/>
      </c>
    </row>
    <row r="61" spans="1:29" x14ac:dyDescent="0.35">
      <c r="A61"/>
      <c r="B61" s="62"/>
      <c r="D61" s="63"/>
      <c r="F61" s="54" t="str">
        <f t="shared" si="6"/>
        <v/>
      </c>
      <c r="G61" s="48" t="str">
        <f t="shared" si="6"/>
        <v/>
      </c>
      <c r="H61" s="48" t="str">
        <f t="shared" si="6"/>
        <v/>
      </c>
      <c r="I61" s="48" t="str">
        <f t="shared" si="6"/>
        <v/>
      </c>
      <c r="J61" s="48" t="str">
        <f t="shared" si="6"/>
        <v/>
      </c>
      <c r="K61" s="48" t="str">
        <f t="shared" si="6"/>
        <v/>
      </c>
      <c r="L61" s="48" t="str">
        <f t="shared" si="6"/>
        <v/>
      </c>
      <c r="M61" s="48" t="str">
        <f t="shared" si="6"/>
        <v/>
      </c>
      <c r="N61" s="48" t="str">
        <f t="shared" si="6"/>
        <v/>
      </c>
      <c r="O61" s="48" t="str">
        <f t="shared" si="6"/>
        <v/>
      </c>
      <c r="P61" s="48" t="str">
        <f t="shared" si="7"/>
        <v/>
      </c>
      <c r="Q61" s="48" t="str">
        <f t="shared" si="7"/>
        <v/>
      </c>
      <c r="R61" s="48" t="str">
        <f t="shared" si="7"/>
        <v/>
      </c>
      <c r="S61" s="48" t="str">
        <f t="shared" si="7"/>
        <v/>
      </c>
      <c r="T61" s="48" t="str">
        <f t="shared" si="7"/>
        <v/>
      </c>
      <c r="U61" s="48" t="str">
        <f t="shared" si="7"/>
        <v/>
      </c>
      <c r="V61" s="48" t="str">
        <f t="shared" si="7"/>
        <v/>
      </c>
      <c r="W61" s="48" t="str">
        <f t="shared" si="7"/>
        <v/>
      </c>
      <c r="X61" s="48" t="str">
        <f t="shared" si="7"/>
        <v/>
      </c>
      <c r="Y61" s="48" t="str">
        <f t="shared" si="7"/>
        <v/>
      </c>
      <c r="Z61" s="48" t="str">
        <f t="shared" si="7"/>
        <v/>
      </c>
      <c r="AA61" s="48" t="str">
        <f t="shared" si="7"/>
        <v/>
      </c>
      <c r="AB61" s="48" t="str">
        <f t="shared" si="7"/>
        <v/>
      </c>
      <c r="AC61" s="55" t="str">
        <f t="shared" si="7"/>
        <v/>
      </c>
    </row>
    <row r="62" spans="1:29" x14ac:dyDescent="0.35">
      <c r="A62"/>
      <c r="B62" s="62"/>
      <c r="D62" s="63"/>
      <c r="F62" s="54" t="str">
        <f t="shared" si="6"/>
        <v/>
      </c>
      <c r="G62" s="48" t="str">
        <f t="shared" si="6"/>
        <v/>
      </c>
      <c r="H62" s="48" t="str">
        <f t="shared" si="6"/>
        <v/>
      </c>
      <c r="I62" s="48" t="str">
        <f t="shared" si="6"/>
        <v/>
      </c>
      <c r="J62" s="48" t="str">
        <f t="shared" si="6"/>
        <v/>
      </c>
      <c r="K62" s="48" t="str">
        <f t="shared" si="6"/>
        <v/>
      </c>
      <c r="L62" s="48" t="str">
        <f t="shared" si="6"/>
        <v/>
      </c>
      <c r="M62" s="48" t="str">
        <f t="shared" si="6"/>
        <v/>
      </c>
      <c r="N62" s="48" t="str">
        <f t="shared" si="6"/>
        <v/>
      </c>
      <c r="O62" s="48" t="str">
        <f t="shared" si="6"/>
        <v/>
      </c>
      <c r="P62" s="48" t="str">
        <f t="shared" si="7"/>
        <v/>
      </c>
      <c r="Q62" s="48" t="str">
        <f t="shared" si="7"/>
        <v/>
      </c>
      <c r="R62" s="48" t="str">
        <f t="shared" si="7"/>
        <v/>
      </c>
      <c r="S62" s="48" t="str">
        <f t="shared" si="7"/>
        <v/>
      </c>
      <c r="T62" s="48" t="str">
        <f t="shared" si="7"/>
        <v/>
      </c>
      <c r="U62" s="48" t="str">
        <f t="shared" si="7"/>
        <v/>
      </c>
      <c r="V62" s="48" t="str">
        <f t="shared" si="7"/>
        <v/>
      </c>
      <c r="W62" s="48" t="str">
        <f t="shared" si="7"/>
        <v/>
      </c>
      <c r="X62" s="48" t="str">
        <f t="shared" si="7"/>
        <v/>
      </c>
      <c r="Y62" s="48" t="str">
        <f t="shared" si="7"/>
        <v/>
      </c>
      <c r="Z62" s="48" t="str">
        <f t="shared" si="7"/>
        <v/>
      </c>
      <c r="AA62" s="48" t="str">
        <f t="shared" si="7"/>
        <v/>
      </c>
      <c r="AB62" s="48" t="str">
        <f t="shared" si="7"/>
        <v/>
      </c>
      <c r="AC62" s="55" t="str">
        <f t="shared" si="7"/>
        <v/>
      </c>
    </row>
    <row r="63" spans="1:29" x14ac:dyDescent="0.35">
      <c r="A63"/>
      <c r="B63" s="62"/>
      <c r="D63" s="63"/>
      <c r="F63" s="54" t="str">
        <f t="shared" si="6"/>
        <v/>
      </c>
      <c r="G63" s="48" t="str">
        <f t="shared" si="6"/>
        <v/>
      </c>
      <c r="H63" s="48" t="str">
        <f t="shared" si="6"/>
        <v/>
      </c>
      <c r="I63" s="48" t="str">
        <f t="shared" si="6"/>
        <v/>
      </c>
      <c r="J63" s="48" t="str">
        <f t="shared" si="6"/>
        <v/>
      </c>
      <c r="K63" s="48" t="str">
        <f t="shared" si="6"/>
        <v/>
      </c>
      <c r="L63" s="48" t="str">
        <f t="shared" si="6"/>
        <v/>
      </c>
      <c r="M63" s="48" t="str">
        <f t="shared" si="6"/>
        <v/>
      </c>
      <c r="N63" s="48" t="str">
        <f t="shared" si="6"/>
        <v/>
      </c>
      <c r="O63" s="48" t="str">
        <f t="shared" si="6"/>
        <v/>
      </c>
      <c r="P63" s="48" t="str">
        <f t="shared" si="7"/>
        <v/>
      </c>
      <c r="Q63" s="48" t="str">
        <f t="shared" si="7"/>
        <v/>
      </c>
      <c r="R63" s="48" t="str">
        <f t="shared" si="7"/>
        <v/>
      </c>
      <c r="S63" s="48" t="str">
        <f t="shared" si="7"/>
        <v/>
      </c>
      <c r="T63" s="48" t="str">
        <f t="shared" si="7"/>
        <v/>
      </c>
      <c r="U63" s="48" t="str">
        <f t="shared" si="7"/>
        <v/>
      </c>
      <c r="V63" s="48" t="str">
        <f t="shared" si="7"/>
        <v/>
      </c>
      <c r="W63" s="48" t="str">
        <f t="shared" si="7"/>
        <v/>
      </c>
      <c r="X63" s="48" t="str">
        <f t="shared" si="7"/>
        <v/>
      </c>
      <c r="Y63" s="48" t="str">
        <f t="shared" si="7"/>
        <v/>
      </c>
      <c r="Z63" s="48" t="str">
        <f t="shared" si="7"/>
        <v/>
      </c>
      <c r="AA63" s="48" t="str">
        <f t="shared" si="7"/>
        <v/>
      </c>
      <c r="AB63" s="48" t="str">
        <f t="shared" si="7"/>
        <v/>
      </c>
      <c r="AC63" s="55" t="str">
        <f t="shared" si="7"/>
        <v/>
      </c>
    </row>
    <row r="64" spans="1:29" x14ac:dyDescent="0.35">
      <c r="A64"/>
      <c r="B64" s="62"/>
      <c r="D64" s="63"/>
      <c r="F64" s="54" t="str">
        <f t="shared" si="6"/>
        <v/>
      </c>
      <c r="G64" s="48" t="str">
        <f t="shared" si="6"/>
        <v/>
      </c>
      <c r="H64" s="48" t="str">
        <f t="shared" si="6"/>
        <v/>
      </c>
      <c r="I64" s="48" t="str">
        <f t="shared" si="6"/>
        <v/>
      </c>
      <c r="J64" s="48" t="str">
        <f t="shared" si="6"/>
        <v/>
      </c>
      <c r="K64" s="48" t="str">
        <f t="shared" si="6"/>
        <v/>
      </c>
      <c r="L64" s="48" t="str">
        <f t="shared" si="6"/>
        <v/>
      </c>
      <c r="M64" s="48" t="str">
        <f t="shared" si="6"/>
        <v/>
      </c>
      <c r="N64" s="48" t="str">
        <f t="shared" si="6"/>
        <v/>
      </c>
      <c r="O64" s="48" t="str">
        <f t="shared" si="6"/>
        <v/>
      </c>
      <c r="P64" s="48" t="str">
        <f t="shared" si="7"/>
        <v/>
      </c>
      <c r="Q64" s="48" t="str">
        <f t="shared" si="7"/>
        <v/>
      </c>
      <c r="R64" s="48" t="str">
        <f t="shared" si="7"/>
        <v/>
      </c>
      <c r="S64" s="48" t="str">
        <f t="shared" si="7"/>
        <v/>
      </c>
      <c r="T64" s="48" t="str">
        <f t="shared" si="7"/>
        <v/>
      </c>
      <c r="U64" s="48" t="str">
        <f t="shared" si="7"/>
        <v/>
      </c>
      <c r="V64" s="48" t="str">
        <f t="shared" si="7"/>
        <v/>
      </c>
      <c r="W64" s="48" t="str">
        <f t="shared" si="7"/>
        <v/>
      </c>
      <c r="X64" s="48" t="str">
        <f t="shared" si="7"/>
        <v/>
      </c>
      <c r="Y64" s="48" t="str">
        <f t="shared" si="7"/>
        <v/>
      </c>
      <c r="Z64" s="48" t="str">
        <f t="shared" si="7"/>
        <v/>
      </c>
      <c r="AA64" s="48" t="str">
        <f t="shared" si="7"/>
        <v/>
      </c>
      <c r="AB64" s="48" t="str">
        <f t="shared" si="7"/>
        <v/>
      </c>
      <c r="AC64" s="55" t="str">
        <f t="shared" si="7"/>
        <v/>
      </c>
    </row>
    <row r="65" spans="1:29" x14ac:dyDescent="0.35">
      <c r="A65"/>
      <c r="B65" s="62"/>
      <c r="D65" s="63"/>
      <c r="F65" s="54" t="str">
        <f t="shared" si="6"/>
        <v/>
      </c>
      <c r="G65" s="48" t="str">
        <f t="shared" si="6"/>
        <v/>
      </c>
      <c r="H65" s="48" t="str">
        <f t="shared" si="6"/>
        <v/>
      </c>
      <c r="I65" s="48" t="str">
        <f t="shared" si="6"/>
        <v/>
      </c>
      <c r="J65" s="48" t="str">
        <f t="shared" si="6"/>
        <v/>
      </c>
      <c r="K65" s="48" t="str">
        <f t="shared" si="6"/>
        <v/>
      </c>
      <c r="L65" s="48" t="str">
        <f t="shared" si="6"/>
        <v/>
      </c>
      <c r="M65" s="48" t="str">
        <f t="shared" si="6"/>
        <v/>
      </c>
      <c r="N65" s="48" t="str">
        <f t="shared" si="6"/>
        <v/>
      </c>
      <c r="O65" s="48" t="str">
        <f t="shared" si="6"/>
        <v/>
      </c>
      <c r="P65" s="48" t="str">
        <f t="shared" si="7"/>
        <v/>
      </c>
      <c r="Q65" s="48" t="str">
        <f t="shared" si="7"/>
        <v/>
      </c>
      <c r="R65" s="48" t="str">
        <f t="shared" si="7"/>
        <v/>
      </c>
      <c r="S65" s="48" t="str">
        <f t="shared" si="7"/>
        <v/>
      </c>
      <c r="T65" s="48" t="str">
        <f t="shared" si="7"/>
        <v/>
      </c>
      <c r="U65" s="48" t="str">
        <f t="shared" si="7"/>
        <v/>
      </c>
      <c r="V65" s="48" t="str">
        <f t="shared" si="7"/>
        <v/>
      </c>
      <c r="W65" s="48" t="str">
        <f t="shared" si="7"/>
        <v/>
      </c>
      <c r="X65" s="48" t="str">
        <f t="shared" si="7"/>
        <v/>
      </c>
      <c r="Y65" s="48" t="str">
        <f t="shared" si="7"/>
        <v/>
      </c>
      <c r="Z65" s="48" t="str">
        <f t="shared" si="7"/>
        <v/>
      </c>
      <c r="AA65" s="48" t="str">
        <f t="shared" si="7"/>
        <v/>
      </c>
      <c r="AB65" s="48" t="str">
        <f t="shared" si="7"/>
        <v/>
      </c>
      <c r="AC65" s="55" t="str">
        <f t="shared" si="7"/>
        <v/>
      </c>
    </row>
    <row r="66" spans="1:29" x14ac:dyDescent="0.35">
      <c r="A66"/>
      <c r="B66" s="62"/>
      <c r="D66" s="63"/>
      <c r="F66" s="54" t="str">
        <f t="shared" si="6"/>
        <v/>
      </c>
      <c r="G66" s="48" t="str">
        <f t="shared" si="6"/>
        <v/>
      </c>
      <c r="H66" s="48" t="str">
        <f t="shared" si="6"/>
        <v/>
      </c>
      <c r="I66" s="48" t="str">
        <f t="shared" si="6"/>
        <v/>
      </c>
      <c r="J66" s="48" t="str">
        <f t="shared" si="6"/>
        <v/>
      </c>
      <c r="K66" s="48" t="str">
        <f t="shared" si="6"/>
        <v/>
      </c>
      <c r="L66" s="48" t="str">
        <f t="shared" si="6"/>
        <v/>
      </c>
      <c r="M66" s="48" t="str">
        <f t="shared" si="6"/>
        <v/>
      </c>
      <c r="N66" s="48" t="str">
        <f t="shared" si="6"/>
        <v/>
      </c>
      <c r="O66" s="48" t="str">
        <f t="shared" si="6"/>
        <v/>
      </c>
      <c r="P66" s="48" t="str">
        <f t="shared" si="7"/>
        <v/>
      </c>
      <c r="Q66" s="48" t="str">
        <f t="shared" si="7"/>
        <v/>
      </c>
      <c r="R66" s="48" t="str">
        <f t="shared" si="7"/>
        <v/>
      </c>
      <c r="S66" s="48" t="str">
        <f t="shared" si="7"/>
        <v/>
      </c>
      <c r="T66" s="48" t="str">
        <f t="shared" si="7"/>
        <v/>
      </c>
      <c r="U66" s="48" t="str">
        <f t="shared" si="7"/>
        <v/>
      </c>
      <c r="V66" s="48" t="str">
        <f t="shared" si="7"/>
        <v/>
      </c>
      <c r="W66" s="48" t="str">
        <f t="shared" si="7"/>
        <v/>
      </c>
      <c r="X66" s="48" t="str">
        <f t="shared" si="7"/>
        <v/>
      </c>
      <c r="Y66" s="48" t="str">
        <f t="shared" si="7"/>
        <v/>
      </c>
      <c r="Z66" s="48" t="str">
        <f t="shared" si="7"/>
        <v/>
      </c>
      <c r="AA66" s="48" t="str">
        <f t="shared" si="7"/>
        <v/>
      </c>
      <c r="AB66" s="48" t="str">
        <f t="shared" si="7"/>
        <v/>
      </c>
      <c r="AC66" s="55" t="str">
        <f t="shared" si="7"/>
        <v/>
      </c>
    </row>
    <row r="67" spans="1:29" x14ac:dyDescent="0.35">
      <c r="A67"/>
      <c r="B67" s="62"/>
      <c r="D67" s="63"/>
      <c r="F67" s="54" t="str">
        <f t="shared" si="6"/>
        <v/>
      </c>
      <c r="G67" s="48" t="str">
        <f t="shared" si="6"/>
        <v/>
      </c>
      <c r="H67" s="48" t="str">
        <f t="shared" si="6"/>
        <v/>
      </c>
      <c r="I67" s="48" t="str">
        <f t="shared" si="6"/>
        <v/>
      </c>
      <c r="J67" s="48" t="str">
        <f t="shared" si="6"/>
        <v/>
      </c>
      <c r="K67" s="48" t="str">
        <f t="shared" si="6"/>
        <v/>
      </c>
      <c r="L67" s="48" t="str">
        <f t="shared" si="6"/>
        <v/>
      </c>
      <c r="M67" s="48" t="str">
        <f t="shared" si="6"/>
        <v/>
      </c>
      <c r="N67" s="48" t="str">
        <f t="shared" si="6"/>
        <v/>
      </c>
      <c r="O67" s="48" t="str">
        <f t="shared" si="6"/>
        <v/>
      </c>
      <c r="P67" s="48" t="str">
        <f t="shared" si="7"/>
        <v/>
      </c>
      <c r="Q67" s="48" t="str">
        <f t="shared" si="7"/>
        <v/>
      </c>
      <c r="R67" s="48" t="str">
        <f t="shared" si="7"/>
        <v/>
      </c>
      <c r="S67" s="48" t="str">
        <f t="shared" si="7"/>
        <v/>
      </c>
      <c r="T67" s="48" t="str">
        <f t="shared" si="7"/>
        <v/>
      </c>
      <c r="U67" s="48" t="str">
        <f t="shared" si="7"/>
        <v/>
      </c>
      <c r="V67" s="48" t="str">
        <f t="shared" si="7"/>
        <v/>
      </c>
      <c r="W67" s="48" t="str">
        <f t="shared" si="7"/>
        <v/>
      </c>
      <c r="X67" s="48" t="str">
        <f t="shared" si="7"/>
        <v/>
      </c>
      <c r="Y67" s="48" t="str">
        <f t="shared" si="7"/>
        <v/>
      </c>
      <c r="Z67" s="48" t="str">
        <f t="shared" si="7"/>
        <v/>
      </c>
      <c r="AA67" s="48" t="str">
        <f t="shared" si="7"/>
        <v/>
      </c>
      <c r="AB67" s="48" t="str">
        <f t="shared" si="7"/>
        <v/>
      </c>
      <c r="AC67" s="55" t="str">
        <f t="shared" si="7"/>
        <v/>
      </c>
    </row>
    <row r="68" spans="1:29" x14ac:dyDescent="0.35">
      <c r="A68"/>
      <c r="B68" s="62"/>
      <c r="D68" s="63"/>
      <c r="F68" s="54" t="str">
        <f t="shared" si="6"/>
        <v/>
      </c>
      <c r="G68" s="48" t="str">
        <f t="shared" si="6"/>
        <v/>
      </c>
      <c r="H68" s="48" t="str">
        <f t="shared" si="6"/>
        <v/>
      </c>
      <c r="I68" s="48" t="str">
        <f t="shared" si="6"/>
        <v/>
      </c>
      <c r="J68" s="48" t="str">
        <f t="shared" si="6"/>
        <v/>
      </c>
      <c r="K68" s="48" t="str">
        <f t="shared" si="6"/>
        <v/>
      </c>
      <c r="L68" s="48" t="str">
        <f t="shared" si="6"/>
        <v/>
      </c>
      <c r="M68" s="48" t="str">
        <f t="shared" si="6"/>
        <v/>
      </c>
      <c r="N68" s="48" t="str">
        <f t="shared" si="6"/>
        <v/>
      </c>
      <c r="O68" s="48" t="str">
        <f t="shared" si="6"/>
        <v/>
      </c>
      <c r="P68" s="48" t="str">
        <f t="shared" si="7"/>
        <v/>
      </c>
      <c r="Q68" s="48" t="str">
        <f t="shared" si="7"/>
        <v/>
      </c>
      <c r="R68" s="48" t="str">
        <f t="shared" si="7"/>
        <v/>
      </c>
      <c r="S68" s="48" t="str">
        <f t="shared" si="7"/>
        <v/>
      </c>
      <c r="T68" s="48" t="str">
        <f t="shared" si="7"/>
        <v/>
      </c>
      <c r="U68" s="48" t="str">
        <f t="shared" si="7"/>
        <v/>
      </c>
      <c r="V68" s="48" t="str">
        <f t="shared" si="7"/>
        <v/>
      </c>
      <c r="W68" s="48" t="str">
        <f t="shared" si="7"/>
        <v/>
      </c>
      <c r="X68" s="48" t="str">
        <f t="shared" si="7"/>
        <v/>
      </c>
      <c r="Y68" s="48" t="str">
        <f t="shared" si="7"/>
        <v/>
      </c>
      <c r="Z68" s="48" t="str">
        <f t="shared" si="7"/>
        <v/>
      </c>
      <c r="AA68" s="48" t="str">
        <f t="shared" si="7"/>
        <v/>
      </c>
      <c r="AB68" s="48" t="str">
        <f t="shared" si="7"/>
        <v/>
      </c>
      <c r="AC68" s="55" t="str">
        <f t="shared" si="7"/>
        <v/>
      </c>
    </row>
    <row r="69" spans="1:29" x14ac:dyDescent="0.35">
      <c r="A69"/>
      <c r="B69" s="62"/>
      <c r="D69" s="63"/>
      <c r="F69" s="54" t="str">
        <f t="shared" si="6"/>
        <v/>
      </c>
      <c r="G69" s="48" t="str">
        <f t="shared" si="6"/>
        <v/>
      </c>
      <c r="H69" s="48" t="str">
        <f t="shared" si="6"/>
        <v/>
      </c>
      <c r="I69" s="48" t="str">
        <f t="shared" si="6"/>
        <v/>
      </c>
      <c r="J69" s="48" t="str">
        <f t="shared" si="6"/>
        <v/>
      </c>
      <c r="K69" s="48" t="str">
        <f t="shared" si="6"/>
        <v/>
      </c>
      <c r="L69" s="48" t="str">
        <f t="shared" si="6"/>
        <v/>
      </c>
      <c r="M69" s="48" t="str">
        <f t="shared" si="6"/>
        <v/>
      </c>
      <c r="N69" s="48" t="str">
        <f t="shared" si="6"/>
        <v/>
      </c>
      <c r="O69" s="48" t="str">
        <f t="shared" si="6"/>
        <v/>
      </c>
      <c r="P69" s="48" t="str">
        <f t="shared" si="7"/>
        <v/>
      </c>
      <c r="Q69" s="48" t="str">
        <f t="shared" si="7"/>
        <v/>
      </c>
      <c r="R69" s="48" t="str">
        <f t="shared" si="7"/>
        <v/>
      </c>
      <c r="S69" s="48" t="str">
        <f t="shared" si="7"/>
        <v/>
      </c>
      <c r="T69" s="48" t="str">
        <f t="shared" si="7"/>
        <v/>
      </c>
      <c r="U69" s="48" t="str">
        <f t="shared" si="7"/>
        <v/>
      </c>
      <c r="V69" s="48" t="str">
        <f t="shared" si="7"/>
        <v/>
      </c>
      <c r="W69" s="48" t="str">
        <f t="shared" si="7"/>
        <v/>
      </c>
      <c r="X69" s="48" t="str">
        <f t="shared" si="7"/>
        <v/>
      </c>
      <c r="Y69" s="48" t="str">
        <f t="shared" si="7"/>
        <v/>
      </c>
      <c r="Z69" s="48" t="str">
        <f t="shared" si="7"/>
        <v/>
      </c>
      <c r="AA69" s="48" t="str">
        <f t="shared" si="7"/>
        <v/>
      </c>
      <c r="AB69" s="48" t="str">
        <f t="shared" si="7"/>
        <v/>
      </c>
      <c r="AC69" s="55" t="str">
        <f t="shared" si="7"/>
        <v/>
      </c>
    </row>
    <row r="70" spans="1:29" x14ac:dyDescent="0.35">
      <c r="A70"/>
      <c r="B70" s="62"/>
      <c r="D70" s="63"/>
      <c r="F70" s="54" t="str">
        <f t="shared" si="6"/>
        <v/>
      </c>
      <c r="G70" s="48" t="str">
        <f t="shared" si="6"/>
        <v/>
      </c>
      <c r="H70" s="48" t="str">
        <f t="shared" si="6"/>
        <v/>
      </c>
      <c r="I70" s="48" t="str">
        <f t="shared" si="6"/>
        <v/>
      </c>
      <c r="J70" s="48" t="str">
        <f t="shared" si="6"/>
        <v/>
      </c>
      <c r="K70" s="48" t="str">
        <f t="shared" si="6"/>
        <v/>
      </c>
      <c r="L70" s="48" t="str">
        <f t="shared" si="6"/>
        <v/>
      </c>
      <c r="M70" s="48" t="str">
        <f t="shared" si="6"/>
        <v/>
      </c>
      <c r="N70" s="48" t="str">
        <f t="shared" si="6"/>
        <v/>
      </c>
      <c r="O70" s="48" t="str">
        <f t="shared" si="6"/>
        <v/>
      </c>
      <c r="P70" s="48" t="str">
        <f t="shared" si="7"/>
        <v/>
      </c>
      <c r="Q70" s="48" t="str">
        <f t="shared" si="7"/>
        <v/>
      </c>
      <c r="R70" s="48" t="str">
        <f t="shared" si="7"/>
        <v/>
      </c>
      <c r="S70" s="48" t="str">
        <f t="shared" si="7"/>
        <v/>
      </c>
      <c r="T70" s="48" t="str">
        <f t="shared" si="7"/>
        <v/>
      </c>
      <c r="U70" s="48" t="str">
        <f t="shared" si="7"/>
        <v/>
      </c>
      <c r="V70" s="48" t="str">
        <f t="shared" si="7"/>
        <v/>
      </c>
      <c r="W70" s="48" t="str">
        <f t="shared" si="7"/>
        <v/>
      </c>
      <c r="X70" s="48" t="str">
        <f t="shared" si="7"/>
        <v/>
      </c>
      <c r="Y70" s="48" t="str">
        <f t="shared" si="7"/>
        <v/>
      </c>
      <c r="Z70" s="48" t="str">
        <f t="shared" si="7"/>
        <v/>
      </c>
      <c r="AA70" s="48" t="str">
        <f t="shared" si="7"/>
        <v/>
      </c>
      <c r="AB70" s="48" t="str">
        <f t="shared" si="7"/>
        <v/>
      </c>
      <c r="AC70" s="55" t="str">
        <f t="shared" si="7"/>
        <v/>
      </c>
    </row>
    <row r="71" spans="1:29" x14ac:dyDescent="0.35">
      <c r="A71"/>
      <c r="B71" s="62"/>
      <c r="D71" s="63"/>
      <c r="F71" s="54" t="str">
        <f t="shared" si="6"/>
        <v/>
      </c>
      <c r="G71" s="48" t="str">
        <f t="shared" si="6"/>
        <v/>
      </c>
      <c r="H71" s="48" t="str">
        <f t="shared" si="6"/>
        <v/>
      </c>
      <c r="I71" s="48" t="str">
        <f t="shared" si="6"/>
        <v/>
      </c>
      <c r="J71" s="48" t="str">
        <f t="shared" si="6"/>
        <v/>
      </c>
      <c r="K71" s="48" t="str">
        <f t="shared" si="6"/>
        <v/>
      </c>
      <c r="L71" s="48" t="str">
        <f t="shared" si="6"/>
        <v/>
      </c>
      <c r="M71" s="48" t="str">
        <f t="shared" si="6"/>
        <v/>
      </c>
      <c r="N71" s="48" t="str">
        <f t="shared" si="6"/>
        <v/>
      </c>
      <c r="O71" s="48" t="str">
        <f t="shared" si="6"/>
        <v/>
      </c>
      <c r="P71" s="48" t="str">
        <f t="shared" si="7"/>
        <v/>
      </c>
      <c r="Q71" s="48" t="str">
        <f t="shared" si="7"/>
        <v/>
      </c>
      <c r="R71" s="48" t="str">
        <f t="shared" si="7"/>
        <v/>
      </c>
      <c r="S71" s="48" t="str">
        <f t="shared" si="7"/>
        <v/>
      </c>
      <c r="T71" s="48" t="str">
        <f t="shared" si="7"/>
        <v/>
      </c>
      <c r="U71" s="48" t="str">
        <f t="shared" si="7"/>
        <v/>
      </c>
      <c r="V71" s="48" t="str">
        <f t="shared" si="7"/>
        <v/>
      </c>
      <c r="W71" s="48" t="str">
        <f t="shared" si="7"/>
        <v/>
      </c>
      <c r="X71" s="48" t="str">
        <f t="shared" si="7"/>
        <v/>
      </c>
      <c r="Y71" s="48" t="str">
        <f t="shared" si="7"/>
        <v/>
      </c>
      <c r="Z71" s="48" t="str">
        <f t="shared" si="7"/>
        <v/>
      </c>
      <c r="AA71" s="48" t="str">
        <f t="shared" si="7"/>
        <v/>
      </c>
      <c r="AB71" s="48" t="str">
        <f t="shared" si="7"/>
        <v/>
      </c>
      <c r="AC71" s="55" t="str">
        <f t="shared" si="7"/>
        <v/>
      </c>
    </row>
    <row r="72" spans="1:29" x14ac:dyDescent="0.35">
      <c r="A72"/>
      <c r="B72" s="62"/>
      <c r="D72" s="63"/>
      <c r="F72" s="54" t="str">
        <f t="shared" si="6"/>
        <v/>
      </c>
      <c r="G72" s="48" t="str">
        <f t="shared" si="6"/>
        <v/>
      </c>
      <c r="H72" s="48" t="str">
        <f t="shared" si="6"/>
        <v/>
      </c>
      <c r="I72" s="48" t="str">
        <f t="shared" si="6"/>
        <v/>
      </c>
      <c r="J72" s="48" t="str">
        <f t="shared" si="6"/>
        <v/>
      </c>
      <c r="K72" s="48" t="str">
        <f t="shared" si="6"/>
        <v/>
      </c>
      <c r="L72" s="48" t="str">
        <f t="shared" si="6"/>
        <v/>
      </c>
      <c r="M72" s="48" t="str">
        <f t="shared" si="6"/>
        <v/>
      </c>
      <c r="N72" s="48" t="str">
        <f t="shared" si="6"/>
        <v/>
      </c>
      <c r="O72" s="48" t="str">
        <f t="shared" si="6"/>
        <v/>
      </c>
      <c r="P72" s="48" t="str">
        <f t="shared" si="7"/>
        <v/>
      </c>
      <c r="Q72" s="48" t="str">
        <f t="shared" si="7"/>
        <v/>
      </c>
      <c r="R72" s="48" t="str">
        <f t="shared" si="7"/>
        <v/>
      </c>
      <c r="S72" s="48" t="str">
        <f t="shared" si="7"/>
        <v/>
      </c>
      <c r="T72" s="48" t="str">
        <f t="shared" si="7"/>
        <v/>
      </c>
      <c r="U72" s="48" t="str">
        <f t="shared" si="7"/>
        <v/>
      </c>
      <c r="V72" s="48" t="str">
        <f t="shared" si="7"/>
        <v/>
      </c>
      <c r="W72" s="48" t="str">
        <f t="shared" si="7"/>
        <v/>
      </c>
      <c r="X72" s="48" t="str">
        <f t="shared" si="7"/>
        <v/>
      </c>
      <c r="Y72" s="48" t="str">
        <f t="shared" si="7"/>
        <v/>
      </c>
      <c r="Z72" s="48" t="str">
        <f t="shared" si="7"/>
        <v/>
      </c>
      <c r="AA72" s="48" t="str">
        <f t="shared" si="7"/>
        <v/>
      </c>
      <c r="AB72" s="48" t="str">
        <f t="shared" si="7"/>
        <v/>
      </c>
      <c r="AC72" s="55" t="str">
        <f t="shared" si="7"/>
        <v/>
      </c>
    </row>
    <row r="73" spans="1:29" x14ac:dyDescent="0.35">
      <c r="A73"/>
      <c r="B73" s="62"/>
      <c r="D73" s="63"/>
      <c r="F73" s="54" t="str">
        <f t="shared" si="6"/>
        <v/>
      </c>
      <c r="G73" s="48" t="str">
        <f t="shared" si="6"/>
        <v/>
      </c>
      <c r="H73" s="48" t="str">
        <f t="shared" si="6"/>
        <v/>
      </c>
      <c r="I73" s="48" t="str">
        <f t="shared" si="6"/>
        <v/>
      </c>
      <c r="J73" s="48" t="str">
        <f t="shared" ref="F73:O98" si="8">IF(AND(J$6&gt;=$C73, J$6&lt;=$D73),"1","")</f>
        <v/>
      </c>
      <c r="K73" s="48" t="str">
        <f t="shared" si="8"/>
        <v/>
      </c>
      <c r="L73" s="48" t="str">
        <f t="shared" si="8"/>
        <v/>
      </c>
      <c r="M73" s="48" t="str">
        <f t="shared" si="8"/>
        <v/>
      </c>
      <c r="N73" s="48" t="str">
        <f t="shared" si="8"/>
        <v/>
      </c>
      <c r="O73" s="48" t="str">
        <f t="shared" si="8"/>
        <v/>
      </c>
      <c r="P73" s="48" t="str">
        <f t="shared" si="7"/>
        <v/>
      </c>
      <c r="Q73" s="48" t="str">
        <f t="shared" si="7"/>
        <v/>
      </c>
      <c r="R73" s="48" t="str">
        <f t="shared" si="7"/>
        <v/>
      </c>
      <c r="S73" s="48" t="str">
        <f t="shared" si="7"/>
        <v/>
      </c>
      <c r="T73" s="48" t="str">
        <f t="shared" si="7"/>
        <v/>
      </c>
      <c r="U73" s="48" t="str">
        <f t="shared" si="7"/>
        <v/>
      </c>
      <c r="V73" s="48" t="str">
        <f t="shared" si="7"/>
        <v/>
      </c>
      <c r="W73" s="48" t="str">
        <f t="shared" si="7"/>
        <v/>
      </c>
      <c r="X73" s="48" t="str">
        <f t="shared" si="7"/>
        <v/>
      </c>
      <c r="Y73" s="48" t="str">
        <f t="shared" si="7"/>
        <v/>
      </c>
      <c r="Z73" s="48" t="str">
        <f t="shared" si="7"/>
        <v/>
      </c>
      <c r="AA73" s="48" t="str">
        <f t="shared" si="7"/>
        <v/>
      </c>
      <c r="AB73" s="48" t="str">
        <f t="shared" si="7"/>
        <v/>
      </c>
      <c r="AC73" s="55" t="str">
        <f t="shared" si="7"/>
        <v/>
      </c>
    </row>
    <row r="74" spans="1:29" x14ac:dyDescent="0.35">
      <c r="A74"/>
      <c r="B74" s="62"/>
      <c r="D74" s="63"/>
      <c r="F74" s="54" t="str">
        <f t="shared" si="8"/>
        <v/>
      </c>
      <c r="G74" s="48" t="str">
        <f t="shared" si="8"/>
        <v/>
      </c>
      <c r="H74" s="48" t="str">
        <f t="shared" si="8"/>
        <v/>
      </c>
      <c r="I74" s="48" t="str">
        <f t="shared" si="8"/>
        <v/>
      </c>
      <c r="J74" s="48" t="str">
        <f t="shared" si="8"/>
        <v/>
      </c>
      <c r="K74" s="48" t="str">
        <f t="shared" si="8"/>
        <v/>
      </c>
      <c r="L74" s="48" t="str">
        <f t="shared" si="8"/>
        <v/>
      </c>
      <c r="M74" s="48" t="str">
        <f t="shared" si="8"/>
        <v/>
      </c>
      <c r="N74" s="48" t="str">
        <f t="shared" si="8"/>
        <v/>
      </c>
      <c r="O74" s="48" t="str">
        <f t="shared" si="8"/>
        <v/>
      </c>
      <c r="P74" s="48" t="str">
        <f t="shared" si="7"/>
        <v/>
      </c>
      <c r="Q74" s="48" t="str">
        <f t="shared" si="7"/>
        <v/>
      </c>
      <c r="R74" s="48" t="str">
        <f t="shared" si="7"/>
        <v/>
      </c>
      <c r="S74" s="48" t="str">
        <f t="shared" si="7"/>
        <v/>
      </c>
      <c r="T74" s="48" t="str">
        <f t="shared" si="7"/>
        <v/>
      </c>
      <c r="U74" s="48" t="str">
        <f t="shared" si="7"/>
        <v/>
      </c>
      <c r="V74" s="48" t="str">
        <f t="shared" si="7"/>
        <v/>
      </c>
      <c r="W74" s="48" t="str">
        <f t="shared" si="7"/>
        <v/>
      </c>
      <c r="X74" s="48" t="str">
        <f t="shared" si="7"/>
        <v/>
      </c>
      <c r="Y74" s="48" t="str">
        <f t="shared" si="7"/>
        <v/>
      </c>
      <c r="Z74" s="48" t="str">
        <f t="shared" si="7"/>
        <v/>
      </c>
      <c r="AA74" s="48" t="str">
        <f t="shared" si="7"/>
        <v/>
      </c>
      <c r="AB74" s="48" t="str">
        <f t="shared" si="7"/>
        <v/>
      </c>
      <c r="AC74" s="55" t="str">
        <f t="shared" si="7"/>
        <v/>
      </c>
    </row>
    <row r="75" spans="1:29" x14ac:dyDescent="0.35">
      <c r="A75"/>
      <c r="B75" s="62"/>
      <c r="D75" s="63"/>
      <c r="F75" s="54" t="str">
        <f t="shared" si="8"/>
        <v/>
      </c>
      <c r="G75" s="48" t="str">
        <f t="shared" si="8"/>
        <v/>
      </c>
      <c r="H75" s="48" t="str">
        <f t="shared" si="8"/>
        <v/>
      </c>
      <c r="I75" s="48" t="str">
        <f t="shared" si="8"/>
        <v/>
      </c>
      <c r="J75" s="48" t="str">
        <f t="shared" si="8"/>
        <v/>
      </c>
      <c r="K75" s="48" t="str">
        <f t="shared" si="8"/>
        <v/>
      </c>
      <c r="L75" s="48" t="str">
        <f t="shared" si="8"/>
        <v/>
      </c>
      <c r="M75" s="48" t="str">
        <f t="shared" si="8"/>
        <v/>
      </c>
      <c r="N75" s="48" t="str">
        <f t="shared" si="8"/>
        <v/>
      </c>
      <c r="O75" s="48" t="str">
        <f t="shared" si="8"/>
        <v/>
      </c>
      <c r="P75" s="48" t="str">
        <f t="shared" si="7"/>
        <v/>
      </c>
      <c r="Q75" s="48" t="str">
        <f t="shared" si="7"/>
        <v/>
      </c>
      <c r="R75" s="48" t="str">
        <f t="shared" si="7"/>
        <v/>
      </c>
      <c r="S75" s="48" t="str">
        <f t="shared" si="7"/>
        <v/>
      </c>
      <c r="T75" s="48" t="str">
        <f t="shared" si="7"/>
        <v/>
      </c>
      <c r="U75" s="48" t="str">
        <f t="shared" si="7"/>
        <v/>
      </c>
      <c r="V75" s="48" t="str">
        <f t="shared" si="7"/>
        <v/>
      </c>
      <c r="W75" s="48" t="str">
        <f t="shared" si="7"/>
        <v/>
      </c>
      <c r="X75" s="48" t="str">
        <f t="shared" si="7"/>
        <v/>
      </c>
      <c r="Y75" s="48" t="str">
        <f t="shared" si="7"/>
        <v/>
      </c>
      <c r="Z75" s="48" t="str">
        <f t="shared" si="7"/>
        <v/>
      </c>
      <c r="AA75" s="48" t="str">
        <f t="shared" si="7"/>
        <v/>
      </c>
      <c r="AB75" s="48" t="str">
        <f t="shared" si="7"/>
        <v/>
      </c>
      <c r="AC75" s="55" t="str">
        <f t="shared" si="7"/>
        <v/>
      </c>
    </row>
    <row r="76" spans="1:29" x14ac:dyDescent="0.35">
      <c r="A76"/>
      <c r="B76" s="62"/>
      <c r="D76" s="63"/>
      <c r="F76" s="54" t="str">
        <f t="shared" si="8"/>
        <v/>
      </c>
      <c r="G76" s="48" t="str">
        <f t="shared" si="8"/>
        <v/>
      </c>
      <c r="H76" s="48" t="str">
        <f t="shared" si="8"/>
        <v/>
      </c>
      <c r="I76" s="48" t="str">
        <f t="shared" si="8"/>
        <v/>
      </c>
      <c r="J76" s="48" t="str">
        <f t="shared" si="8"/>
        <v/>
      </c>
      <c r="K76" s="48" t="str">
        <f t="shared" si="8"/>
        <v/>
      </c>
      <c r="L76" s="48" t="str">
        <f t="shared" si="8"/>
        <v/>
      </c>
      <c r="M76" s="48" t="str">
        <f t="shared" si="8"/>
        <v/>
      </c>
      <c r="N76" s="48" t="str">
        <f t="shared" si="8"/>
        <v/>
      </c>
      <c r="O76" s="48" t="str">
        <f t="shared" si="8"/>
        <v/>
      </c>
      <c r="P76" s="48" t="str">
        <f t="shared" si="7"/>
        <v/>
      </c>
      <c r="Q76" s="48" t="str">
        <f t="shared" si="7"/>
        <v/>
      </c>
      <c r="R76" s="48" t="str">
        <f t="shared" si="7"/>
        <v/>
      </c>
      <c r="S76" s="48" t="str">
        <f t="shared" si="7"/>
        <v/>
      </c>
      <c r="T76" s="48" t="str">
        <f t="shared" si="7"/>
        <v/>
      </c>
      <c r="U76" s="48" t="str">
        <f t="shared" si="7"/>
        <v/>
      </c>
      <c r="V76" s="48" t="str">
        <f t="shared" si="7"/>
        <v/>
      </c>
      <c r="W76" s="48" t="str">
        <f t="shared" si="7"/>
        <v/>
      </c>
      <c r="X76" s="48" t="str">
        <f t="shared" si="7"/>
        <v/>
      </c>
      <c r="Y76" s="48" t="str">
        <f t="shared" si="7"/>
        <v/>
      </c>
      <c r="Z76" s="48" t="str">
        <f t="shared" si="7"/>
        <v/>
      </c>
      <c r="AA76" s="48" t="str">
        <f t="shared" si="7"/>
        <v/>
      </c>
      <c r="AB76" s="48" t="str">
        <f t="shared" si="7"/>
        <v/>
      </c>
      <c r="AC76" s="55" t="str">
        <f t="shared" si="7"/>
        <v/>
      </c>
    </row>
    <row r="77" spans="1:29" x14ac:dyDescent="0.35">
      <c r="A77"/>
      <c r="B77" s="62"/>
      <c r="D77" s="63"/>
      <c r="F77" s="54" t="str">
        <f t="shared" si="8"/>
        <v/>
      </c>
      <c r="G77" s="48" t="str">
        <f t="shared" si="8"/>
        <v/>
      </c>
      <c r="H77" s="48" t="str">
        <f t="shared" si="8"/>
        <v/>
      </c>
      <c r="I77" s="48" t="str">
        <f t="shared" si="8"/>
        <v/>
      </c>
      <c r="J77" s="48" t="str">
        <f t="shared" si="8"/>
        <v/>
      </c>
      <c r="K77" s="48" t="str">
        <f t="shared" si="8"/>
        <v/>
      </c>
      <c r="L77" s="48" t="str">
        <f t="shared" si="8"/>
        <v/>
      </c>
      <c r="M77" s="48" t="str">
        <f t="shared" si="8"/>
        <v/>
      </c>
      <c r="N77" s="48" t="str">
        <f t="shared" si="8"/>
        <v/>
      </c>
      <c r="O77" s="48" t="str">
        <f t="shared" si="8"/>
        <v/>
      </c>
      <c r="P77" s="48" t="str">
        <f t="shared" si="7"/>
        <v/>
      </c>
      <c r="Q77" s="48" t="str">
        <f t="shared" si="7"/>
        <v/>
      </c>
      <c r="R77" s="48" t="str">
        <f t="shared" si="7"/>
        <v/>
      </c>
      <c r="S77" s="48" t="str">
        <f t="shared" si="7"/>
        <v/>
      </c>
      <c r="T77" s="48" t="str">
        <f t="shared" si="7"/>
        <v/>
      </c>
      <c r="U77" s="48" t="str">
        <f t="shared" si="7"/>
        <v/>
      </c>
      <c r="V77" s="48" t="str">
        <f t="shared" si="7"/>
        <v/>
      </c>
      <c r="W77" s="48" t="str">
        <f t="shared" si="7"/>
        <v/>
      </c>
      <c r="X77" s="48" t="str">
        <f t="shared" si="7"/>
        <v/>
      </c>
      <c r="Y77" s="48" t="str">
        <f t="shared" si="7"/>
        <v/>
      </c>
      <c r="Z77" s="48" t="str">
        <f t="shared" si="7"/>
        <v/>
      </c>
      <c r="AA77" s="48" t="str">
        <f t="shared" si="7"/>
        <v/>
      </c>
      <c r="AB77" s="48" t="str">
        <f t="shared" si="7"/>
        <v/>
      </c>
      <c r="AC77" s="55" t="str">
        <f t="shared" si="7"/>
        <v/>
      </c>
    </row>
    <row r="78" spans="1:29" x14ac:dyDescent="0.35">
      <c r="A78"/>
      <c r="B78" s="62"/>
      <c r="D78" s="63"/>
      <c r="F78" s="54" t="str">
        <f t="shared" si="8"/>
        <v/>
      </c>
      <c r="G78" s="48" t="str">
        <f t="shared" si="8"/>
        <v/>
      </c>
      <c r="H78" s="48" t="str">
        <f t="shared" si="8"/>
        <v/>
      </c>
      <c r="I78" s="48" t="str">
        <f t="shared" si="8"/>
        <v/>
      </c>
      <c r="J78" s="48" t="str">
        <f t="shared" si="8"/>
        <v/>
      </c>
      <c r="K78" s="48" t="str">
        <f t="shared" si="8"/>
        <v/>
      </c>
      <c r="L78" s="48" t="str">
        <f t="shared" si="8"/>
        <v/>
      </c>
      <c r="M78" s="48" t="str">
        <f t="shared" si="8"/>
        <v/>
      </c>
      <c r="N78" s="48" t="str">
        <f t="shared" si="8"/>
        <v/>
      </c>
      <c r="O78" s="48" t="str">
        <f t="shared" si="8"/>
        <v/>
      </c>
      <c r="P78" s="48" t="str">
        <f t="shared" si="7"/>
        <v/>
      </c>
      <c r="Q78" s="48" t="str">
        <f t="shared" ref="P78:AC96" si="9">IF(AND(Q$6&gt;=$C78, Q$6&lt;=$D78),"1","")</f>
        <v/>
      </c>
      <c r="R78" s="48" t="str">
        <f t="shared" si="9"/>
        <v/>
      </c>
      <c r="S78" s="48" t="str">
        <f t="shared" si="9"/>
        <v/>
      </c>
      <c r="T78" s="48" t="str">
        <f t="shared" si="9"/>
        <v/>
      </c>
      <c r="U78" s="48" t="str">
        <f t="shared" si="9"/>
        <v/>
      </c>
      <c r="V78" s="48" t="str">
        <f t="shared" si="9"/>
        <v/>
      </c>
      <c r="W78" s="48" t="str">
        <f t="shared" si="9"/>
        <v/>
      </c>
      <c r="X78" s="48" t="str">
        <f t="shared" si="9"/>
        <v/>
      </c>
      <c r="Y78" s="48" t="str">
        <f t="shared" si="9"/>
        <v/>
      </c>
      <c r="Z78" s="48" t="str">
        <f t="shared" si="9"/>
        <v/>
      </c>
      <c r="AA78" s="48" t="str">
        <f t="shared" si="9"/>
        <v/>
      </c>
      <c r="AB78" s="48" t="str">
        <f t="shared" si="9"/>
        <v/>
      </c>
      <c r="AC78" s="55" t="str">
        <f t="shared" si="9"/>
        <v/>
      </c>
    </row>
    <row r="79" spans="1:29" x14ac:dyDescent="0.35">
      <c r="A79"/>
      <c r="B79" s="62"/>
      <c r="D79" s="63"/>
      <c r="F79" s="54" t="str">
        <f t="shared" si="8"/>
        <v/>
      </c>
      <c r="G79" s="48" t="str">
        <f t="shared" si="8"/>
        <v/>
      </c>
      <c r="H79" s="48" t="str">
        <f t="shared" si="8"/>
        <v/>
      </c>
      <c r="I79" s="48" t="str">
        <f t="shared" si="8"/>
        <v/>
      </c>
      <c r="J79" s="48" t="str">
        <f t="shared" si="8"/>
        <v/>
      </c>
      <c r="K79" s="48" t="str">
        <f t="shared" si="8"/>
        <v/>
      </c>
      <c r="L79" s="48" t="str">
        <f t="shared" si="8"/>
        <v/>
      </c>
      <c r="M79" s="48" t="str">
        <f t="shared" si="8"/>
        <v/>
      </c>
      <c r="N79" s="48" t="str">
        <f t="shared" si="8"/>
        <v/>
      </c>
      <c r="O79" s="48" t="str">
        <f t="shared" si="8"/>
        <v/>
      </c>
      <c r="P79" s="48" t="str">
        <f t="shared" si="9"/>
        <v/>
      </c>
      <c r="Q79" s="48" t="str">
        <f t="shared" si="9"/>
        <v/>
      </c>
      <c r="R79" s="48" t="str">
        <f t="shared" si="9"/>
        <v/>
      </c>
      <c r="S79" s="48" t="str">
        <f t="shared" si="9"/>
        <v/>
      </c>
      <c r="T79" s="48" t="str">
        <f t="shared" si="9"/>
        <v/>
      </c>
      <c r="U79" s="48" t="str">
        <f t="shared" si="9"/>
        <v/>
      </c>
      <c r="V79" s="48" t="str">
        <f t="shared" si="9"/>
        <v/>
      </c>
      <c r="W79" s="48" t="str">
        <f t="shared" si="9"/>
        <v/>
      </c>
      <c r="X79" s="48" t="str">
        <f t="shared" si="9"/>
        <v/>
      </c>
      <c r="Y79" s="48" t="str">
        <f t="shared" si="9"/>
        <v/>
      </c>
      <c r="Z79" s="48" t="str">
        <f t="shared" si="9"/>
        <v/>
      </c>
      <c r="AA79" s="48" t="str">
        <f t="shared" si="9"/>
        <v/>
      </c>
      <c r="AB79" s="48" t="str">
        <f t="shared" si="9"/>
        <v/>
      </c>
      <c r="AC79" s="55" t="str">
        <f t="shared" si="9"/>
        <v/>
      </c>
    </row>
    <row r="80" spans="1:29" x14ac:dyDescent="0.35">
      <c r="A80"/>
      <c r="B80" s="62"/>
      <c r="D80" s="63"/>
      <c r="F80" s="54" t="str">
        <f t="shared" si="8"/>
        <v/>
      </c>
      <c r="G80" s="48" t="str">
        <f t="shared" si="8"/>
        <v/>
      </c>
      <c r="H80" s="48" t="str">
        <f t="shared" si="8"/>
        <v/>
      </c>
      <c r="I80" s="48" t="str">
        <f t="shared" si="8"/>
        <v/>
      </c>
      <c r="J80" s="48" t="str">
        <f t="shared" si="8"/>
        <v/>
      </c>
      <c r="K80" s="48" t="str">
        <f t="shared" si="8"/>
        <v/>
      </c>
      <c r="L80" s="48" t="str">
        <f t="shared" si="8"/>
        <v/>
      </c>
      <c r="M80" s="48" t="str">
        <f t="shared" si="8"/>
        <v/>
      </c>
      <c r="N80" s="48" t="str">
        <f t="shared" si="8"/>
        <v/>
      </c>
      <c r="O80" s="48" t="str">
        <f t="shared" si="8"/>
        <v/>
      </c>
      <c r="P80" s="48" t="str">
        <f t="shared" si="9"/>
        <v/>
      </c>
      <c r="Q80" s="48" t="str">
        <f t="shared" si="9"/>
        <v/>
      </c>
      <c r="R80" s="48" t="str">
        <f t="shared" si="9"/>
        <v/>
      </c>
      <c r="S80" s="48" t="str">
        <f t="shared" si="9"/>
        <v/>
      </c>
      <c r="T80" s="48" t="str">
        <f t="shared" si="9"/>
        <v/>
      </c>
      <c r="U80" s="48" t="str">
        <f t="shared" si="9"/>
        <v/>
      </c>
      <c r="V80" s="48" t="str">
        <f t="shared" si="9"/>
        <v/>
      </c>
      <c r="W80" s="48" t="str">
        <f t="shared" si="9"/>
        <v/>
      </c>
      <c r="X80" s="48" t="str">
        <f t="shared" si="9"/>
        <v/>
      </c>
      <c r="Y80" s="48" t="str">
        <f t="shared" si="9"/>
        <v/>
      </c>
      <c r="Z80" s="48" t="str">
        <f t="shared" si="9"/>
        <v/>
      </c>
      <c r="AA80" s="48" t="str">
        <f t="shared" si="9"/>
        <v/>
      </c>
      <c r="AB80" s="48" t="str">
        <f t="shared" si="9"/>
        <v/>
      </c>
      <c r="AC80" s="55" t="str">
        <f t="shared" si="9"/>
        <v/>
      </c>
    </row>
    <row r="81" spans="1:29" x14ac:dyDescent="0.35">
      <c r="A81"/>
      <c r="B81" s="62"/>
      <c r="D81" s="63"/>
      <c r="F81" s="54" t="str">
        <f t="shared" si="8"/>
        <v/>
      </c>
      <c r="G81" s="48" t="str">
        <f t="shared" si="8"/>
        <v/>
      </c>
      <c r="H81" s="48" t="str">
        <f t="shared" si="8"/>
        <v/>
      </c>
      <c r="I81" s="48" t="str">
        <f t="shared" si="8"/>
        <v/>
      </c>
      <c r="J81" s="48" t="str">
        <f t="shared" si="8"/>
        <v/>
      </c>
      <c r="K81" s="48" t="str">
        <f t="shared" si="8"/>
        <v/>
      </c>
      <c r="L81" s="48" t="str">
        <f t="shared" si="8"/>
        <v/>
      </c>
      <c r="M81" s="48" t="str">
        <f t="shared" si="8"/>
        <v/>
      </c>
      <c r="N81" s="48" t="str">
        <f t="shared" si="8"/>
        <v/>
      </c>
      <c r="O81" s="48" t="str">
        <f t="shared" si="8"/>
        <v/>
      </c>
      <c r="P81" s="48" t="str">
        <f t="shared" si="9"/>
        <v/>
      </c>
      <c r="Q81" s="48" t="str">
        <f t="shared" si="9"/>
        <v/>
      </c>
      <c r="R81" s="48" t="str">
        <f t="shared" si="9"/>
        <v/>
      </c>
      <c r="S81" s="48" t="str">
        <f t="shared" si="9"/>
        <v/>
      </c>
      <c r="T81" s="48" t="str">
        <f t="shared" si="9"/>
        <v/>
      </c>
      <c r="U81" s="48" t="str">
        <f t="shared" si="9"/>
        <v/>
      </c>
      <c r="V81" s="48" t="str">
        <f t="shared" si="9"/>
        <v/>
      </c>
      <c r="W81" s="48" t="str">
        <f t="shared" si="9"/>
        <v/>
      </c>
      <c r="X81" s="48" t="str">
        <f t="shared" si="9"/>
        <v/>
      </c>
      <c r="Y81" s="48" t="str">
        <f t="shared" si="9"/>
        <v/>
      </c>
      <c r="Z81" s="48" t="str">
        <f t="shared" si="9"/>
        <v/>
      </c>
      <c r="AA81" s="48" t="str">
        <f t="shared" si="9"/>
        <v/>
      </c>
      <c r="AB81" s="48" t="str">
        <f t="shared" si="9"/>
        <v/>
      </c>
      <c r="AC81" s="55" t="str">
        <f t="shared" si="9"/>
        <v/>
      </c>
    </row>
    <row r="82" spans="1:29" x14ac:dyDescent="0.35">
      <c r="A82"/>
      <c r="B82" s="62"/>
      <c r="D82" s="63"/>
      <c r="F82" s="54" t="str">
        <f t="shared" si="8"/>
        <v/>
      </c>
      <c r="G82" s="48" t="str">
        <f t="shared" si="8"/>
        <v/>
      </c>
      <c r="H82" s="48" t="str">
        <f t="shared" si="8"/>
        <v/>
      </c>
      <c r="I82" s="48" t="str">
        <f t="shared" si="8"/>
        <v/>
      </c>
      <c r="J82" s="48" t="str">
        <f t="shared" si="8"/>
        <v/>
      </c>
      <c r="K82" s="48" t="str">
        <f t="shared" si="8"/>
        <v/>
      </c>
      <c r="L82" s="48" t="str">
        <f t="shared" si="8"/>
        <v/>
      </c>
      <c r="M82" s="48" t="str">
        <f t="shared" si="8"/>
        <v/>
      </c>
      <c r="N82" s="48" t="str">
        <f t="shared" si="8"/>
        <v/>
      </c>
      <c r="O82" s="48" t="str">
        <f t="shared" si="8"/>
        <v/>
      </c>
      <c r="P82" s="48" t="str">
        <f t="shared" si="9"/>
        <v/>
      </c>
      <c r="Q82" s="48" t="str">
        <f t="shared" si="9"/>
        <v/>
      </c>
      <c r="R82" s="48" t="str">
        <f t="shared" si="9"/>
        <v/>
      </c>
      <c r="S82" s="48" t="str">
        <f t="shared" si="9"/>
        <v/>
      </c>
      <c r="T82" s="48" t="str">
        <f t="shared" si="9"/>
        <v/>
      </c>
      <c r="U82" s="48" t="str">
        <f t="shared" si="9"/>
        <v/>
      </c>
      <c r="V82" s="48" t="str">
        <f t="shared" si="9"/>
        <v/>
      </c>
      <c r="W82" s="48" t="str">
        <f t="shared" si="9"/>
        <v/>
      </c>
      <c r="X82" s="48" t="str">
        <f t="shared" si="9"/>
        <v/>
      </c>
      <c r="Y82" s="48" t="str">
        <f t="shared" si="9"/>
        <v/>
      </c>
      <c r="Z82" s="48" t="str">
        <f t="shared" si="9"/>
        <v/>
      </c>
      <c r="AA82" s="48" t="str">
        <f t="shared" si="9"/>
        <v/>
      </c>
      <c r="AB82" s="48" t="str">
        <f t="shared" si="9"/>
        <v/>
      </c>
      <c r="AC82" s="55" t="str">
        <f t="shared" si="9"/>
        <v/>
      </c>
    </row>
    <row r="83" spans="1:29" x14ac:dyDescent="0.35">
      <c r="A83"/>
      <c r="B83" s="62"/>
      <c r="D83" s="63"/>
      <c r="F83" s="54" t="str">
        <f t="shared" si="8"/>
        <v/>
      </c>
      <c r="G83" s="48" t="str">
        <f t="shared" si="8"/>
        <v/>
      </c>
      <c r="H83" s="48" t="str">
        <f t="shared" si="8"/>
        <v/>
      </c>
      <c r="I83" s="48" t="str">
        <f t="shared" si="8"/>
        <v/>
      </c>
      <c r="J83" s="48" t="str">
        <f t="shared" si="8"/>
        <v/>
      </c>
      <c r="K83" s="48" t="str">
        <f t="shared" si="8"/>
        <v/>
      </c>
      <c r="L83" s="48" t="str">
        <f t="shared" si="8"/>
        <v/>
      </c>
      <c r="M83" s="48" t="str">
        <f t="shared" si="8"/>
        <v/>
      </c>
      <c r="N83" s="48" t="str">
        <f t="shared" si="8"/>
        <v/>
      </c>
      <c r="O83" s="48" t="str">
        <f t="shared" si="8"/>
        <v/>
      </c>
      <c r="P83" s="48" t="str">
        <f t="shared" si="9"/>
        <v/>
      </c>
      <c r="Q83" s="48" t="str">
        <f t="shared" si="9"/>
        <v/>
      </c>
      <c r="R83" s="48" t="str">
        <f t="shared" si="9"/>
        <v/>
      </c>
      <c r="S83" s="48" t="str">
        <f t="shared" si="9"/>
        <v/>
      </c>
      <c r="T83" s="48" t="str">
        <f t="shared" si="9"/>
        <v/>
      </c>
      <c r="U83" s="48" t="str">
        <f t="shared" si="9"/>
        <v/>
      </c>
      <c r="V83" s="48" t="str">
        <f t="shared" si="9"/>
        <v/>
      </c>
      <c r="W83" s="48" t="str">
        <f t="shared" si="9"/>
        <v/>
      </c>
      <c r="X83" s="48" t="str">
        <f t="shared" si="9"/>
        <v/>
      </c>
      <c r="Y83" s="48" t="str">
        <f t="shared" si="9"/>
        <v/>
      </c>
      <c r="Z83" s="48" t="str">
        <f t="shared" si="9"/>
        <v/>
      </c>
      <c r="AA83" s="48" t="str">
        <f t="shared" si="9"/>
        <v/>
      </c>
      <c r="AB83" s="48" t="str">
        <f t="shared" si="9"/>
        <v/>
      </c>
      <c r="AC83" s="55" t="str">
        <f t="shared" si="9"/>
        <v/>
      </c>
    </row>
    <row r="84" spans="1:29" x14ac:dyDescent="0.35">
      <c r="A84"/>
      <c r="B84" s="62"/>
      <c r="D84" s="63"/>
      <c r="F84" s="54" t="str">
        <f t="shared" si="8"/>
        <v/>
      </c>
      <c r="G84" s="48" t="str">
        <f t="shared" si="8"/>
        <v/>
      </c>
      <c r="H84" s="48" t="str">
        <f t="shared" si="8"/>
        <v/>
      </c>
      <c r="I84" s="48" t="str">
        <f t="shared" si="8"/>
        <v/>
      </c>
      <c r="J84" s="48" t="str">
        <f t="shared" si="8"/>
        <v/>
      </c>
      <c r="K84" s="48" t="str">
        <f t="shared" si="8"/>
        <v/>
      </c>
      <c r="L84" s="48" t="str">
        <f t="shared" si="8"/>
        <v/>
      </c>
      <c r="M84" s="48" t="str">
        <f t="shared" si="8"/>
        <v/>
      </c>
      <c r="N84" s="48" t="str">
        <f t="shared" si="8"/>
        <v/>
      </c>
      <c r="O84" s="48" t="str">
        <f t="shared" si="8"/>
        <v/>
      </c>
      <c r="P84" s="48" t="str">
        <f t="shared" si="9"/>
        <v/>
      </c>
      <c r="Q84" s="48" t="str">
        <f t="shared" si="9"/>
        <v/>
      </c>
      <c r="R84" s="48" t="str">
        <f t="shared" si="9"/>
        <v/>
      </c>
      <c r="S84" s="48" t="str">
        <f t="shared" si="9"/>
        <v/>
      </c>
      <c r="T84" s="48" t="str">
        <f t="shared" si="9"/>
        <v/>
      </c>
      <c r="U84" s="48" t="str">
        <f t="shared" si="9"/>
        <v/>
      </c>
      <c r="V84" s="48" t="str">
        <f t="shared" si="9"/>
        <v/>
      </c>
      <c r="W84" s="48" t="str">
        <f t="shared" si="9"/>
        <v/>
      </c>
      <c r="X84" s="48" t="str">
        <f t="shared" si="9"/>
        <v/>
      </c>
      <c r="Y84" s="48" t="str">
        <f t="shared" si="9"/>
        <v/>
      </c>
      <c r="Z84" s="48" t="str">
        <f t="shared" si="9"/>
        <v/>
      </c>
      <c r="AA84" s="48" t="str">
        <f t="shared" si="9"/>
        <v/>
      </c>
      <c r="AB84" s="48" t="str">
        <f t="shared" si="9"/>
        <v/>
      </c>
      <c r="AC84" s="55" t="str">
        <f t="shared" si="9"/>
        <v/>
      </c>
    </row>
    <row r="85" spans="1:29" x14ac:dyDescent="0.35">
      <c r="A85"/>
      <c r="B85" s="62"/>
      <c r="D85" s="63"/>
      <c r="F85" s="54" t="str">
        <f t="shared" si="8"/>
        <v/>
      </c>
      <c r="G85" s="48" t="str">
        <f t="shared" si="8"/>
        <v/>
      </c>
      <c r="H85" s="48" t="str">
        <f t="shared" si="8"/>
        <v/>
      </c>
      <c r="I85" s="48" t="str">
        <f t="shared" si="8"/>
        <v/>
      </c>
      <c r="J85" s="48" t="str">
        <f t="shared" si="8"/>
        <v/>
      </c>
      <c r="K85" s="48" t="str">
        <f t="shared" si="8"/>
        <v/>
      </c>
      <c r="L85" s="48" t="str">
        <f t="shared" si="8"/>
        <v/>
      </c>
      <c r="M85" s="48" t="str">
        <f t="shared" si="8"/>
        <v/>
      </c>
      <c r="N85" s="48" t="str">
        <f t="shared" si="8"/>
        <v/>
      </c>
      <c r="O85" s="48" t="str">
        <f t="shared" si="8"/>
        <v/>
      </c>
      <c r="P85" s="48" t="str">
        <f t="shared" si="9"/>
        <v/>
      </c>
      <c r="Q85" s="48" t="str">
        <f t="shared" si="9"/>
        <v/>
      </c>
      <c r="R85" s="48" t="str">
        <f t="shared" si="9"/>
        <v/>
      </c>
      <c r="S85" s="48" t="str">
        <f t="shared" si="9"/>
        <v/>
      </c>
      <c r="T85" s="48" t="str">
        <f t="shared" si="9"/>
        <v/>
      </c>
      <c r="U85" s="48" t="str">
        <f t="shared" si="9"/>
        <v/>
      </c>
      <c r="V85" s="48" t="str">
        <f t="shared" si="9"/>
        <v/>
      </c>
      <c r="W85" s="48" t="str">
        <f t="shared" si="9"/>
        <v/>
      </c>
      <c r="X85" s="48" t="str">
        <f t="shared" si="9"/>
        <v/>
      </c>
      <c r="Y85" s="48" t="str">
        <f t="shared" si="9"/>
        <v/>
      </c>
      <c r="Z85" s="48" t="str">
        <f t="shared" si="9"/>
        <v/>
      </c>
      <c r="AA85" s="48" t="str">
        <f t="shared" si="9"/>
        <v/>
      </c>
      <c r="AB85" s="48" t="str">
        <f t="shared" si="9"/>
        <v/>
      </c>
      <c r="AC85" s="55" t="str">
        <f t="shared" si="9"/>
        <v/>
      </c>
    </row>
    <row r="86" spans="1:29" x14ac:dyDescent="0.35">
      <c r="A86"/>
      <c r="B86" s="62"/>
      <c r="D86" s="63"/>
      <c r="F86" s="54" t="str">
        <f t="shared" si="8"/>
        <v/>
      </c>
      <c r="G86" s="48" t="str">
        <f t="shared" si="8"/>
        <v/>
      </c>
      <c r="H86" s="48" t="str">
        <f t="shared" si="8"/>
        <v/>
      </c>
      <c r="I86" s="48" t="str">
        <f t="shared" si="8"/>
        <v/>
      </c>
      <c r="J86" s="48" t="str">
        <f t="shared" si="8"/>
        <v/>
      </c>
      <c r="K86" s="48" t="str">
        <f t="shared" si="8"/>
        <v/>
      </c>
      <c r="L86" s="48" t="str">
        <f t="shared" si="8"/>
        <v/>
      </c>
      <c r="M86" s="48" t="str">
        <f t="shared" si="8"/>
        <v/>
      </c>
      <c r="N86" s="48" t="str">
        <f t="shared" si="8"/>
        <v/>
      </c>
      <c r="O86" s="48" t="str">
        <f t="shared" si="8"/>
        <v/>
      </c>
      <c r="P86" s="48" t="str">
        <f t="shared" si="9"/>
        <v/>
      </c>
      <c r="Q86" s="48" t="str">
        <f t="shared" si="9"/>
        <v/>
      </c>
      <c r="R86" s="48" t="str">
        <f t="shared" si="9"/>
        <v/>
      </c>
      <c r="S86" s="48" t="str">
        <f t="shared" si="9"/>
        <v/>
      </c>
      <c r="T86" s="48" t="str">
        <f t="shared" si="9"/>
        <v/>
      </c>
      <c r="U86" s="48" t="str">
        <f t="shared" si="9"/>
        <v/>
      </c>
      <c r="V86" s="48" t="str">
        <f t="shared" si="9"/>
        <v/>
      </c>
      <c r="W86" s="48" t="str">
        <f t="shared" si="9"/>
        <v/>
      </c>
      <c r="X86" s="48" t="str">
        <f t="shared" si="9"/>
        <v/>
      </c>
      <c r="Y86" s="48" t="str">
        <f t="shared" si="9"/>
        <v/>
      </c>
      <c r="Z86" s="48" t="str">
        <f t="shared" si="9"/>
        <v/>
      </c>
      <c r="AA86" s="48" t="str">
        <f t="shared" si="9"/>
        <v/>
      </c>
      <c r="AB86" s="48" t="str">
        <f t="shared" si="9"/>
        <v/>
      </c>
      <c r="AC86" s="55" t="str">
        <f t="shared" si="9"/>
        <v/>
      </c>
    </row>
    <row r="87" spans="1:29" x14ac:dyDescent="0.35">
      <c r="A87"/>
      <c r="B87" s="62"/>
      <c r="D87" s="63"/>
      <c r="F87" s="54" t="str">
        <f t="shared" si="8"/>
        <v/>
      </c>
      <c r="G87" s="48" t="str">
        <f t="shared" si="8"/>
        <v/>
      </c>
      <c r="H87" s="48" t="str">
        <f t="shared" si="8"/>
        <v/>
      </c>
      <c r="I87" s="48" t="str">
        <f t="shared" si="8"/>
        <v/>
      </c>
      <c r="J87" s="48" t="str">
        <f t="shared" si="8"/>
        <v/>
      </c>
      <c r="K87" s="48" t="str">
        <f t="shared" si="8"/>
        <v/>
      </c>
      <c r="L87" s="48" t="str">
        <f t="shared" si="8"/>
        <v/>
      </c>
      <c r="M87" s="48" t="str">
        <f t="shared" si="8"/>
        <v/>
      </c>
      <c r="N87" s="48" t="str">
        <f t="shared" si="8"/>
        <v/>
      </c>
      <c r="O87" s="48" t="str">
        <f t="shared" si="8"/>
        <v/>
      </c>
      <c r="P87" s="48" t="str">
        <f t="shared" si="9"/>
        <v/>
      </c>
      <c r="Q87" s="48" t="str">
        <f t="shared" si="9"/>
        <v/>
      </c>
      <c r="R87" s="48" t="str">
        <f t="shared" si="9"/>
        <v/>
      </c>
      <c r="S87" s="48" t="str">
        <f t="shared" si="9"/>
        <v/>
      </c>
      <c r="T87" s="48" t="str">
        <f t="shared" si="9"/>
        <v/>
      </c>
      <c r="U87" s="48" t="str">
        <f t="shared" si="9"/>
        <v/>
      </c>
      <c r="V87" s="48" t="str">
        <f t="shared" si="9"/>
        <v/>
      </c>
      <c r="W87" s="48" t="str">
        <f t="shared" si="9"/>
        <v/>
      </c>
      <c r="X87" s="48" t="str">
        <f t="shared" si="9"/>
        <v/>
      </c>
      <c r="Y87" s="48" t="str">
        <f t="shared" si="9"/>
        <v/>
      </c>
      <c r="Z87" s="48" t="str">
        <f t="shared" si="9"/>
        <v/>
      </c>
      <c r="AA87" s="48" t="str">
        <f t="shared" si="9"/>
        <v/>
      </c>
      <c r="AB87" s="48" t="str">
        <f t="shared" si="9"/>
        <v/>
      </c>
      <c r="AC87" s="55" t="str">
        <f t="shared" si="9"/>
        <v/>
      </c>
    </row>
    <row r="88" spans="1:29" x14ac:dyDescent="0.35">
      <c r="A88"/>
      <c r="B88" s="62"/>
      <c r="D88" s="63"/>
      <c r="F88" s="54" t="str">
        <f t="shared" si="8"/>
        <v/>
      </c>
      <c r="G88" s="48" t="str">
        <f t="shared" si="8"/>
        <v/>
      </c>
      <c r="H88" s="48" t="str">
        <f t="shared" si="8"/>
        <v/>
      </c>
      <c r="I88" s="48" t="str">
        <f t="shared" si="8"/>
        <v/>
      </c>
      <c r="J88" s="48" t="str">
        <f t="shared" si="8"/>
        <v/>
      </c>
      <c r="K88" s="48" t="str">
        <f t="shared" si="8"/>
        <v/>
      </c>
      <c r="L88" s="48" t="str">
        <f t="shared" si="8"/>
        <v/>
      </c>
      <c r="M88" s="48" t="str">
        <f t="shared" si="8"/>
        <v/>
      </c>
      <c r="N88" s="48" t="str">
        <f t="shared" si="8"/>
        <v/>
      </c>
      <c r="O88" s="48" t="str">
        <f t="shared" si="8"/>
        <v/>
      </c>
      <c r="P88" s="48" t="str">
        <f t="shared" si="9"/>
        <v/>
      </c>
      <c r="Q88" s="48" t="str">
        <f t="shared" si="9"/>
        <v/>
      </c>
      <c r="R88" s="48" t="str">
        <f t="shared" si="9"/>
        <v/>
      </c>
      <c r="S88" s="48" t="str">
        <f t="shared" si="9"/>
        <v/>
      </c>
      <c r="T88" s="48" t="str">
        <f t="shared" si="9"/>
        <v/>
      </c>
      <c r="U88" s="48" t="str">
        <f t="shared" si="9"/>
        <v/>
      </c>
      <c r="V88" s="48" t="str">
        <f t="shared" si="9"/>
        <v/>
      </c>
      <c r="W88" s="48" t="str">
        <f t="shared" si="9"/>
        <v/>
      </c>
      <c r="X88" s="48" t="str">
        <f t="shared" si="9"/>
        <v/>
      </c>
      <c r="Y88" s="48" t="str">
        <f t="shared" si="9"/>
        <v/>
      </c>
      <c r="Z88" s="48" t="str">
        <f t="shared" si="9"/>
        <v/>
      </c>
      <c r="AA88" s="48" t="str">
        <f t="shared" si="9"/>
        <v/>
      </c>
      <c r="AB88" s="48" t="str">
        <f t="shared" si="9"/>
        <v/>
      </c>
      <c r="AC88" s="55" t="str">
        <f t="shared" si="9"/>
        <v/>
      </c>
    </row>
    <row r="89" spans="1:29" x14ac:dyDescent="0.35">
      <c r="A89"/>
      <c r="B89" s="62"/>
      <c r="D89" s="63"/>
      <c r="F89" s="54" t="str">
        <f t="shared" si="8"/>
        <v/>
      </c>
      <c r="G89" s="48" t="str">
        <f t="shared" si="8"/>
        <v/>
      </c>
      <c r="H89" s="48" t="str">
        <f t="shared" si="8"/>
        <v/>
      </c>
      <c r="I89" s="48" t="str">
        <f t="shared" si="8"/>
        <v/>
      </c>
      <c r="J89" s="48" t="str">
        <f t="shared" si="8"/>
        <v/>
      </c>
      <c r="K89" s="48" t="str">
        <f t="shared" si="8"/>
        <v/>
      </c>
      <c r="L89" s="48" t="str">
        <f t="shared" si="8"/>
        <v/>
      </c>
      <c r="M89" s="48" t="str">
        <f t="shared" si="8"/>
        <v/>
      </c>
      <c r="N89" s="48" t="str">
        <f t="shared" si="8"/>
        <v/>
      </c>
      <c r="O89" s="48" t="str">
        <f t="shared" si="8"/>
        <v/>
      </c>
      <c r="P89" s="48" t="str">
        <f t="shared" si="9"/>
        <v/>
      </c>
      <c r="Q89" s="48" t="str">
        <f t="shared" si="9"/>
        <v/>
      </c>
      <c r="R89" s="48" t="str">
        <f t="shared" si="9"/>
        <v/>
      </c>
      <c r="S89" s="48" t="str">
        <f t="shared" si="9"/>
        <v/>
      </c>
      <c r="T89" s="48" t="str">
        <f t="shared" si="9"/>
        <v/>
      </c>
      <c r="U89" s="48" t="str">
        <f t="shared" si="9"/>
        <v/>
      </c>
      <c r="V89" s="48" t="str">
        <f t="shared" si="9"/>
        <v/>
      </c>
      <c r="W89" s="48" t="str">
        <f t="shared" si="9"/>
        <v/>
      </c>
      <c r="X89" s="48" t="str">
        <f t="shared" si="9"/>
        <v/>
      </c>
      <c r="Y89" s="48" t="str">
        <f t="shared" si="9"/>
        <v/>
      </c>
      <c r="Z89" s="48" t="str">
        <f t="shared" si="9"/>
        <v/>
      </c>
      <c r="AA89" s="48" t="str">
        <f t="shared" si="9"/>
        <v/>
      </c>
      <c r="AB89" s="48" t="str">
        <f t="shared" si="9"/>
        <v/>
      </c>
      <c r="AC89" s="55" t="str">
        <f t="shared" si="9"/>
        <v/>
      </c>
    </row>
    <row r="90" spans="1:29" x14ac:dyDescent="0.35">
      <c r="A90"/>
      <c r="B90" s="62"/>
      <c r="D90" s="63"/>
      <c r="F90" s="54" t="str">
        <f t="shared" si="8"/>
        <v/>
      </c>
      <c r="G90" s="48" t="str">
        <f t="shared" si="8"/>
        <v/>
      </c>
      <c r="H90" s="48" t="str">
        <f t="shared" si="8"/>
        <v/>
      </c>
      <c r="I90" s="48" t="str">
        <f t="shared" si="8"/>
        <v/>
      </c>
      <c r="J90" s="48" t="str">
        <f t="shared" si="8"/>
        <v/>
      </c>
      <c r="K90" s="48" t="str">
        <f t="shared" si="8"/>
        <v/>
      </c>
      <c r="L90" s="48" t="str">
        <f t="shared" si="8"/>
        <v/>
      </c>
      <c r="M90" s="48" t="str">
        <f t="shared" si="8"/>
        <v/>
      </c>
      <c r="N90" s="48" t="str">
        <f t="shared" si="8"/>
        <v/>
      </c>
      <c r="O90" s="48" t="str">
        <f t="shared" si="8"/>
        <v/>
      </c>
      <c r="P90" s="48" t="str">
        <f t="shared" si="9"/>
        <v/>
      </c>
      <c r="Q90" s="48" t="str">
        <f t="shared" si="9"/>
        <v/>
      </c>
      <c r="R90" s="48" t="str">
        <f t="shared" si="9"/>
        <v/>
      </c>
      <c r="S90" s="48" t="str">
        <f t="shared" si="9"/>
        <v/>
      </c>
      <c r="T90" s="48" t="str">
        <f t="shared" si="9"/>
        <v/>
      </c>
      <c r="U90" s="48" t="str">
        <f t="shared" si="9"/>
        <v/>
      </c>
      <c r="V90" s="48" t="str">
        <f t="shared" si="9"/>
        <v/>
      </c>
      <c r="W90" s="48" t="str">
        <f t="shared" si="9"/>
        <v/>
      </c>
      <c r="X90" s="48" t="str">
        <f t="shared" si="9"/>
        <v/>
      </c>
      <c r="Y90" s="48" t="str">
        <f t="shared" si="9"/>
        <v/>
      </c>
      <c r="Z90" s="48" t="str">
        <f t="shared" si="9"/>
        <v/>
      </c>
      <c r="AA90" s="48" t="str">
        <f t="shared" si="9"/>
        <v/>
      </c>
      <c r="AB90" s="48" t="str">
        <f t="shared" si="9"/>
        <v/>
      </c>
      <c r="AC90" s="55" t="str">
        <f t="shared" si="9"/>
        <v/>
      </c>
    </row>
    <row r="91" spans="1:29" x14ac:dyDescent="0.35">
      <c r="A91"/>
      <c r="B91" s="62"/>
      <c r="D91" s="63"/>
      <c r="F91" s="54" t="str">
        <f t="shared" si="8"/>
        <v/>
      </c>
      <c r="G91" s="48" t="str">
        <f t="shared" si="8"/>
        <v/>
      </c>
      <c r="H91" s="48" t="str">
        <f t="shared" si="8"/>
        <v/>
      </c>
      <c r="I91" s="48" t="str">
        <f t="shared" si="8"/>
        <v/>
      </c>
      <c r="J91" s="48" t="str">
        <f t="shared" si="8"/>
        <v/>
      </c>
      <c r="K91" s="48" t="str">
        <f t="shared" si="8"/>
        <v/>
      </c>
      <c r="L91" s="48" t="str">
        <f t="shared" si="8"/>
        <v/>
      </c>
      <c r="M91" s="48" t="str">
        <f t="shared" si="8"/>
        <v/>
      </c>
      <c r="N91" s="48" t="str">
        <f t="shared" si="8"/>
        <v/>
      </c>
      <c r="O91" s="48" t="str">
        <f t="shared" si="8"/>
        <v/>
      </c>
      <c r="P91" s="48" t="str">
        <f t="shared" si="9"/>
        <v/>
      </c>
      <c r="Q91" s="48" t="str">
        <f t="shared" si="9"/>
        <v/>
      </c>
      <c r="R91" s="48" t="str">
        <f t="shared" si="9"/>
        <v/>
      </c>
      <c r="S91" s="48" t="str">
        <f t="shared" si="9"/>
        <v/>
      </c>
      <c r="T91" s="48" t="str">
        <f t="shared" si="9"/>
        <v/>
      </c>
      <c r="U91" s="48" t="str">
        <f t="shared" si="9"/>
        <v/>
      </c>
      <c r="V91" s="48" t="str">
        <f t="shared" si="9"/>
        <v/>
      </c>
      <c r="W91" s="48" t="str">
        <f t="shared" si="9"/>
        <v/>
      </c>
      <c r="X91" s="48" t="str">
        <f t="shared" si="9"/>
        <v/>
      </c>
      <c r="Y91" s="48" t="str">
        <f t="shared" si="9"/>
        <v/>
      </c>
      <c r="Z91" s="48" t="str">
        <f t="shared" si="9"/>
        <v/>
      </c>
      <c r="AA91" s="48" t="str">
        <f t="shared" si="9"/>
        <v/>
      </c>
      <c r="AB91" s="48" t="str">
        <f t="shared" si="9"/>
        <v/>
      </c>
      <c r="AC91" s="55" t="str">
        <f t="shared" si="9"/>
        <v/>
      </c>
    </row>
    <row r="92" spans="1:29" x14ac:dyDescent="0.35">
      <c r="A92"/>
      <c r="B92" s="62"/>
      <c r="D92" s="63"/>
      <c r="F92" s="54" t="str">
        <f t="shared" si="8"/>
        <v/>
      </c>
      <c r="G92" s="48" t="str">
        <f t="shared" si="8"/>
        <v/>
      </c>
      <c r="H92" s="48" t="str">
        <f t="shared" si="8"/>
        <v/>
      </c>
      <c r="I92" s="48" t="str">
        <f t="shared" si="8"/>
        <v/>
      </c>
      <c r="J92" s="48" t="str">
        <f t="shared" si="8"/>
        <v/>
      </c>
      <c r="K92" s="48" t="str">
        <f t="shared" si="8"/>
        <v/>
      </c>
      <c r="L92" s="48" t="str">
        <f t="shared" si="8"/>
        <v/>
      </c>
      <c r="M92" s="48" t="str">
        <f t="shared" si="8"/>
        <v/>
      </c>
      <c r="N92" s="48" t="str">
        <f t="shared" si="8"/>
        <v/>
      </c>
      <c r="O92" s="48" t="str">
        <f t="shared" si="8"/>
        <v/>
      </c>
      <c r="P92" s="48" t="str">
        <f t="shared" si="9"/>
        <v/>
      </c>
      <c r="Q92" s="48" t="str">
        <f t="shared" si="9"/>
        <v/>
      </c>
      <c r="R92" s="48" t="str">
        <f t="shared" si="9"/>
        <v/>
      </c>
      <c r="S92" s="48" t="str">
        <f t="shared" si="9"/>
        <v/>
      </c>
      <c r="T92" s="48" t="str">
        <f t="shared" si="9"/>
        <v/>
      </c>
      <c r="U92" s="48" t="str">
        <f t="shared" si="9"/>
        <v/>
      </c>
      <c r="V92" s="48" t="str">
        <f t="shared" si="9"/>
        <v/>
      </c>
      <c r="W92" s="48" t="str">
        <f t="shared" si="9"/>
        <v/>
      </c>
      <c r="X92" s="48" t="str">
        <f t="shared" si="9"/>
        <v/>
      </c>
      <c r="Y92" s="48" t="str">
        <f t="shared" si="9"/>
        <v/>
      </c>
      <c r="Z92" s="48" t="str">
        <f t="shared" si="9"/>
        <v/>
      </c>
      <c r="AA92" s="48" t="str">
        <f t="shared" si="9"/>
        <v/>
      </c>
      <c r="AB92" s="48" t="str">
        <f t="shared" si="9"/>
        <v/>
      </c>
      <c r="AC92" s="55" t="str">
        <f t="shared" si="9"/>
        <v/>
      </c>
    </row>
    <row r="93" spans="1:29" x14ac:dyDescent="0.35">
      <c r="A93"/>
      <c r="B93" s="62"/>
      <c r="D93" s="63"/>
      <c r="F93" s="54" t="str">
        <f t="shared" si="8"/>
        <v/>
      </c>
      <c r="G93" s="48" t="str">
        <f t="shared" si="8"/>
        <v/>
      </c>
      <c r="H93" s="48" t="str">
        <f t="shared" si="8"/>
        <v/>
      </c>
      <c r="I93" s="48" t="str">
        <f t="shared" si="8"/>
        <v/>
      </c>
      <c r="J93" s="48" t="str">
        <f t="shared" si="8"/>
        <v/>
      </c>
      <c r="K93" s="48" t="str">
        <f t="shared" si="8"/>
        <v/>
      </c>
      <c r="L93" s="48" t="str">
        <f t="shared" si="8"/>
        <v/>
      </c>
      <c r="M93" s="48" t="str">
        <f t="shared" si="8"/>
        <v/>
      </c>
      <c r="N93" s="48" t="str">
        <f t="shared" si="8"/>
        <v/>
      </c>
      <c r="O93" s="48" t="str">
        <f t="shared" si="8"/>
        <v/>
      </c>
      <c r="P93" s="48" t="str">
        <f t="shared" si="9"/>
        <v/>
      </c>
      <c r="Q93" s="48" t="str">
        <f t="shared" si="9"/>
        <v/>
      </c>
      <c r="R93" s="48" t="str">
        <f t="shared" si="9"/>
        <v/>
      </c>
      <c r="S93" s="48" t="str">
        <f t="shared" si="9"/>
        <v/>
      </c>
      <c r="T93" s="48" t="str">
        <f t="shared" si="9"/>
        <v/>
      </c>
      <c r="U93" s="48" t="str">
        <f t="shared" si="9"/>
        <v/>
      </c>
      <c r="V93" s="48" t="str">
        <f t="shared" si="9"/>
        <v/>
      </c>
      <c r="W93" s="48" t="str">
        <f t="shared" si="9"/>
        <v/>
      </c>
      <c r="X93" s="48" t="str">
        <f t="shared" si="9"/>
        <v/>
      </c>
      <c r="Y93" s="48" t="str">
        <f t="shared" si="9"/>
        <v/>
      </c>
      <c r="Z93" s="48" t="str">
        <f t="shared" si="9"/>
        <v/>
      </c>
      <c r="AA93" s="48" t="str">
        <f t="shared" si="9"/>
        <v/>
      </c>
      <c r="AB93" s="48" t="str">
        <f t="shared" si="9"/>
        <v/>
      </c>
      <c r="AC93" s="55" t="str">
        <f t="shared" si="9"/>
        <v/>
      </c>
    </row>
    <row r="94" spans="1:29" x14ac:dyDescent="0.35">
      <c r="A94"/>
      <c r="B94" s="62"/>
      <c r="D94" s="63"/>
      <c r="F94" s="54" t="str">
        <f t="shared" si="8"/>
        <v/>
      </c>
      <c r="G94" s="48" t="str">
        <f t="shared" si="8"/>
        <v/>
      </c>
      <c r="H94" s="48" t="str">
        <f t="shared" si="8"/>
        <v/>
      </c>
      <c r="I94" s="48" t="str">
        <f t="shared" si="8"/>
        <v/>
      </c>
      <c r="J94" s="48" t="str">
        <f t="shared" si="8"/>
        <v/>
      </c>
      <c r="K94" s="48" t="str">
        <f t="shared" si="8"/>
        <v/>
      </c>
      <c r="L94" s="48" t="str">
        <f t="shared" si="8"/>
        <v/>
      </c>
      <c r="M94" s="48" t="str">
        <f t="shared" si="8"/>
        <v/>
      </c>
      <c r="N94" s="48" t="str">
        <f t="shared" si="8"/>
        <v/>
      </c>
      <c r="O94" s="48" t="str">
        <f t="shared" si="8"/>
        <v/>
      </c>
      <c r="P94" s="48" t="str">
        <f t="shared" si="9"/>
        <v/>
      </c>
      <c r="Q94" s="48" t="str">
        <f t="shared" si="9"/>
        <v/>
      </c>
      <c r="R94" s="48" t="str">
        <f t="shared" si="9"/>
        <v/>
      </c>
      <c r="S94" s="48" t="str">
        <f t="shared" si="9"/>
        <v/>
      </c>
      <c r="T94" s="48" t="str">
        <f t="shared" si="9"/>
        <v/>
      </c>
      <c r="U94" s="48" t="str">
        <f t="shared" si="9"/>
        <v/>
      </c>
      <c r="V94" s="48" t="str">
        <f t="shared" si="9"/>
        <v/>
      </c>
      <c r="W94" s="48" t="str">
        <f t="shared" si="9"/>
        <v/>
      </c>
      <c r="X94" s="48" t="str">
        <f t="shared" si="9"/>
        <v/>
      </c>
      <c r="Y94" s="48" t="str">
        <f t="shared" si="9"/>
        <v/>
      </c>
      <c r="Z94" s="48" t="str">
        <f t="shared" si="9"/>
        <v/>
      </c>
      <c r="AA94" s="48" t="str">
        <f t="shared" si="9"/>
        <v/>
      </c>
      <c r="AB94" s="48" t="str">
        <f t="shared" si="9"/>
        <v/>
      </c>
      <c r="AC94" s="55" t="str">
        <f t="shared" si="9"/>
        <v/>
      </c>
    </row>
    <row r="95" spans="1:29" x14ac:dyDescent="0.35">
      <c r="A95"/>
      <c r="B95" s="62"/>
      <c r="D95" s="63"/>
      <c r="F95" s="54" t="str">
        <f t="shared" si="8"/>
        <v/>
      </c>
      <c r="G95" s="48" t="str">
        <f t="shared" si="8"/>
        <v/>
      </c>
      <c r="H95" s="48" t="str">
        <f t="shared" si="8"/>
        <v/>
      </c>
      <c r="I95" s="48" t="str">
        <f t="shared" si="8"/>
        <v/>
      </c>
      <c r="J95" s="48" t="str">
        <f t="shared" si="8"/>
        <v/>
      </c>
      <c r="K95" s="48" t="str">
        <f t="shared" si="8"/>
        <v/>
      </c>
      <c r="L95" s="48" t="str">
        <f t="shared" si="8"/>
        <v/>
      </c>
      <c r="M95" s="48" t="str">
        <f t="shared" si="8"/>
        <v/>
      </c>
      <c r="N95" s="48" t="str">
        <f t="shared" si="8"/>
        <v/>
      </c>
      <c r="O95" s="48" t="str">
        <f t="shared" si="8"/>
        <v/>
      </c>
      <c r="P95" s="48" t="str">
        <f t="shared" si="9"/>
        <v/>
      </c>
      <c r="Q95" s="48" t="str">
        <f t="shared" si="9"/>
        <v/>
      </c>
      <c r="R95" s="48" t="str">
        <f t="shared" si="9"/>
        <v/>
      </c>
      <c r="S95" s="48" t="str">
        <f t="shared" si="9"/>
        <v/>
      </c>
      <c r="T95" s="48" t="str">
        <f t="shared" si="9"/>
        <v/>
      </c>
      <c r="U95" s="48" t="str">
        <f t="shared" si="9"/>
        <v/>
      </c>
      <c r="V95" s="48" t="str">
        <f t="shared" si="9"/>
        <v/>
      </c>
      <c r="W95" s="48" t="str">
        <f t="shared" si="9"/>
        <v/>
      </c>
      <c r="X95" s="48" t="str">
        <f t="shared" si="9"/>
        <v/>
      </c>
      <c r="Y95" s="48" t="str">
        <f t="shared" si="9"/>
        <v/>
      </c>
      <c r="Z95" s="48" t="str">
        <f t="shared" si="9"/>
        <v/>
      </c>
      <c r="AA95" s="48" t="str">
        <f t="shared" si="9"/>
        <v/>
      </c>
      <c r="AB95" s="48" t="str">
        <f t="shared" si="9"/>
        <v/>
      </c>
      <c r="AC95" s="55" t="str">
        <f t="shared" si="9"/>
        <v/>
      </c>
    </row>
    <row r="96" spans="1:29" x14ac:dyDescent="0.35">
      <c r="A96"/>
      <c r="B96" s="62"/>
      <c r="D96" s="63"/>
      <c r="F96" s="54" t="str">
        <f t="shared" si="8"/>
        <v/>
      </c>
      <c r="G96" s="48" t="str">
        <f t="shared" si="8"/>
        <v/>
      </c>
      <c r="H96" s="48" t="str">
        <f t="shared" si="8"/>
        <v/>
      </c>
      <c r="I96" s="48" t="str">
        <f t="shared" si="8"/>
        <v/>
      </c>
      <c r="J96" s="48" t="str">
        <f t="shared" si="8"/>
        <v/>
      </c>
      <c r="K96" s="48" t="str">
        <f t="shared" si="8"/>
        <v/>
      </c>
      <c r="L96" s="48" t="str">
        <f t="shared" si="8"/>
        <v/>
      </c>
      <c r="M96" s="48" t="str">
        <f t="shared" si="8"/>
        <v/>
      </c>
      <c r="N96" s="48" t="str">
        <f t="shared" si="8"/>
        <v/>
      </c>
      <c r="O96" s="48" t="str">
        <f t="shared" si="8"/>
        <v/>
      </c>
      <c r="P96" s="48" t="str">
        <f t="shared" si="9"/>
        <v/>
      </c>
      <c r="Q96" s="48" t="str">
        <f t="shared" si="9"/>
        <v/>
      </c>
      <c r="R96" s="48" t="str">
        <f t="shared" si="9"/>
        <v/>
      </c>
      <c r="S96" s="48" t="str">
        <f t="shared" si="9"/>
        <v/>
      </c>
      <c r="T96" s="48" t="str">
        <f t="shared" ref="P96:AC106" si="10">IF(AND(T$6&gt;=$C96, T$6&lt;=$D96),"1","")</f>
        <v/>
      </c>
      <c r="U96" s="48" t="str">
        <f t="shared" si="10"/>
        <v/>
      </c>
      <c r="V96" s="48" t="str">
        <f t="shared" si="10"/>
        <v/>
      </c>
      <c r="W96" s="48" t="str">
        <f t="shared" si="10"/>
        <v/>
      </c>
      <c r="X96" s="48" t="str">
        <f t="shared" si="10"/>
        <v/>
      </c>
      <c r="Y96" s="48" t="str">
        <f t="shared" si="10"/>
        <v/>
      </c>
      <c r="Z96" s="48" t="str">
        <f t="shared" si="10"/>
        <v/>
      </c>
      <c r="AA96" s="48" t="str">
        <f t="shared" si="10"/>
        <v/>
      </c>
      <c r="AB96" s="48" t="str">
        <f t="shared" si="10"/>
        <v/>
      </c>
      <c r="AC96" s="55" t="str">
        <f t="shared" si="10"/>
        <v/>
      </c>
    </row>
    <row r="97" spans="1:29" x14ac:dyDescent="0.35">
      <c r="A97"/>
      <c r="B97" s="62"/>
      <c r="D97" s="63"/>
      <c r="F97" s="54" t="str">
        <f t="shared" si="8"/>
        <v/>
      </c>
      <c r="G97" s="48" t="str">
        <f t="shared" si="8"/>
        <v/>
      </c>
      <c r="H97" s="48" t="str">
        <f t="shared" si="8"/>
        <v/>
      </c>
      <c r="I97" s="48" t="str">
        <f t="shared" si="8"/>
        <v/>
      </c>
      <c r="J97" s="48" t="str">
        <f t="shared" si="8"/>
        <v/>
      </c>
      <c r="K97" s="48" t="str">
        <f t="shared" si="8"/>
        <v/>
      </c>
      <c r="L97" s="48" t="str">
        <f t="shared" si="8"/>
        <v/>
      </c>
      <c r="M97" s="48" t="str">
        <f t="shared" si="8"/>
        <v/>
      </c>
      <c r="N97" s="48" t="str">
        <f t="shared" si="8"/>
        <v/>
      </c>
      <c r="O97" s="48" t="str">
        <f t="shared" si="8"/>
        <v/>
      </c>
      <c r="P97" s="48" t="str">
        <f t="shared" si="10"/>
        <v/>
      </c>
      <c r="Q97" s="48" t="str">
        <f t="shared" si="10"/>
        <v/>
      </c>
      <c r="R97" s="48" t="str">
        <f t="shared" si="10"/>
        <v/>
      </c>
      <c r="S97" s="48" t="str">
        <f t="shared" si="10"/>
        <v/>
      </c>
      <c r="T97" s="48" t="str">
        <f t="shared" si="10"/>
        <v/>
      </c>
      <c r="U97" s="48" t="str">
        <f t="shared" si="10"/>
        <v/>
      </c>
      <c r="V97" s="48" t="str">
        <f t="shared" si="10"/>
        <v/>
      </c>
      <c r="W97" s="48" t="str">
        <f t="shared" si="10"/>
        <v/>
      </c>
      <c r="X97" s="48" t="str">
        <f t="shared" si="10"/>
        <v/>
      </c>
      <c r="Y97" s="48" t="str">
        <f t="shared" si="10"/>
        <v/>
      </c>
      <c r="Z97" s="48" t="str">
        <f t="shared" si="10"/>
        <v/>
      </c>
      <c r="AA97" s="48" t="str">
        <f t="shared" si="10"/>
        <v/>
      </c>
      <c r="AB97" s="48" t="str">
        <f t="shared" si="10"/>
        <v/>
      </c>
      <c r="AC97" s="55" t="str">
        <f t="shared" si="10"/>
        <v/>
      </c>
    </row>
    <row r="98" spans="1:29" x14ac:dyDescent="0.35">
      <c r="A98"/>
      <c r="B98" s="62"/>
      <c r="D98" s="63"/>
      <c r="F98" s="54" t="str">
        <f t="shared" si="8"/>
        <v/>
      </c>
      <c r="G98" s="48" t="str">
        <f t="shared" si="8"/>
        <v/>
      </c>
      <c r="H98" s="48" t="str">
        <f t="shared" si="8"/>
        <v/>
      </c>
      <c r="I98" s="48" t="str">
        <f t="shared" si="8"/>
        <v/>
      </c>
      <c r="J98" s="48" t="str">
        <f t="shared" si="8"/>
        <v/>
      </c>
      <c r="K98" s="48" t="str">
        <f t="shared" si="8"/>
        <v/>
      </c>
      <c r="L98" s="48" t="str">
        <f t="shared" si="8"/>
        <v/>
      </c>
      <c r="M98" s="48" t="str">
        <f t="shared" si="8"/>
        <v/>
      </c>
      <c r="N98" s="48" t="str">
        <f t="shared" si="8"/>
        <v/>
      </c>
      <c r="O98" s="48" t="str">
        <f t="shared" ref="F98:O106" si="11">IF(AND(O$6&gt;=$C98, O$6&lt;=$D98),"1","")</f>
        <v/>
      </c>
      <c r="P98" s="48" t="str">
        <f t="shared" si="10"/>
        <v/>
      </c>
      <c r="Q98" s="48" t="str">
        <f t="shared" si="10"/>
        <v/>
      </c>
      <c r="R98" s="48" t="str">
        <f t="shared" si="10"/>
        <v/>
      </c>
      <c r="S98" s="48" t="str">
        <f t="shared" si="10"/>
        <v/>
      </c>
      <c r="T98" s="48" t="str">
        <f t="shared" si="10"/>
        <v/>
      </c>
      <c r="U98" s="48" t="str">
        <f t="shared" si="10"/>
        <v/>
      </c>
      <c r="V98" s="48" t="str">
        <f t="shared" si="10"/>
        <v/>
      </c>
      <c r="W98" s="48" t="str">
        <f t="shared" si="10"/>
        <v/>
      </c>
      <c r="X98" s="48" t="str">
        <f t="shared" si="10"/>
        <v/>
      </c>
      <c r="Y98" s="48" t="str">
        <f t="shared" si="10"/>
        <v/>
      </c>
      <c r="Z98" s="48" t="str">
        <f t="shared" si="10"/>
        <v/>
      </c>
      <c r="AA98" s="48" t="str">
        <f t="shared" si="10"/>
        <v/>
      </c>
      <c r="AB98" s="48" t="str">
        <f t="shared" si="10"/>
        <v/>
      </c>
      <c r="AC98" s="55" t="str">
        <f t="shared" si="10"/>
        <v/>
      </c>
    </row>
    <row r="99" spans="1:29" x14ac:dyDescent="0.35">
      <c r="A99"/>
      <c r="B99" s="62"/>
      <c r="D99" s="63"/>
      <c r="F99" s="54" t="str">
        <f t="shared" si="11"/>
        <v/>
      </c>
      <c r="G99" s="48" t="str">
        <f t="shared" si="11"/>
        <v/>
      </c>
      <c r="H99" s="48" t="str">
        <f t="shared" si="11"/>
        <v/>
      </c>
      <c r="I99" s="48" t="str">
        <f t="shared" si="11"/>
        <v/>
      </c>
      <c r="J99" s="48" t="str">
        <f t="shared" si="11"/>
        <v/>
      </c>
      <c r="K99" s="48" t="str">
        <f t="shared" si="11"/>
        <v/>
      </c>
      <c r="L99" s="48" t="str">
        <f t="shared" si="11"/>
        <v/>
      </c>
      <c r="M99" s="48" t="str">
        <f t="shared" si="11"/>
        <v/>
      </c>
      <c r="N99" s="48" t="str">
        <f t="shared" si="11"/>
        <v/>
      </c>
      <c r="O99" s="48" t="str">
        <f t="shared" si="11"/>
        <v/>
      </c>
      <c r="P99" s="48" t="str">
        <f t="shared" si="10"/>
        <v/>
      </c>
      <c r="Q99" s="48" t="str">
        <f t="shared" si="10"/>
        <v/>
      </c>
      <c r="R99" s="48" t="str">
        <f t="shared" si="10"/>
        <v/>
      </c>
      <c r="S99" s="48" t="str">
        <f t="shared" si="10"/>
        <v/>
      </c>
      <c r="T99" s="48" t="str">
        <f t="shared" si="10"/>
        <v/>
      </c>
      <c r="U99" s="48" t="str">
        <f t="shared" si="10"/>
        <v/>
      </c>
      <c r="V99" s="48" t="str">
        <f t="shared" si="10"/>
        <v/>
      </c>
      <c r="W99" s="48" t="str">
        <f t="shared" si="10"/>
        <v/>
      </c>
      <c r="X99" s="48" t="str">
        <f t="shared" si="10"/>
        <v/>
      </c>
      <c r="Y99" s="48" t="str">
        <f t="shared" si="10"/>
        <v/>
      </c>
      <c r="Z99" s="48" t="str">
        <f t="shared" si="10"/>
        <v/>
      </c>
      <c r="AA99" s="48" t="str">
        <f t="shared" si="10"/>
        <v/>
      </c>
      <c r="AB99" s="48" t="str">
        <f t="shared" si="10"/>
        <v/>
      </c>
      <c r="AC99" s="55" t="str">
        <f t="shared" si="10"/>
        <v/>
      </c>
    </row>
    <row r="100" spans="1:29" x14ac:dyDescent="0.35">
      <c r="A100"/>
      <c r="B100" s="62"/>
      <c r="D100" s="63"/>
      <c r="F100" s="54" t="str">
        <f t="shared" si="11"/>
        <v/>
      </c>
      <c r="G100" s="48" t="str">
        <f t="shared" si="11"/>
        <v/>
      </c>
      <c r="H100" s="48" t="str">
        <f t="shared" si="11"/>
        <v/>
      </c>
      <c r="I100" s="48" t="str">
        <f t="shared" si="11"/>
        <v/>
      </c>
      <c r="J100" s="48" t="str">
        <f t="shared" si="11"/>
        <v/>
      </c>
      <c r="K100" s="48" t="str">
        <f t="shared" si="11"/>
        <v/>
      </c>
      <c r="L100" s="48" t="str">
        <f t="shared" si="11"/>
        <v/>
      </c>
      <c r="M100" s="48" t="str">
        <f t="shared" si="11"/>
        <v/>
      </c>
      <c r="N100" s="48" t="str">
        <f t="shared" si="11"/>
        <v/>
      </c>
      <c r="O100" s="48" t="str">
        <f t="shared" si="11"/>
        <v/>
      </c>
      <c r="P100" s="48" t="str">
        <f t="shared" si="10"/>
        <v/>
      </c>
      <c r="Q100" s="48" t="str">
        <f t="shared" si="10"/>
        <v/>
      </c>
      <c r="R100" s="48" t="str">
        <f t="shared" si="10"/>
        <v/>
      </c>
      <c r="S100" s="48" t="str">
        <f t="shared" si="10"/>
        <v/>
      </c>
      <c r="T100" s="48" t="str">
        <f t="shared" si="10"/>
        <v/>
      </c>
      <c r="U100" s="48" t="str">
        <f t="shared" si="10"/>
        <v/>
      </c>
      <c r="V100" s="48" t="str">
        <f t="shared" si="10"/>
        <v/>
      </c>
      <c r="W100" s="48" t="str">
        <f t="shared" si="10"/>
        <v/>
      </c>
      <c r="X100" s="48" t="str">
        <f t="shared" si="10"/>
        <v/>
      </c>
      <c r="Y100" s="48" t="str">
        <f t="shared" si="10"/>
        <v/>
      </c>
      <c r="Z100" s="48" t="str">
        <f t="shared" si="10"/>
        <v/>
      </c>
      <c r="AA100" s="48" t="str">
        <f t="shared" si="10"/>
        <v/>
      </c>
      <c r="AB100" s="48" t="str">
        <f t="shared" si="10"/>
        <v/>
      </c>
      <c r="AC100" s="55" t="str">
        <f t="shared" si="10"/>
        <v/>
      </c>
    </row>
    <row r="101" spans="1:29" x14ac:dyDescent="0.35">
      <c r="A101"/>
      <c r="B101" s="62"/>
      <c r="D101" s="63"/>
      <c r="F101" s="54" t="str">
        <f t="shared" si="11"/>
        <v/>
      </c>
      <c r="G101" s="48" t="str">
        <f t="shared" si="11"/>
        <v/>
      </c>
      <c r="H101" s="48" t="str">
        <f t="shared" si="11"/>
        <v/>
      </c>
      <c r="I101" s="48" t="str">
        <f t="shared" si="11"/>
        <v/>
      </c>
      <c r="J101" s="48" t="str">
        <f t="shared" si="11"/>
        <v/>
      </c>
      <c r="K101" s="48" t="str">
        <f t="shared" si="11"/>
        <v/>
      </c>
      <c r="L101" s="48" t="str">
        <f t="shared" si="11"/>
        <v/>
      </c>
      <c r="M101" s="48" t="str">
        <f t="shared" si="11"/>
        <v/>
      </c>
      <c r="N101" s="48" t="str">
        <f t="shared" si="11"/>
        <v/>
      </c>
      <c r="O101" s="48" t="str">
        <f t="shared" si="11"/>
        <v/>
      </c>
      <c r="P101" s="48" t="str">
        <f t="shared" si="10"/>
        <v/>
      </c>
      <c r="Q101" s="48" t="str">
        <f t="shared" si="10"/>
        <v/>
      </c>
      <c r="R101" s="48" t="str">
        <f t="shared" si="10"/>
        <v/>
      </c>
      <c r="S101" s="48" t="str">
        <f t="shared" si="10"/>
        <v/>
      </c>
      <c r="T101" s="48" t="str">
        <f t="shared" si="10"/>
        <v/>
      </c>
      <c r="U101" s="48" t="str">
        <f t="shared" si="10"/>
        <v/>
      </c>
      <c r="V101" s="48" t="str">
        <f t="shared" si="10"/>
        <v/>
      </c>
      <c r="W101" s="48" t="str">
        <f t="shared" si="10"/>
        <v/>
      </c>
      <c r="X101" s="48" t="str">
        <f t="shared" si="10"/>
        <v/>
      </c>
      <c r="Y101" s="48" t="str">
        <f t="shared" si="10"/>
        <v/>
      </c>
      <c r="Z101" s="48" t="str">
        <f t="shared" si="10"/>
        <v/>
      </c>
      <c r="AA101" s="48" t="str">
        <f t="shared" si="10"/>
        <v/>
      </c>
      <c r="AB101" s="48" t="str">
        <f t="shared" si="10"/>
        <v/>
      </c>
      <c r="AC101" s="55" t="str">
        <f t="shared" si="10"/>
        <v/>
      </c>
    </row>
    <row r="102" spans="1:29" x14ac:dyDescent="0.35">
      <c r="A102"/>
      <c r="B102" s="62"/>
      <c r="D102" s="63"/>
      <c r="F102" s="54" t="str">
        <f t="shared" si="11"/>
        <v/>
      </c>
      <c r="G102" s="48" t="str">
        <f t="shared" si="11"/>
        <v/>
      </c>
      <c r="H102" s="48" t="str">
        <f t="shared" si="11"/>
        <v/>
      </c>
      <c r="I102" s="48" t="str">
        <f t="shared" si="11"/>
        <v/>
      </c>
      <c r="J102" s="48" t="str">
        <f t="shared" si="11"/>
        <v/>
      </c>
      <c r="K102" s="48" t="str">
        <f t="shared" si="11"/>
        <v/>
      </c>
      <c r="L102" s="48" t="str">
        <f t="shared" si="11"/>
        <v/>
      </c>
      <c r="M102" s="48" t="str">
        <f t="shared" si="11"/>
        <v/>
      </c>
      <c r="N102" s="48" t="str">
        <f t="shared" si="11"/>
        <v/>
      </c>
      <c r="O102" s="48" t="str">
        <f t="shared" si="11"/>
        <v/>
      </c>
      <c r="P102" s="48" t="str">
        <f t="shared" si="10"/>
        <v/>
      </c>
      <c r="Q102" s="48" t="str">
        <f t="shared" si="10"/>
        <v/>
      </c>
      <c r="R102" s="48" t="str">
        <f t="shared" si="10"/>
        <v/>
      </c>
      <c r="S102" s="48" t="str">
        <f t="shared" si="10"/>
        <v/>
      </c>
      <c r="T102" s="48" t="str">
        <f t="shared" si="10"/>
        <v/>
      </c>
      <c r="U102" s="48" t="str">
        <f t="shared" si="10"/>
        <v/>
      </c>
      <c r="V102" s="48" t="str">
        <f t="shared" si="10"/>
        <v/>
      </c>
      <c r="W102" s="48" t="str">
        <f t="shared" si="10"/>
        <v/>
      </c>
      <c r="X102" s="48" t="str">
        <f t="shared" si="10"/>
        <v/>
      </c>
      <c r="Y102" s="48" t="str">
        <f t="shared" si="10"/>
        <v/>
      </c>
      <c r="Z102" s="48" t="str">
        <f t="shared" si="10"/>
        <v/>
      </c>
      <c r="AA102" s="48" t="str">
        <f t="shared" si="10"/>
        <v/>
      </c>
      <c r="AB102" s="48" t="str">
        <f t="shared" si="10"/>
        <v/>
      </c>
      <c r="AC102" s="55" t="str">
        <f t="shared" si="10"/>
        <v/>
      </c>
    </row>
    <row r="103" spans="1:29" x14ac:dyDescent="0.35">
      <c r="A103"/>
      <c r="B103" s="62"/>
      <c r="D103" s="63"/>
      <c r="F103" s="54" t="str">
        <f t="shared" si="11"/>
        <v/>
      </c>
      <c r="G103" s="48" t="str">
        <f t="shared" si="11"/>
        <v/>
      </c>
      <c r="H103" s="48" t="str">
        <f t="shared" si="11"/>
        <v/>
      </c>
      <c r="I103" s="48" t="str">
        <f t="shared" si="11"/>
        <v/>
      </c>
      <c r="J103" s="48" t="str">
        <f t="shared" si="11"/>
        <v/>
      </c>
      <c r="K103" s="48" t="str">
        <f t="shared" si="11"/>
        <v/>
      </c>
      <c r="L103" s="48" t="str">
        <f t="shared" si="11"/>
        <v/>
      </c>
      <c r="M103" s="48" t="str">
        <f t="shared" si="11"/>
        <v/>
      </c>
      <c r="N103" s="48" t="str">
        <f t="shared" si="11"/>
        <v/>
      </c>
      <c r="O103" s="48" t="str">
        <f t="shared" si="11"/>
        <v/>
      </c>
      <c r="P103" s="48" t="str">
        <f t="shared" si="10"/>
        <v/>
      </c>
      <c r="Q103" s="48" t="str">
        <f t="shared" si="10"/>
        <v/>
      </c>
      <c r="R103" s="48" t="str">
        <f t="shared" si="10"/>
        <v/>
      </c>
      <c r="S103" s="48" t="str">
        <f t="shared" si="10"/>
        <v/>
      </c>
      <c r="T103" s="48" t="str">
        <f t="shared" si="10"/>
        <v/>
      </c>
      <c r="U103" s="48" t="str">
        <f t="shared" si="10"/>
        <v/>
      </c>
      <c r="V103" s="48" t="str">
        <f t="shared" si="10"/>
        <v/>
      </c>
      <c r="W103" s="48" t="str">
        <f t="shared" si="10"/>
        <v/>
      </c>
      <c r="X103" s="48" t="str">
        <f t="shared" si="10"/>
        <v/>
      </c>
      <c r="Y103" s="48" t="str">
        <f t="shared" si="10"/>
        <v/>
      </c>
      <c r="Z103" s="48" t="str">
        <f t="shared" si="10"/>
        <v/>
      </c>
      <c r="AA103" s="48" t="str">
        <f t="shared" si="10"/>
        <v/>
      </c>
      <c r="AB103" s="48" t="str">
        <f t="shared" si="10"/>
        <v/>
      </c>
      <c r="AC103" s="55" t="str">
        <f t="shared" si="10"/>
        <v/>
      </c>
    </row>
    <row r="104" spans="1:29" x14ac:dyDescent="0.35">
      <c r="A104"/>
      <c r="B104" s="62"/>
      <c r="D104" s="63"/>
      <c r="F104" s="54" t="str">
        <f t="shared" si="11"/>
        <v/>
      </c>
      <c r="G104" s="48" t="str">
        <f t="shared" si="11"/>
        <v/>
      </c>
      <c r="H104" s="48" t="str">
        <f t="shared" si="11"/>
        <v/>
      </c>
      <c r="I104" s="48" t="str">
        <f t="shared" si="11"/>
        <v/>
      </c>
      <c r="J104" s="48" t="str">
        <f t="shared" si="11"/>
        <v/>
      </c>
      <c r="K104" s="48" t="str">
        <f t="shared" si="11"/>
        <v/>
      </c>
      <c r="L104" s="48" t="str">
        <f t="shared" si="11"/>
        <v/>
      </c>
      <c r="M104" s="48" t="str">
        <f t="shared" si="11"/>
        <v/>
      </c>
      <c r="N104" s="48" t="str">
        <f t="shared" si="11"/>
        <v/>
      </c>
      <c r="O104" s="48" t="str">
        <f t="shared" si="11"/>
        <v/>
      </c>
      <c r="P104" s="48" t="str">
        <f t="shared" si="10"/>
        <v/>
      </c>
      <c r="Q104" s="48" t="str">
        <f t="shared" si="10"/>
        <v/>
      </c>
      <c r="R104" s="48" t="str">
        <f t="shared" si="10"/>
        <v/>
      </c>
      <c r="S104" s="48" t="str">
        <f t="shared" si="10"/>
        <v/>
      </c>
      <c r="T104" s="48" t="str">
        <f t="shared" si="10"/>
        <v/>
      </c>
      <c r="U104" s="48" t="str">
        <f t="shared" si="10"/>
        <v/>
      </c>
      <c r="V104" s="48" t="str">
        <f t="shared" si="10"/>
        <v/>
      </c>
      <c r="W104" s="48" t="str">
        <f t="shared" si="10"/>
        <v/>
      </c>
      <c r="X104" s="48" t="str">
        <f t="shared" si="10"/>
        <v/>
      </c>
      <c r="Y104" s="48" t="str">
        <f t="shared" si="10"/>
        <v/>
      </c>
      <c r="Z104" s="48" t="str">
        <f t="shared" si="10"/>
        <v/>
      </c>
      <c r="AA104" s="48" t="str">
        <f t="shared" si="10"/>
        <v/>
      </c>
      <c r="AB104" s="48" t="str">
        <f t="shared" si="10"/>
        <v/>
      </c>
      <c r="AC104" s="55" t="str">
        <f t="shared" si="10"/>
        <v/>
      </c>
    </row>
    <row r="105" spans="1:29" x14ac:dyDescent="0.35">
      <c r="A105"/>
      <c r="B105" s="62"/>
      <c r="D105" s="63"/>
      <c r="F105" s="54" t="str">
        <f t="shared" si="11"/>
        <v/>
      </c>
      <c r="G105" s="48" t="str">
        <f t="shared" si="11"/>
        <v/>
      </c>
      <c r="H105" s="48" t="str">
        <f t="shared" si="11"/>
        <v/>
      </c>
      <c r="I105" s="48" t="str">
        <f t="shared" si="11"/>
        <v/>
      </c>
      <c r="J105" s="48" t="str">
        <f t="shared" si="11"/>
        <v/>
      </c>
      <c r="K105" s="48" t="str">
        <f t="shared" si="11"/>
        <v/>
      </c>
      <c r="L105" s="48" t="str">
        <f t="shared" si="11"/>
        <v/>
      </c>
      <c r="M105" s="48" t="str">
        <f t="shared" si="11"/>
        <v/>
      </c>
      <c r="N105" s="48" t="str">
        <f t="shared" si="11"/>
        <v/>
      </c>
      <c r="O105" s="48" t="str">
        <f t="shared" si="11"/>
        <v/>
      </c>
      <c r="P105" s="48" t="str">
        <f t="shared" si="10"/>
        <v/>
      </c>
      <c r="Q105" s="48" t="str">
        <f t="shared" si="10"/>
        <v/>
      </c>
      <c r="R105" s="48" t="str">
        <f t="shared" si="10"/>
        <v/>
      </c>
      <c r="S105" s="48" t="str">
        <f t="shared" si="10"/>
        <v/>
      </c>
      <c r="T105" s="48" t="str">
        <f t="shared" si="10"/>
        <v/>
      </c>
      <c r="U105" s="48" t="str">
        <f t="shared" si="10"/>
        <v/>
      </c>
      <c r="V105" s="48" t="str">
        <f t="shared" si="10"/>
        <v/>
      </c>
      <c r="W105" s="48" t="str">
        <f t="shared" si="10"/>
        <v/>
      </c>
      <c r="X105" s="48" t="str">
        <f t="shared" si="10"/>
        <v/>
      </c>
      <c r="Y105" s="48" t="str">
        <f t="shared" si="10"/>
        <v/>
      </c>
      <c r="Z105" s="48" t="str">
        <f t="shared" si="10"/>
        <v/>
      </c>
      <c r="AA105" s="48" t="str">
        <f t="shared" si="10"/>
        <v/>
      </c>
      <c r="AB105" s="48" t="str">
        <f t="shared" si="10"/>
        <v/>
      </c>
      <c r="AC105" s="55" t="str">
        <f t="shared" si="10"/>
        <v/>
      </c>
    </row>
    <row r="106" spans="1:29" x14ac:dyDescent="0.35">
      <c r="A106"/>
      <c r="B106" s="64"/>
      <c r="C106" s="65"/>
      <c r="D106" s="66"/>
      <c r="F106" s="56" t="str">
        <f t="shared" si="11"/>
        <v/>
      </c>
      <c r="G106" s="57" t="str">
        <f t="shared" si="11"/>
        <v/>
      </c>
      <c r="H106" s="57" t="str">
        <f t="shared" si="11"/>
        <v/>
      </c>
      <c r="I106" s="57" t="str">
        <f t="shared" si="11"/>
        <v/>
      </c>
      <c r="J106" s="57" t="str">
        <f t="shared" si="11"/>
        <v/>
      </c>
      <c r="K106" s="57" t="str">
        <f t="shared" si="11"/>
        <v/>
      </c>
      <c r="L106" s="57" t="str">
        <f t="shared" si="11"/>
        <v/>
      </c>
      <c r="M106" s="57" t="str">
        <f t="shared" si="11"/>
        <v/>
      </c>
      <c r="N106" s="57" t="str">
        <f t="shared" si="11"/>
        <v/>
      </c>
      <c r="O106" s="57" t="str">
        <f t="shared" si="11"/>
        <v/>
      </c>
      <c r="P106" s="57" t="str">
        <f t="shared" si="10"/>
        <v/>
      </c>
      <c r="Q106" s="57" t="str">
        <f t="shared" si="10"/>
        <v/>
      </c>
      <c r="R106" s="57" t="str">
        <f t="shared" si="10"/>
        <v/>
      </c>
      <c r="S106" s="57" t="str">
        <f t="shared" si="10"/>
        <v/>
      </c>
      <c r="T106" s="57" t="str">
        <f t="shared" si="10"/>
        <v/>
      </c>
      <c r="U106" s="57" t="str">
        <f t="shared" si="10"/>
        <v/>
      </c>
      <c r="V106" s="57" t="str">
        <f t="shared" si="10"/>
        <v/>
      </c>
      <c r="W106" s="57" t="str">
        <f t="shared" si="10"/>
        <v/>
      </c>
      <c r="X106" s="57" t="str">
        <f t="shared" si="10"/>
        <v/>
      </c>
      <c r="Y106" s="57" t="str">
        <f t="shared" si="10"/>
        <v/>
      </c>
      <c r="Z106" s="57" t="str">
        <f t="shared" si="10"/>
        <v/>
      </c>
      <c r="AA106" s="57" t="str">
        <f t="shared" si="10"/>
        <v/>
      </c>
      <c r="AB106" s="57" t="str">
        <f t="shared" si="10"/>
        <v/>
      </c>
      <c r="AC106" s="58" t="str">
        <f t="shared" si="10"/>
        <v/>
      </c>
    </row>
    <row r="107" spans="1:29" x14ac:dyDescent="0.35">
      <c r="A107"/>
    </row>
    <row r="108" spans="1:29" x14ac:dyDescent="0.35">
      <c r="A108"/>
    </row>
    <row r="109" spans="1:29" x14ac:dyDescent="0.35">
      <c r="A109"/>
    </row>
    <row r="110" spans="1:29" x14ac:dyDescent="0.35">
      <c r="A110"/>
    </row>
    <row r="111" spans="1:29" x14ac:dyDescent="0.35">
      <c r="A111"/>
    </row>
    <row r="112" spans="1:29" x14ac:dyDescent="0.35">
      <c r="A112"/>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row r="158" spans="1:1" x14ac:dyDescent="0.35">
      <c r="A158"/>
    </row>
    <row r="159" spans="1:1" x14ac:dyDescent="0.35">
      <c r="A159"/>
    </row>
    <row r="160" spans="1:1" x14ac:dyDescent="0.35">
      <c r="A160"/>
    </row>
    <row r="161" spans="1:1" x14ac:dyDescent="0.35">
      <c r="A161"/>
    </row>
    <row r="162" spans="1:1" x14ac:dyDescent="0.35">
      <c r="A162"/>
    </row>
    <row r="163" spans="1:1" x14ac:dyDescent="0.35">
      <c r="A163"/>
    </row>
    <row r="164" spans="1:1" x14ac:dyDescent="0.35">
      <c r="A164"/>
    </row>
    <row r="165" spans="1:1" x14ac:dyDescent="0.35">
      <c r="A165"/>
    </row>
    <row r="166" spans="1:1" x14ac:dyDescent="0.35">
      <c r="A166"/>
    </row>
    <row r="167" spans="1:1" x14ac:dyDescent="0.35">
      <c r="A167"/>
    </row>
    <row r="168" spans="1:1" x14ac:dyDescent="0.35">
      <c r="A168"/>
    </row>
    <row r="169" spans="1:1" x14ac:dyDescent="0.35">
      <c r="A169"/>
    </row>
    <row r="170" spans="1:1" x14ac:dyDescent="0.35">
      <c r="A170"/>
    </row>
    <row r="171" spans="1:1" x14ac:dyDescent="0.35">
      <c r="A171"/>
    </row>
    <row r="172" spans="1:1" x14ac:dyDescent="0.35">
      <c r="A172"/>
    </row>
    <row r="173" spans="1:1" x14ac:dyDescent="0.35">
      <c r="A173"/>
    </row>
    <row r="174" spans="1:1" x14ac:dyDescent="0.35">
      <c r="A174"/>
    </row>
    <row r="175" spans="1:1" x14ac:dyDescent="0.35">
      <c r="A175"/>
    </row>
    <row r="176" spans="1:1" x14ac:dyDescent="0.35">
      <c r="A176"/>
    </row>
    <row r="177" spans="1:1" x14ac:dyDescent="0.35">
      <c r="A177"/>
    </row>
    <row r="178" spans="1:1" x14ac:dyDescent="0.35">
      <c r="A178"/>
    </row>
    <row r="179" spans="1:1" x14ac:dyDescent="0.35">
      <c r="A179"/>
    </row>
    <row r="180" spans="1:1" x14ac:dyDescent="0.35">
      <c r="A180"/>
    </row>
    <row r="181" spans="1:1" x14ac:dyDescent="0.35">
      <c r="A181"/>
    </row>
    <row r="182" spans="1:1" x14ac:dyDescent="0.35">
      <c r="A182"/>
    </row>
    <row r="183" spans="1:1" x14ac:dyDescent="0.35">
      <c r="A183"/>
    </row>
    <row r="184" spans="1:1" x14ac:dyDescent="0.35">
      <c r="A184"/>
    </row>
    <row r="185" spans="1:1" x14ac:dyDescent="0.35">
      <c r="A185"/>
    </row>
    <row r="186" spans="1:1" x14ac:dyDescent="0.35">
      <c r="A186"/>
    </row>
    <row r="187" spans="1:1" x14ac:dyDescent="0.35">
      <c r="A187"/>
    </row>
    <row r="188" spans="1:1" x14ac:dyDescent="0.35">
      <c r="A188"/>
    </row>
    <row r="189" spans="1:1" x14ac:dyDescent="0.35">
      <c r="A189"/>
    </row>
    <row r="190" spans="1:1" x14ac:dyDescent="0.35">
      <c r="A190"/>
    </row>
    <row r="191" spans="1:1" x14ac:dyDescent="0.35">
      <c r="A191"/>
    </row>
    <row r="192" spans="1:1" x14ac:dyDescent="0.35">
      <c r="A192"/>
    </row>
    <row r="193" spans="1:1" x14ac:dyDescent="0.35">
      <c r="A193"/>
    </row>
    <row r="194" spans="1:1" x14ac:dyDescent="0.35">
      <c r="A194"/>
    </row>
    <row r="195" spans="1:1" x14ac:dyDescent="0.35">
      <c r="A195"/>
    </row>
    <row r="196" spans="1:1" x14ac:dyDescent="0.35">
      <c r="A196"/>
    </row>
    <row r="197" spans="1:1" x14ac:dyDescent="0.35">
      <c r="A197"/>
    </row>
    <row r="198" spans="1:1" x14ac:dyDescent="0.35">
      <c r="A198"/>
    </row>
    <row r="199" spans="1:1" x14ac:dyDescent="0.35">
      <c r="A199"/>
    </row>
    <row r="200" spans="1:1" x14ac:dyDescent="0.35">
      <c r="A200"/>
    </row>
    <row r="201" spans="1:1" x14ac:dyDescent="0.35">
      <c r="A201"/>
    </row>
    <row r="202" spans="1:1" x14ac:dyDescent="0.35">
      <c r="A202"/>
    </row>
    <row r="203" spans="1:1" x14ac:dyDescent="0.35">
      <c r="A203"/>
    </row>
    <row r="204" spans="1:1" x14ac:dyDescent="0.35">
      <c r="A204"/>
    </row>
    <row r="205" spans="1:1" x14ac:dyDescent="0.35">
      <c r="A205"/>
    </row>
    <row r="206" spans="1:1" x14ac:dyDescent="0.35">
      <c r="A206"/>
    </row>
    <row r="207" spans="1:1" x14ac:dyDescent="0.35">
      <c r="A207"/>
    </row>
    <row r="208" spans="1:1" x14ac:dyDescent="0.35">
      <c r="A208"/>
    </row>
    <row r="209" spans="1:1" x14ac:dyDescent="0.35">
      <c r="A209"/>
    </row>
    <row r="210" spans="1:1" x14ac:dyDescent="0.35">
      <c r="A210"/>
    </row>
    <row r="211" spans="1:1" x14ac:dyDescent="0.35">
      <c r="A211"/>
    </row>
    <row r="212" spans="1:1" x14ac:dyDescent="0.35">
      <c r="A212"/>
    </row>
    <row r="213" spans="1:1" x14ac:dyDescent="0.35">
      <c r="A213"/>
    </row>
    <row r="214" spans="1:1" x14ac:dyDescent="0.35">
      <c r="A214"/>
    </row>
    <row r="215" spans="1:1" x14ac:dyDescent="0.35">
      <c r="A215"/>
    </row>
    <row r="216" spans="1:1" x14ac:dyDescent="0.35">
      <c r="A216"/>
    </row>
    <row r="217" spans="1:1" x14ac:dyDescent="0.35">
      <c r="A217"/>
    </row>
    <row r="218" spans="1:1" x14ac:dyDescent="0.35">
      <c r="A218"/>
    </row>
    <row r="219" spans="1:1" x14ac:dyDescent="0.35">
      <c r="A219"/>
    </row>
    <row r="220" spans="1:1" x14ac:dyDescent="0.35">
      <c r="A220"/>
    </row>
    <row r="221" spans="1:1" x14ac:dyDescent="0.35">
      <c r="A221"/>
    </row>
    <row r="222" spans="1:1" x14ac:dyDescent="0.35">
      <c r="A222"/>
    </row>
    <row r="223" spans="1:1" x14ac:dyDescent="0.35">
      <c r="A223"/>
    </row>
    <row r="224" spans="1:1" x14ac:dyDescent="0.35">
      <c r="A224"/>
    </row>
    <row r="225" spans="1:1" x14ac:dyDescent="0.35">
      <c r="A225"/>
    </row>
    <row r="226" spans="1:1" x14ac:dyDescent="0.35">
      <c r="A226"/>
    </row>
    <row r="227" spans="1:1" x14ac:dyDescent="0.35">
      <c r="A227"/>
    </row>
    <row r="228" spans="1:1" x14ac:dyDescent="0.35">
      <c r="A228"/>
    </row>
    <row r="229" spans="1:1" x14ac:dyDescent="0.35">
      <c r="A229"/>
    </row>
    <row r="230" spans="1:1" x14ac:dyDescent="0.35">
      <c r="A230"/>
    </row>
    <row r="231" spans="1:1" x14ac:dyDescent="0.35">
      <c r="A231"/>
    </row>
    <row r="232" spans="1:1" x14ac:dyDescent="0.35">
      <c r="A232"/>
    </row>
    <row r="233" spans="1:1" x14ac:dyDescent="0.35">
      <c r="A233"/>
    </row>
    <row r="234" spans="1:1" x14ac:dyDescent="0.35">
      <c r="A234"/>
    </row>
    <row r="235" spans="1:1" x14ac:dyDescent="0.35">
      <c r="A235"/>
    </row>
    <row r="236" spans="1:1" x14ac:dyDescent="0.35">
      <c r="A236"/>
    </row>
    <row r="237" spans="1:1" x14ac:dyDescent="0.35">
      <c r="A237"/>
    </row>
    <row r="238" spans="1:1" x14ac:dyDescent="0.35">
      <c r="A238"/>
    </row>
    <row r="239" spans="1:1" x14ac:dyDescent="0.35">
      <c r="A239"/>
    </row>
    <row r="240" spans="1:1" x14ac:dyDescent="0.35">
      <c r="A240"/>
    </row>
    <row r="241" spans="1:1" x14ac:dyDescent="0.35">
      <c r="A241"/>
    </row>
    <row r="242" spans="1:1" x14ac:dyDescent="0.35">
      <c r="A242"/>
    </row>
    <row r="243" spans="1:1" x14ac:dyDescent="0.35">
      <c r="A243"/>
    </row>
    <row r="244" spans="1:1" x14ac:dyDescent="0.35">
      <c r="A244"/>
    </row>
    <row r="245" spans="1:1" x14ac:dyDescent="0.35">
      <c r="A245"/>
    </row>
    <row r="246" spans="1:1" x14ac:dyDescent="0.35">
      <c r="A246"/>
    </row>
    <row r="247" spans="1:1" x14ac:dyDescent="0.35">
      <c r="A247"/>
    </row>
    <row r="248" spans="1:1" x14ac:dyDescent="0.35">
      <c r="A248"/>
    </row>
    <row r="249" spans="1:1" x14ac:dyDescent="0.35">
      <c r="A249"/>
    </row>
    <row r="250" spans="1:1" x14ac:dyDescent="0.35">
      <c r="A250"/>
    </row>
    <row r="251" spans="1:1" x14ac:dyDescent="0.35">
      <c r="A251"/>
    </row>
    <row r="252" spans="1:1" x14ac:dyDescent="0.35">
      <c r="A252"/>
    </row>
    <row r="253" spans="1:1" x14ac:dyDescent="0.35">
      <c r="A253"/>
    </row>
    <row r="254" spans="1:1" x14ac:dyDescent="0.35">
      <c r="A254"/>
    </row>
    <row r="255" spans="1:1" x14ac:dyDescent="0.35">
      <c r="A255"/>
    </row>
    <row r="256" spans="1:1" x14ac:dyDescent="0.35">
      <c r="A256"/>
    </row>
    <row r="257" spans="1:1" x14ac:dyDescent="0.35">
      <c r="A257"/>
    </row>
    <row r="258" spans="1:1" x14ac:dyDescent="0.35">
      <c r="A258"/>
    </row>
    <row r="259" spans="1:1" x14ac:dyDescent="0.35">
      <c r="A259"/>
    </row>
    <row r="260" spans="1:1" x14ac:dyDescent="0.35">
      <c r="A260"/>
    </row>
    <row r="261" spans="1:1" x14ac:dyDescent="0.35">
      <c r="A261"/>
    </row>
    <row r="262" spans="1:1" x14ac:dyDescent="0.35">
      <c r="A262"/>
    </row>
    <row r="263" spans="1:1" x14ac:dyDescent="0.35">
      <c r="A263"/>
    </row>
    <row r="264" spans="1:1" x14ac:dyDescent="0.35">
      <c r="A264"/>
    </row>
    <row r="265" spans="1:1" x14ac:dyDescent="0.35">
      <c r="A265"/>
    </row>
    <row r="266" spans="1:1" x14ac:dyDescent="0.35">
      <c r="A266"/>
    </row>
    <row r="267" spans="1:1" x14ac:dyDescent="0.35">
      <c r="A267"/>
    </row>
    <row r="268" spans="1:1" x14ac:dyDescent="0.35">
      <c r="A268"/>
    </row>
    <row r="269" spans="1:1" x14ac:dyDescent="0.35">
      <c r="A269"/>
    </row>
    <row r="270" spans="1:1" x14ac:dyDescent="0.35">
      <c r="A270"/>
    </row>
    <row r="271" spans="1:1" x14ac:dyDescent="0.35">
      <c r="A271"/>
    </row>
    <row r="272" spans="1:1" x14ac:dyDescent="0.35">
      <c r="A272"/>
    </row>
    <row r="273" spans="1:1" x14ac:dyDescent="0.35">
      <c r="A273"/>
    </row>
    <row r="274" spans="1:1" x14ac:dyDescent="0.35">
      <c r="A274"/>
    </row>
    <row r="275" spans="1:1" x14ac:dyDescent="0.35">
      <c r="A275"/>
    </row>
    <row r="276" spans="1:1" x14ac:dyDescent="0.35">
      <c r="A276"/>
    </row>
    <row r="277" spans="1:1" x14ac:dyDescent="0.35">
      <c r="A277"/>
    </row>
    <row r="278" spans="1:1" x14ac:dyDescent="0.35">
      <c r="A278"/>
    </row>
    <row r="279" spans="1:1" x14ac:dyDescent="0.35">
      <c r="A279"/>
    </row>
    <row r="280" spans="1:1" x14ac:dyDescent="0.35">
      <c r="A280"/>
    </row>
    <row r="281" spans="1:1" x14ac:dyDescent="0.35">
      <c r="A281"/>
    </row>
    <row r="282" spans="1:1" x14ac:dyDescent="0.35">
      <c r="A282"/>
    </row>
    <row r="283" spans="1:1" x14ac:dyDescent="0.35">
      <c r="A283"/>
    </row>
    <row r="284" spans="1:1" x14ac:dyDescent="0.35">
      <c r="A284"/>
    </row>
    <row r="285" spans="1:1" x14ac:dyDescent="0.35">
      <c r="A285"/>
    </row>
    <row r="286" spans="1:1" x14ac:dyDescent="0.35">
      <c r="A286"/>
    </row>
    <row r="287" spans="1:1" x14ac:dyDescent="0.35">
      <c r="A287"/>
    </row>
    <row r="288" spans="1:1" x14ac:dyDescent="0.35">
      <c r="A288"/>
    </row>
    <row r="289" spans="1:1" x14ac:dyDescent="0.35">
      <c r="A289"/>
    </row>
    <row r="290" spans="1:1" x14ac:dyDescent="0.35">
      <c r="A290"/>
    </row>
    <row r="291" spans="1:1" x14ac:dyDescent="0.35">
      <c r="A291"/>
    </row>
    <row r="292" spans="1:1" x14ac:dyDescent="0.35">
      <c r="A292"/>
    </row>
    <row r="293" spans="1:1" x14ac:dyDescent="0.35">
      <c r="A293"/>
    </row>
    <row r="294" spans="1:1" x14ac:dyDescent="0.35">
      <c r="A294"/>
    </row>
    <row r="295" spans="1:1" x14ac:dyDescent="0.35">
      <c r="A295"/>
    </row>
    <row r="296" spans="1:1" x14ac:dyDescent="0.35">
      <c r="A296"/>
    </row>
    <row r="297" spans="1:1" x14ac:dyDescent="0.35">
      <c r="A297"/>
    </row>
    <row r="298" spans="1:1" x14ac:dyDescent="0.35">
      <c r="A298"/>
    </row>
    <row r="299" spans="1:1" x14ac:dyDescent="0.35">
      <c r="A299"/>
    </row>
    <row r="300" spans="1:1" x14ac:dyDescent="0.35">
      <c r="A300"/>
    </row>
    <row r="301" spans="1:1" x14ac:dyDescent="0.35">
      <c r="A301"/>
    </row>
    <row r="302" spans="1:1" x14ac:dyDescent="0.35">
      <c r="A302"/>
    </row>
    <row r="303" spans="1:1" x14ac:dyDescent="0.35">
      <c r="A303"/>
    </row>
    <row r="304" spans="1:1" x14ac:dyDescent="0.35">
      <c r="A304"/>
    </row>
    <row r="305" spans="1:1" x14ac:dyDescent="0.35">
      <c r="A305"/>
    </row>
    <row r="306" spans="1:1" x14ac:dyDescent="0.35">
      <c r="A306"/>
    </row>
    <row r="307" spans="1:1" x14ac:dyDescent="0.35">
      <c r="A307"/>
    </row>
    <row r="308" spans="1:1" x14ac:dyDescent="0.35">
      <c r="A308"/>
    </row>
    <row r="309" spans="1:1" x14ac:dyDescent="0.35">
      <c r="A309"/>
    </row>
    <row r="310" spans="1:1" x14ac:dyDescent="0.35">
      <c r="A310"/>
    </row>
    <row r="311" spans="1:1" x14ac:dyDescent="0.35">
      <c r="A311"/>
    </row>
    <row r="312" spans="1:1" x14ac:dyDescent="0.35">
      <c r="A312"/>
    </row>
    <row r="313" spans="1:1" x14ac:dyDescent="0.35">
      <c r="A313"/>
    </row>
    <row r="314" spans="1:1" x14ac:dyDescent="0.35">
      <c r="A314"/>
    </row>
    <row r="315" spans="1:1" x14ac:dyDescent="0.35">
      <c r="A315"/>
    </row>
    <row r="316" spans="1:1" x14ac:dyDescent="0.35">
      <c r="A316"/>
    </row>
    <row r="317" spans="1:1" x14ac:dyDescent="0.35">
      <c r="A317"/>
    </row>
    <row r="318" spans="1:1" x14ac:dyDescent="0.35">
      <c r="A318"/>
    </row>
    <row r="319" spans="1:1" x14ac:dyDescent="0.35">
      <c r="A319"/>
    </row>
    <row r="320" spans="1:1" x14ac:dyDescent="0.35">
      <c r="A320"/>
    </row>
    <row r="321" spans="1:1" x14ac:dyDescent="0.35">
      <c r="A321"/>
    </row>
    <row r="322" spans="1:1" x14ac:dyDescent="0.35">
      <c r="A322"/>
    </row>
    <row r="323" spans="1:1" x14ac:dyDescent="0.35">
      <c r="A323"/>
    </row>
    <row r="324" spans="1:1" x14ac:dyDescent="0.35">
      <c r="A324"/>
    </row>
    <row r="325" spans="1:1" x14ac:dyDescent="0.35">
      <c r="A325"/>
    </row>
    <row r="326" spans="1:1" x14ac:dyDescent="0.35">
      <c r="A326"/>
    </row>
    <row r="327" spans="1:1" x14ac:dyDescent="0.35">
      <c r="A327"/>
    </row>
    <row r="328" spans="1:1" x14ac:dyDescent="0.35">
      <c r="A328"/>
    </row>
    <row r="329" spans="1:1" x14ac:dyDescent="0.35">
      <c r="A329"/>
    </row>
    <row r="330" spans="1:1" x14ac:dyDescent="0.35">
      <c r="A330"/>
    </row>
    <row r="331" spans="1:1" x14ac:dyDescent="0.35">
      <c r="A331"/>
    </row>
    <row r="332" spans="1:1" x14ac:dyDescent="0.35">
      <c r="A332"/>
    </row>
    <row r="333" spans="1:1" x14ac:dyDescent="0.35">
      <c r="A333"/>
    </row>
    <row r="334" spans="1:1" x14ac:dyDescent="0.35">
      <c r="A334"/>
    </row>
    <row r="335" spans="1:1" x14ac:dyDescent="0.35">
      <c r="A335"/>
    </row>
    <row r="336" spans="1:1" x14ac:dyDescent="0.35">
      <c r="A336"/>
    </row>
    <row r="337" spans="1:1" x14ac:dyDescent="0.35">
      <c r="A337"/>
    </row>
    <row r="338" spans="1:1" x14ac:dyDescent="0.35">
      <c r="A338"/>
    </row>
    <row r="339" spans="1:1" x14ac:dyDescent="0.35">
      <c r="A339"/>
    </row>
    <row r="340" spans="1:1" x14ac:dyDescent="0.35">
      <c r="A340"/>
    </row>
    <row r="341" spans="1:1" x14ac:dyDescent="0.35">
      <c r="A341"/>
    </row>
    <row r="342" spans="1:1" x14ac:dyDescent="0.35">
      <c r="A342"/>
    </row>
    <row r="343" spans="1:1" x14ac:dyDescent="0.35">
      <c r="A343"/>
    </row>
    <row r="344" spans="1:1" x14ac:dyDescent="0.35">
      <c r="A344"/>
    </row>
    <row r="345" spans="1:1" x14ac:dyDescent="0.35">
      <c r="A345"/>
    </row>
    <row r="346" spans="1:1" x14ac:dyDescent="0.35">
      <c r="A346"/>
    </row>
    <row r="347" spans="1:1" x14ac:dyDescent="0.35">
      <c r="A347"/>
    </row>
    <row r="348" spans="1:1" x14ac:dyDescent="0.35">
      <c r="A348"/>
    </row>
    <row r="349" spans="1:1" x14ac:dyDescent="0.35">
      <c r="A349"/>
    </row>
    <row r="350" spans="1:1" x14ac:dyDescent="0.35">
      <c r="A350"/>
    </row>
    <row r="351" spans="1:1" x14ac:dyDescent="0.35">
      <c r="A351"/>
    </row>
    <row r="352" spans="1:1" x14ac:dyDescent="0.35">
      <c r="A352"/>
    </row>
    <row r="353" spans="1:1" x14ac:dyDescent="0.35">
      <c r="A353"/>
    </row>
    <row r="354" spans="1:1" x14ac:dyDescent="0.35">
      <c r="A354"/>
    </row>
    <row r="355" spans="1:1" x14ac:dyDescent="0.35">
      <c r="A355"/>
    </row>
    <row r="356" spans="1:1" x14ac:dyDescent="0.35">
      <c r="A356"/>
    </row>
    <row r="357" spans="1:1" x14ac:dyDescent="0.35">
      <c r="A357"/>
    </row>
    <row r="358" spans="1:1" x14ac:dyDescent="0.35">
      <c r="A358"/>
    </row>
    <row r="359" spans="1:1" x14ac:dyDescent="0.35">
      <c r="A359"/>
    </row>
    <row r="360" spans="1:1" x14ac:dyDescent="0.35">
      <c r="A360"/>
    </row>
    <row r="361" spans="1:1" x14ac:dyDescent="0.35">
      <c r="A361"/>
    </row>
    <row r="362" spans="1:1" x14ac:dyDescent="0.35">
      <c r="A362"/>
    </row>
    <row r="363" spans="1:1" x14ac:dyDescent="0.35">
      <c r="A363"/>
    </row>
    <row r="364" spans="1:1" x14ac:dyDescent="0.35">
      <c r="A364"/>
    </row>
    <row r="365" spans="1:1" x14ac:dyDescent="0.35">
      <c r="A365"/>
    </row>
    <row r="366" spans="1:1" x14ac:dyDescent="0.35">
      <c r="A366"/>
    </row>
    <row r="367" spans="1:1" x14ac:dyDescent="0.35">
      <c r="A367"/>
    </row>
    <row r="368" spans="1:1" x14ac:dyDescent="0.35">
      <c r="A368"/>
    </row>
    <row r="369" spans="1:1" x14ac:dyDescent="0.35">
      <c r="A369"/>
    </row>
    <row r="370" spans="1:1" x14ac:dyDescent="0.35">
      <c r="A370"/>
    </row>
    <row r="371" spans="1:1" x14ac:dyDescent="0.35">
      <c r="A371"/>
    </row>
    <row r="372" spans="1:1" x14ac:dyDescent="0.35">
      <c r="A372"/>
    </row>
    <row r="373" spans="1:1" x14ac:dyDescent="0.35">
      <c r="A373"/>
    </row>
    <row r="374" spans="1:1" x14ac:dyDescent="0.35">
      <c r="A374"/>
    </row>
    <row r="375" spans="1:1" x14ac:dyDescent="0.35">
      <c r="A375"/>
    </row>
    <row r="376" spans="1:1" x14ac:dyDescent="0.35">
      <c r="A376"/>
    </row>
    <row r="377" spans="1:1" x14ac:dyDescent="0.35">
      <c r="A377"/>
    </row>
    <row r="378" spans="1:1" x14ac:dyDescent="0.35">
      <c r="A378"/>
    </row>
    <row r="379" spans="1:1" x14ac:dyDescent="0.35">
      <c r="A379"/>
    </row>
    <row r="380" spans="1:1" x14ac:dyDescent="0.35">
      <c r="A380"/>
    </row>
    <row r="381" spans="1:1" x14ac:dyDescent="0.35">
      <c r="A381"/>
    </row>
    <row r="382" spans="1:1" x14ac:dyDescent="0.35">
      <c r="A382"/>
    </row>
    <row r="383" spans="1:1" x14ac:dyDescent="0.35">
      <c r="A383"/>
    </row>
    <row r="384" spans="1:1" x14ac:dyDescent="0.35">
      <c r="A384"/>
    </row>
    <row r="385" spans="1:1" x14ac:dyDescent="0.35">
      <c r="A385"/>
    </row>
    <row r="386" spans="1:1" x14ac:dyDescent="0.35">
      <c r="A386"/>
    </row>
    <row r="387" spans="1:1" x14ac:dyDescent="0.35">
      <c r="A387"/>
    </row>
    <row r="388" spans="1:1" x14ac:dyDescent="0.35">
      <c r="A388"/>
    </row>
    <row r="389" spans="1:1" x14ac:dyDescent="0.35">
      <c r="A389"/>
    </row>
    <row r="390" spans="1:1" x14ac:dyDescent="0.35">
      <c r="A390"/>
    </row>
    <row r="391" spans="1:1" x14ac:dyDescent="0.35">
      <c r="A391"/>
    </row>
    <row r="392" spans="1:1" x14ac:dyDescent="0.35">
      <c r="A392"/>
    </row>
    <row r="393" spans="1:1" x14ac:dyDescent="0.35">
      <c r="A393"/>
    </row>
    <row r="394" spans="1:1" x14ac:dyDescent="0.35">
      <c r="A394"/>
    </row>
    <row r="395" spans="1:1" x14ac:dyDescent="0.35">
      <c r="A395"/>
    </row>
    <row r="396" spans="1:1" x14ac:dyDescent="0.35">
      <c r="A396"/>
    </row>
    <row r="397" spans="1:1" x14ac:dyDescent="0.35">
      <c r="A397"/>
    </row>
    <row r="398" spans="1:1" x14ac:dyDescent="0.35">
      <c r="A398"/>
    </row>
    <row r="399" spans="1:1" x14ac:dyDescent="0.35">
      <c r="A399"/>
    </row>
    <row r="400" spans="1:1" x14ac:dyDescent="0.35">
      <c r="A400"/>
    </row>
    <row r="401" spans="1:1" x14ac:dyDescent="0.35">
      <c r="A401"/>
    </row>
    <row r="402" spans="1:1" x14ac:dyDescent="0.35">
      <c r="A402"/>
    </row>
    <row r="403" spans="1:1" x14ac:dyDescent="0.35">
      <c r="A403"/>
    </row>
    <row r="404" spans="1:1" x14ac:dyDescent="0.35">
      <c r="A404"/>
    </row>
    <row r="405" spans="1:1" x14ac:dyDescent="0.35">
      <c r="A405"/>
    </row>
    <row r="406" spans="1:1" x14ac:dyDescent="0.35">
      <c r="A406"/>
    </row>
    <row r="407" spans="1:1" x14ac:dyDescent="0.35">
      <c r="A407"/>
    </row>
    <row r="408" spans="1:1" x14ac:dyDescent="0.35">
      <c r="A408"/>
    </row>
    <row r="409" spans="1:1" x14ac:dyDescent="0.35">
      <c r="A409"/>
    </row>
    <row r="410" spans="1:1" x14ac:dyDescent="0.35">
      <c r="A410"/>
    </row>
    <row r="411" spans="1:1" x14ac:dyDescent="0.35">
      <c r="A411"/>
    </row>
    <row r="412" spans="1:1" x14ac:dyDescent="0.35">
      <c r="A412"/>
    </row>
    <row r="413" spans="1:1" x14ac:dyDescent="0.35">
      <c r="A413"/>
    </row>
    <row r="414" spans="1:1" x14ac:dyDescent="0.35">
      <c r="A414"/>
    </row>
    <row r="415" spans="1:1" x14ac:dyDescent="0.35">
      <c r="A415"/>
    </row>
    <row r="416" spans="1:1" x14ac:dyDescent="0.35">
      <c r="A416"/>
    </row>
    <row r="417" spans="1:1" x14ac:dyDescent="0.35">
      <c r="A417"/>
    </row>
    <row r="418" spans="1:1" x14ac:dyDescent="0.35">
      <c r="A418"/>
    </row>
    <row r="419" spans="1:1" x14ac:dyDescent="0.35">
      <c r="A419"/>
    </row>
    <row r="420" spans="1:1" x14ac:dyDescent="0.35">
      <c r="A420"/>
    </row>
    <row r="421" spans="1:1" x14ac:dyDescent="0.35">
      <c r="A421"/>
    </row>
    <row r="422" spans="1:1" x14ac:dyDescent="0.35">
      <c r="A422"/>
    </row>
    <row r="423" spans="1:1" x14ac:dyDescent="0.35">
      <c r="A423"/>
    </row>
    <row r="424" spans="1:1" x14ac:dyDescent="0.35">
      <c r="A424"/>
    </row>
    <row r="425" spans="1:1" x14ac:dyDescent="0.35">
      <c r="A425"/>
    </row>
    <row r="426" spans="1:1" x14ac:dyDescent="0.35">
      <c r="A426"/>
    </row>
    <row r="427" spans="1:1" x14ac:dyDescent="0.35">
      <c r="A427"/>
    </row>
    <row r="428" spans="1:1" x14ac:dyDescent="0.35">
      <c r="A428"/>
    </row>
    <row r="429" spans="1:1" x14ac:dyDescent="0.35">
      <c r="A429"/>
    </row>
    <row r="430" spans="1:1" x14ac:dyDescent="0.35">
      <c r="A430"/>
    </row>
    <row r="431" spans="1:1" x14ac:dyDescent="0.35">
      <c r="A431"/>
    </row>
    <row r="432" spans="1:1" x14ac:dyDescent="0.35">
      <c r="A432"/>
    </row>
    <row r="433" spans="1:1" x14ac:dyDescent="0.35">
      <c r="A433"/>
    </row>
    <row r="434" spans="1:1" x14ac:dyDescent="0.35">
      <c r="A434"/>
    </row>
    <row r="435" spans="1:1" x14ac:dyDescent="0.35">
      <c r="A435"/>
    </row>
    <row r="436" spans="1:1" x14ac:dyDescent="0.35">
      <c r="A436"/>
    </row>
    <row r="437" spans="1:1" x14ac:dyDescent="0.35">
      <c r="A437"/>
    </row>
    <row r="438" spans="1:1" x14ac:dyDescent="0.35">
      <c r="A438"/>
    </row>
    <row r="439" spans="1:1" x14ac:dyDescent="0.35">
      <c r="A439"/>
    </row>
    <row r="440" spans="1:1" x14ac:dyDescent="0.35">
      <c r="A440"/>
    </row>
    <row r="441" spans="1:1" x14ac:dyDescent="0.35">
      <c r="A441"/>
    </row>
    <row r="442" spans="1:1" x14ac:dyDescent="0.35">
      <c r="A442"/>
    </row>
    <row r="443" spans="1:1" x14ac:dyDescent="0.35">
      <c r="A443"/>
    </row>
    <row r="444" spans="1:1" x14ac:dyDescent="0.35">
      <c r="A444"/>
    </row>
    <row r="445" spans="1:1" x14ac:dyDescent="0.35">
      <c r="A445"/>
    </row>
    <row r="446" spans="1:1" x14ac:dyDescent="0.35">
      <c r="A446"/>
    </row>
    <row r="447" spans="1:1" x14ac:dyDescent="0.35">
      <c r="A447"/>
    </row>
    <row r="448" spans="1:1" x14ac:dyDescent="0.35">
      <c r="A448"/>
    </row>
    <row r="449" spans="1:1" x14ac:dyDescent="0.35">
      <c r="A449"/>
    </row>
    <row r="450" spans="1:1" x14ac:dyDescent="0.35">
      <c r="A450"/>
    </row>
    <row r="451" spans="1:1" x14ac:dyDescent="0.35">
      <c r="A451"/>
    </row>
    <row r="452" spans="1:1" x14ac:dyDescent="0.35">
      <c r="A452"/>
    </row>
    <row r="453" spans="1:1" x14ac:dyDescent="0.35">
      <c r="A453"/>
    </row>
    <row r="454" spans="1:1" x14ac:dyDescent="0.35">
      <c r="A454"/>
    </row>
    <row r="455" spans="1:1" x14ac:dyDescent="0.35">
      <c r="A455"/>
    </row>
    <row r="456" spans="1:1" x14ac:dyDescent="0.35">
      <c r="A456"/>
    </row>
    <row r="457" spans="1:1" x14ac:dyDescent="0.35">
      <c r="A457"/>
    </row>
    <row r="458" spans="1:1" x14ac:dyDescent="0.35">
      <c r="A458"/>
    </row>
    <row r="459" spans="1:1" x14ac:dyDescent="0.35">
      <c r="A459"/>
    </row>
    <row r="460" spans="1:1" x14ac:dyDescent="0.35">
      <c r="A460"/>
    </row>
    <row r="461" spans="1:1" x14ac:dyDescent="0.35">
      <c r="A461"/>
    </row>
    <row r="462" spans="1:1" x14ac:dyDescent="0.35">
      <c r="A462"/>
    </row>
    <row r="463" spans="1:1" x14ac:dyDescent="0.35">
      <c r="A463"/>
    </row>
    <row r="464" spans="1:1" x14ac:dyDescent="0.35">
      <c r="A464"/>
    </row>
    <row r="465" spans="1:1" x14ac:dyDescent="0.35">
      <c r="A465"/>
    </row>
    <row r="466" spans="1:1" x14ac:dyDescent="0.35">
      <c r="A466"/>
    </row>
    <row r="467" spans="1:1" x14ac:dyDescent="0.35">
      <c r="A467"/>
    </row>
    <row r="468" spans="1:1" x14ac:dyDescent="0.35">
      <c r="A468"/>
    </row>
    <row r="469" spans="1:1" x14ac:dyDescent="0.35">
      <c r="A469"/>
    </row>
    <row r="470" spans="1:1" x14ac:dyDescent="0.35">
      <c r="A470"/>
    </row>
    <row r="471" spans="1:1" x14ac:dyDescent="0.35">
      <c r="A471"/>
    </row>
    <row r="472" spans="1:1" x14ac:dyDescent="0.35">
      <c r="A472"/>
    </row>
    <row r="473" spans="1:1" x14ac:dyDescent="0.35">
      <c r="A473"/>
    </row>
    <row r="474" spans="1:1" x14ac:dyDescent="0.35">
      <c r="A474"/>
    </row>
    <row r="475" spans="1:1" x14ac:dyDescent="0.35">
      <c r="A475"/>
    </row>
    <row r="476" spans="1:1" x14ac:dyDescent="0.35">
      <c r="A476"/>
    </row>
    <row r="477" spans="1:1" x14ac:dyDescent="0.35">
      <c r="A477"/>
    </row>
    <row r="478" spans="1:1" x14ac:dyDescent="0.35">
      <c r="A478"/>
    </row>
    <row r="479" spans="1:1" x14ac:dyDescent="0.35">
      <c r="A479"/>
    </row>
    <row r="480" spans="1:1" x14ac:dyDescent="0.35">
      <c r="A480"/>
    </row>
    <row r="481" spans="1:1" x14ac:dyDescent="0.35">
      <c r="A481"/>
    </row>
    <row r="482" spans="1:1" x14ac:dyDescent="0.35">
      <c r="A482"/>
    </row>
    <row r="483" spans="1:1" x14ac:dyDescent="0.35">
      <c r="A483"/>
    </row>
    <row r="484" spans="1:1" x14ac:dyDescent="0.35">
      <c r="A484"/>
    </row>
    <row r="485" spans="1:1" x14ac:dyDescent="0.35">
      <c r="A485"/>
    </row>
    <row r="486" spans="1:1" x14ac:dyDescent="0.35">
      <c r="A486"/>
    </row>
    <row r="487" spans="1:1" x14ac:dyDescent="0.35">
      <c r="A487"/>
    </row>
    <row r="488" spans="1:1" x14ac:dyDescent="0.35">
      <c r="A488"/>
    </row>
    <row r="489" spans="1:1" x14ac:dyDescent="0.35">
      <c r="A489"/>
    </row>
    <row r="490" spans="1:1" x14ac:dyDescent="0.35">
      <c r="A490"/>
    </row>
    <row r="491" spans="1:1" x14ac:dyDescent="0.35">
      <c r="A491"/>
    </row>
    <row r="492" spans="1:1" x14ac:dyDescent="0.35">
      <c r="A492"/>
    </row>
    <row r="493" spans="1:1" x14ac:dyDescent="0.35">
      <c r="A493"/>
    </row>
    <row r="494" spans="1:1" x14ac:dyDescent="0.35">
      <c r="A494"/>
    </row>
    <row r="495" spans="1:1" x14ac:dyDescent="0.35">
      <c r="A495"/>
    </row>
    <row r="496" spans="1:1" x14ac:dyDescent="0.35">
      <c r="A496"/>
    </row>
    <row r="497" spans="1:1" x14ac:dyDescent="0.35">
      <c r="A497"/>
    </row>
    <row r="498" spans="1:1" x14ac:dyDescent="0.35">
      <c r="A498"/>
    </row>
    <row r="499" spans="1:1" x14ac:dyDescent="0.35">
      <c r="A499"/>
    </row>
    <row r="500" spans="1:1" x14ac:dyDescent="0.35">
      <c r="A500"/>
    </row>
    <row r="501" spans="1:1" x14ac:dyDescent="0.35">
      <c r="A501"/>
    </row>
    <row r="502" spans="1:1" x14ac:dyDescent="0.35">
      <c r="A502"/>
    </row>
    <row r="503" spans="1:1" x14ac:dyDescent="0.35">
      <c r="A503"/>
    </row>
    <row r="504" spans="1:1" x14ac:dyDescent="0.35">
      <c r="A504"/>
    </row>
    <row r="505" spans="1:1" x14ac:dyDescent="0.35">
      <c r="A505"/>
    </row>
    <row r="506" spans="1:1" x14ac:dyDescent="0.35">
      <c r="A506"/>
    </row>
    <row r="507" spans="1:1" x14ac:dyDescent="0.35">
      <c r="A507"/>
    </row>
    <row r="508" spans="1:1" x14ac:dyDescent="0.35">
      <c r="A508"/>
    </row>
    <row r="509" spans="1:1" x14ac:dyDescent="0.35">
      <c r="A509"/>
    </row>
    <row r="510" spans="1:1" x14ac:dyDescent="0.35">
      <c r="A510"/>
    </row>
    <row r="511" spans="1:1" x14ac:dyDescent="0.35">
      <c r="A511"/>
    </row>
    <row r="512" spans="1:1" x14ac:dyDescent="0.35">
      <c r="A512"/>
    </row>
    <row r="513" spans="1:1" x14ac:dyDescent="0.35">
      <c r="A513"/>
    </row>
    <row r="514" spans="1:1" x14ac:dyDescent="0.35">
      <c r="A514"/>
    </row>
    <row r="515" spans="1:1" x14ac:dyDescent="0.35">
      <c r="A515"/>
    </row>
    <row r="516" spans="1:1" x14ac:dyDescent="0.35">
      <c r="A516"/>
    </row>
    <row r="517" spans="1:1" x14ac:dyDescent="0.35">
      <c r="A517"/>
    </row>
    <row r="518" spans="1:1" x14ac:dyDescent="0.35">
      <c r="A518"/>
    </row>
    <row r="519" spans="1:1" x14ac:dyDescent="0.35">
      <c r="A519"/>
    </row>
    <row r="520" spans="1:1" x14ac:dyDescent="0.35">
      <c r="A520"/>
    </row>
    <row r="521" spans="1:1" x14ac:dyDescent="0.35">
      <c r="A521"/>
    </row>
    <row r="522" spans="1:1" x14ac:dyDescent="0.35">
      <c r="A522"/>
    </row>
    <row r="523" spans="1:1" x14ac:dyDescent="0.35">
      <c r="A523"/>
    </row>
    <row r="524" spans="1:1" x14ac:dyDescent="0.35">
      <c r="A524"/>
    </row>
    <row r="525" spans="1:1" x14ac:dyDescent="0.35">
      <c r="A525"/>
    </row>
    <row r="526" spans="1:1" x14ac:dyDescent="0.35">
      <c r="A526"/>
    </row>
    <row r="527" spans="1:1" x14ac:dyDescent="0.35">
      <c r="A527"/>
    </row>
    <row r="528" spans="1:1" x14ac:dyDescent="0.35">
      <c r="A528"/>
    </row>
    <row r="529" spans="1:1" x14ac:dyDescent="0.35">
      <c r="A529"/>
    </row>
    <row r="530" spans="1:1" x14ac:dyDescent="0.35">
      <c r="A530"/>
    </row>
    <row r="531" spans="1:1" x14ac:dyDescent="0.35">
      <c r="A531"/>
    </row>
    <row r="532" spans="1:1" x14ac:dyDescent="0.35">
      <c r="A532"/>
    </row>
    <row r="533" spans="1:1" x14ac:dyDescent="0.35">
      <c r="A533"/>
    </row>
    <row r="534" spans="1:1" x14ac:dyDescent="0.35">
      <c r="A534"/>
    </row>
    <row r="535" spans="1:1" x14ac:dyDescent="0.35">
      <c r="A535"/>
    </row>
    <row r="536" spans="1:1" x14ac:dyDescent="0.35">
      <c r="A536"/>
    </row>
    <row r="537" spans="1:1" x14ac:dyDescent="0.35">
      <c r="A537"/>
    </row>
    <row r="538" spans="1:1" x14ac:dyDescent="0.35">
      <c r="A538"/>
    </row>
    <row r="539" spans="1:1" x14ac:dyDescent="0.35">
      <c r="A539"/>
    </row>
    <row r="540" spans="1:1" x14ac:dyDescent="0.35">
      <c r="A540"/>
    </row>
    <row r="541" spans="1:1" x14ac:dyDescent="0.35">
      <c r="A541"/>
    </row>
    <row r="542" spans="1:1" x14ac:dyDescent="0.35">
      <c r="A542"/>
    </row>
    <row r="543" spans="1:1" x14ac:dyDescent="0.35">
      <c r="A543"/>
    </row>
    <row r="544" spans="1:1" x14ac:dyDescent="0.35">
      <c r="A544"/>
    </row>
    <row r="545" spans="1:1" x14ac:dyDescent="0.35">
      <c r="A545"/>
    </row>
    <row r="546" spans="1:1" x14ac:dyDescent="0.35">
      <c r="A546"/>
    </row>
    <row r="547" spans="1:1" x14ac:dyDescent="0.35">
      <c r="A547"/>
    </row>
    <row r="548" spans="1:1" x14ac:dyDescent="0.35">
      <c r="A548"/>
    </row>
    <row r="549" spans="1:1" x14ac:dyDescent="0.35">
      <c r="A549"/>
    </row>
    <row r="550" spans="1:1" x14ac:dyDescent="0.35">
      <c r="A550"/>
    </row>
    <row r="551" spans="1:1" x14ac:dyDescent="0.35">
      <c r="A551"/>
    </row>
    <row r="552" spans="1:1" x14ac:dyDescent="0.35">
      <c r="A552"/>
    </row>
    <row r="553" spans="1:1" x14ac:dyDescent="0.35">
      <c r="A553"/>
    </row>
    <row r="554" spans="1:1" x14ac:dyDescent="0.35">
      <c r="A554"/>
    </row>
    <row r="555" spans="1:1" x14ac:dyDescent="0.35">
      <c r="A555"/>
    </row>
    <row r="556" spans="1:1" x14ac:dyDescent="0.35">
      <c r="A556"/>
    </row>
    <row r="557" spans="1:1" x14ac:dyDescent="0.35">
      <c r="A557"/>
    </row>
    <row r="558" spans="1:1" x14ac:dyDescent="0.35">
      <c r="A558"/>
    </row>
    <row r="559" spans="1:1" x14ac:dyDescent="0.35">
      <c r="A559"/>
    </row>
    <row r="560" spans="1:1" x14ac:dyDescent="0.35">
      <c r="A560"/>
    </row>
    <row r="561" spans="1:1" x14ac:dyDescent="0.35">
      <c r="A561"/>
    </row>
    <row r="562" spans="1:1" x14ac:dyDescent="0.35">
      <c r="A562"/>
    </row>
    <row r="563" spans="1:1" x14ac:dyDescent="0.35">
      <c r="A563"/>
    </row>
    <row r="564" spans="1:1" x14ac:dyDescent="0.35">
      <c r="A564"/>
    </row>
    <row r="565" spans="1:1" x14ac:dyDescent="0.35">
      <c r="A565"/>
    </row>
    <row r="566" spans="1:1" x14ac:dyDescent="0.35">
      <c r="A566"/>
    </row>
    <row r="567" spans="1:1" x14ac:dyDescent="0.35">
      <c r="A567"/>
    </row>
    <row r="568" spans="1:1" x14ac:dyDescent="0.35">
      <c r="A568"/>
    </row>
    <row r="569" spans="1:1" x14ac:dyDescent="0.35">
      <c r="A569"/>
    </row>
    <row r="570" spans="1:1" x14ac:dyDescent="0.35">
      <c r="A570"/>
    </row>
    <row r="571" spans="1:1" x14ac:dyDescent="0.35">
      <c r="A571"/>
    </row>
    <row r="572" spans="1:1" x14ac:dyDescent="0.35">
      <c r="A572"/>
    </row>
    <row r="573" spans="1:1" x14ac:dyDescent="0.35">
      <c r="A573"/>
    </row>
    <row r="574" spans="1:1" x14ac:dyDescent="0.35">
      <c r="A574"/>
    </row>
    <row r="575" spans="1:1" x14ac:dyDescent="0.35">
      <c r="A575"/>
    </row>
    <row r="576" spans="1:1" x14ac:dyDescent="0.35">
      <c r="A576"/>
    </row>
    <row r="577" spans="1:1" x14ac:dyDescent="0.35">
      <c r="A577"/>
    </row>
    <row r="578" spans="1:1" x14ac:dyDescent="0.35">
      <c r="A578"/>
    </row>
    <row r="579" spans="1:1" x14ac:dyDescent="0.35">
      <c r="A579"/>
    </row>
    <row r="580" spans="1:1" x14ac:dyDescent="0.35">
      <c r="A580"/>
    </row>
    <row r="581" spans="1:1" x14ac:dyDescent="0.35">
      <c r="A581"/>
    </row>
    <row r="582" spans="1:1" x14ac:dyDescent="0.35">
      <c r="A582"/>
    </row>
    <row r="583" spans="1:1" x14ac:dyDescent="0.35">
      <c r="A583"/>
    </row>
    <row r="584" spans="1:1" x14ac:dyDescent="0.35">
      <c r="A584"/>
    </row>
    <row r="585" spans="1:1" x14ac:dyDescent="0.35">
      <c r="A585"/>
    </row>
    <row r="586" spans="1:1" x14ac:dyDescent="0.35">
      <c r="A586"/>
    </row>
    <row r="587" spans="1:1" x14ac:dyDescent="0.35">
      <c r="A587"/>
    </row>
    <row r="588" spans="1:1" x14ac:dyDescent="0.35">
      <c r="A588"/>
    </row>
    <row r="589" spans="1:1" x14ac:dyDescent="0.35">
      <c r="A589"/>
    </row>
    <row r="590" spans="1:1" x14ac:dyDescent="0.35">
      <c r="A590"/>
    </row>
    <row r="591" spans="1:1" x14ac:dyDescent="0.35">
      <c r="A591"/>
    </row>
    <row r="592" spans="1:1" x14ac:dyDescent="0.35">
      <c r="A592"/>
    </row>
    <row r="593" spans="1:1" x14ac:dyDescent="0.35">
      <c r="A593"/>
    </row>
    <row r="594" spans="1:1" x14ac:dyDescent="0.35">
      <c r="A594"/>
    </row>
    <row r="595" spans="1:1" x14ac:dyDescent="0.35">
      <c r="A595"/>
    </row>
    <row r="596" spans="1:1" x14ac:dyDescent="0.35">
      <c r="A596"/>
    </row>
    <row r="597" spans="1:1" x14ac:dyDescent="0.35">
      <c r="A597"/>
    </row>
    <row r="598" spans="1:1" x14ac:dyDescent="0.35">
      <c r="A598"/>
    </row>
    <row r="599" spans="1:1" x14ac:dyDescent="0.35">
      <c r="A599"/>
    </row>
    <row r="600" spans="1:1" x14ac:dyDescent="0.35">
      <c r="A600"/>
    </row>
    <row r="601" spans="1:1" x14ac:dyDescent="0.35">
      <c r="A601"/>
    </row>
    <row r="602" spans="1:1" x14ac:dyDescent="0.35">
      <c r="A602"/>
    </row>
    <row r="603" spans="1:1" x14ac:dyDescent="0.35">
      <c r="A603"/>
    </row>
    <row r="604" spans="1:1" x14ac:dyDescent="0.35">
      <c r="A604"/>
    </row>
    <row r="605" spans="1:1" x14ac:dyDescent="0.35">
      <c r="A605"/>
    </row>
    <row r="606" spans="1:1" x14ac:dyDescent="0.35">
      <c r="A606"/>
    </row>
    <row r="607" spans="1:1" x14ac:dyDescent="0.35">
      <c r="A607"/>
    </row>
    <row r="608" spans="1:1" x14ac:dyDescent="0.35">
      <c r="A608"/>
    </row>
    <row r="609" spans="1:1" x14ac:dyDescent="0.35">
      <c r="A609"/>
    </row>
    <row r="610" spans="1:1" x14ac:dyDescent="0.35">
      <c r="A610"/>
    </row>
    <row r="611" spans="1:1" x14ac:dyDescent="0.35">
      <c r="A611"/>
    </row>
    <row r="612" spans="1:1" x14ac:dyDescent="0.35">
      <c r="A612"/>
    </row>
    <row r="613" spans="1:1" x14ac:dyDescent="0.35">
      <c r="A613"/>
    </row>
    <row r="614" spans="1:1" x14ac:dyDescent="0.35">
      <c r="A614"/>
    </row>
    <row r="615" spans="1:1" x14ac:dyDescent="0.35">
      <c r="A615"/>
    </row>
    <row r="616" spans="1:1" x14ac:dyDescent="0.35">
      <c r="A616"/>
    </row>
    <row r="617" spans="1:1" x14ac:dyDescent="0.35">
      <c r="A617"/>
    </row>
    <row r="618" spans="1:1" x14ac:dyDescent="0.35">
      <c r="A618"/>
    </row>
    <row r="619" spans="1:1" x14ac:dyDescent="0.35">
      <c r="A619"/>
    </row>
    <row r="620" spans="1:1" x14ac:dyDescent="0.35">
      <c r="A620"/>
    </row>
    <row r="621" spans="1:1" x14ac:dyDescent="0.35">
      <c r="A621"/>
    </row>
    <row r="622" spans="1:1" x14ac:dyDescent="0.35">
      <c r="A622"/>
    </row>
    <row r="623" spans="1:1" x14ac:dyDescent="0.35">
      <c r="A623"/>
    </row>
    <row r="624" spans="1:1" x14ac:dyDescent="0.35">
      <c r="A624"/>
    </row>
    <row r="625" spans="1:1" x14ac:dyDescent="0.35">
      <c r="A625"/>
    </row>
    <row r="626" spans="1:1" x14ac:dyDescent="0.35">
      <c r="A626"/>
    </row>
    <row r="627" spans="1:1" x14ac:dyDescent="0.35">
      <c r="A627"/>
    </row>
    <row r="628" spans="1:1" x14ac:dyDescent="0.35">
      <c r="A628"/>
    </row>
    <row r="629" spans="1:1" x14ac:dyDescent="0.35">
      <c r="A629"/>
    </row>
    <row r="630" spans="1:1" x14ac:dyDescent="0.35">
      <c r="A630"/>
    </row>
    <row r="631" spans="1:1" x14ac:dyDescent="0.35">
      <c r="A631"/>
    </row>
    <row r="632" spans="1:1" x14ac:dyDescent="0.35">
      <c r="A632"/>
    </row>
    <row r="633" spans="1:1" x14ac:dyDescent="0.35">
      <c r="A633"/>
    </row>
    <row r="634" spans="1:1" x14ac:dyDescent="0.35">
      <c r="A634"/>
    </row>
    <row r="635" spans="1:1" x14ac:dyDescent="0.35">
      <c r="A635"/>
    </row>
    <row r="636" spans="1:1" x14ac:dyDescent="0.35">
      <c r="A636"/>
    </row>
    <row r="637" spans="1:1" x14ac:dyDescent="0.35">
      <c r="A637"/>
    </row>
    <row r="638" spans="1:1" x14ac:dyDescent="0.35">
      <c r="A638"/>
    </row>
    <row r="639" spans="1:1" x14ac:dyDescent="0.35">
      <c r="A639"/>
    </row>
    <row r="640" spans="1:1" x14ac:dyDescent="0.35">
      <c r="A640"/>
    </row>
    <row r="641" spans="1:1" x14ac:dyDescent="0.35">
      <c r="A641"/>
    </row>
    <row r="642" spans="1:1" x14ac:dyDescent="0.35">
      <c r="A642"/>
    </row>
    <row r="643" spans="1:1" x14ac:dyDescent="0.35">
      <c r="A643"/>
    </row>
    <row r="644" spans="1:1" x14ac:dyDescent="0.35">
      <c r="A644"/>
    </row>
    <row r="645" spans="1:1" x14ac:dyDescent="0.35">
      <c r="A645"/>
    </row>
    <row r="646" spans="1:1" x14ac:dyDescent="0.35">
      <c r="A646"/>
    </row>
    <row r="647" spans="1:1" x14ac:dyDescent="0.35">
      <c r="A647"/>
    </row>
    <row r="648" spans="1:1" x14ac:dyDescent="0.35">
      <c r="A648"/>
    </row>
    <row r="649" spans="1:1" x14ac:dyDescent="0.35">
      <c r="A649"/>
    </row>
    <row r="650" spans="1:1" x14ac:dyDescent="0.35">
      <c r="A650"/>
    </row>
    <row r="651" spans="1:1" x14ac:dyDescent="0.35">
      <c r="A651"/>
    </row>
    <row r="652" spans="1:1" x14ac:dyDescent="0.35">
      <c r="A652"/>
    </row>
    <row r="653" spans="1:1" x14ac:dyDescent="0.35">
      <c r="A653"/>
    </row>
    <row r="654" spans="1:1" x14ac:dyDescent="0.35">
      <c r="A654"/>
    </row>
    <row r="655" spans="1:1" x14ac:dyDescent="0.35">
      <c r="A655"/>
    </row>
    <row r="656" spans="1:1" x14ac:dyDescent="0.35">
      <c r="A656"/>
    </row>
    <row r="657" spans="1:1" x14ac:dyDescent="0.35">
      <c r="A657"/>
    </row>
    <row r="658" spans="1:1" x14ac:dyDescent="0.35">
      <c r="A658"/>
    </row>
    <row r="659" spans="1:1" x14ac:dyDescent="0.35">
      <c r="A659"/>
    </row>
    <row r="660" spans="1:1" x14ac:dyDescent="0.35">
      <c r="A660"/>
    </row>
    <row r="661" spans="1:1" x14ac:dyDescent="0.35">
      <c r="A661"/>
    </row>
    <row r="662" spans="1:1" x14ac:dyDescent="0.35">
      <c r="A662"/>
    </row>
    <row r="663" spans="1:1" x14ac:dyDescent="0.35">
      <c r="A663"/>
    </row>
    <row r="664" spans="1:1" x14ac:dyDescent="0.35">
      <c r="A664"/>
    </row>
    <row r="665" spans="1:1" x14ac:dyDescent="0.35">
      <c r="A665"/>
    </row>
    <row r="666" spans="1:1" x14ac:dyDescent="0.35">
      <c r="A666"/>
    </row>
    <row r="667" spans="1:1" x14ac:dyDescent="0.35">
      <c r="A667"/>
    </row>
    <row r="668" spans="1:1" x14ac:dyDescent="0.35">
      <c r="A668"/>
    </row>
    <row r="669" spans="1:1" x14ac:dyDescent="0.35">
      <c r="A669"/>
    </row>
    <row r="670" spans="1:1" x14ac:dyDescent="0.35">
      <c r="A670"/>
    </row>
    <row r="671" spans="1:1" x14ac:dyDescent="0.35">
      <c r="A671"/>
    </row>
    <row r="672" spans="1:1" x14ac:dyDescent="0.35">
      <c r="A672"/>
    </row>
    <row r="673" spans="1:1" x14ac:dyDescent="0.35">
      <c r="A673"/>
    </row>
    <row r="674" spans="1:1" x14ac:dyDescent="0.35">
      <c r="A674"/>
    </row>
    <row r="675" spans="1:1" x14ac:dyDescent="0.35">
      <c r="A675"/>
    </row>
    <row r="676" spans="1:1" x14ac:dyDescent="0.35">
      <c r="A676"/>
    </row>
    <row r="677" spans="1:1" x14ac:dyDescent="0.35">
      <c r="A677"/>
    </row>
    <row r="678" spans="1:1" x14ac:dyDescent="0.35">
      <c r="A678"/>
    </row>
    <row r="679" spans="1:1" x14ac:dyDescent="0.35">
      <c r="A679"/>
    </row>
    <row r="680" spans="1:1" x14ac:dyDescent="0.35">
      <c r="A680"/>
    </row>
    <row r="681" spans="1:1" x14ac:dyDescent="0.35">
      <c r="A681"/>
    </row>
    <row r="682" spans="1:1" x14ac:dyDescent="0.35">
      <c r="A682"/>
    </row>
    <row r="683" spans="1:1" x14ac:dyDescent="0.35">
      <c r="A683"/>
    </row>
    <row r="684" spans="1:1" x14ac:dyDescent="0.35">
      <c r="A684"/>
    </row>
    <row r="685" spans="1:1" x14ac:dyDescent="0.35">
      <c r="A685"/>
    </row>
    <row r="686" spans="1:1" x14ac:dyDescent="0.35">
      <c r="A686"/>
    </row>
    <row r="687" spans="1:1" x14ac:dyDescent="0.35">
      <c r="A687"/>
    </row>
    <row r="688" spans="1:1" x14ac:dyDescent="0.35">
      <c r="A688"/>
    </row>
    <row r="689" spans="1:1" x14ac:dyDescent="0.35">
      <c r="A689"/>
    </row>
    <row r="690" spans="1:1" x14ac:dyDescent="0.35">
      <c r="A690"/>
    </row>
    <row r="691" spans="1:1" x14ac:dyDescent="0.35">
      <c r="A691"/>
    </row>
    <row r="692" spans="1:1" x14ac:dyDescent="0.35">
      <c r="A692"/>
    </row>
    <row r="693" spans="1:1" x14ac:dyDescent="0.35">
      <c r="A693"/>
    </row>
    <row r="694" spans="1:1" x14ac:dyDescent="0.35">
      <c r="A694"/>
    </row>
    <row r="695" spans="1:1" x14ac:dyDescent="0.35">
      <c r="A695"/>
    </row>
    <row r="696" spans="1:1" x14ac:dyDescent="0.35">
      <c r="A696"/>
    </row>
    <row r="697" spans="1:1" x14ac:dyDescent="0.35">
      <c r="A697"/>
    </row>
    <row r="698" spans="1:1" x14ac:dyDescent="0.35">
      <c r="A698"/>
    </row>
    <row r="699" spans="1:1" x14ac:dyDescent="0.35">
      <c r="A699"/>
    </row>
    <row r="700" spans="1:1" x14ac:dyDescent="0.35">
      <c r="A700"/>
    </row>
    <row r="701" spans="1:1" x14ac:dyDescent="0.35">
      <c r="A701"/>
    </row>
    <row r="702" spans="1:1" x14ac:dyDescent="0.35">
      <c r="A702"/>
    </row>
    <row r="703" spans="1:1" x14ac:dyDescent="0.35">
      <c r="A703"/>
    </row>
    <row r="704" spans="1:1" x14ac:dyDescent="0.35">
      <c r="A704"/>
    </row>
    <row r="705" spans="1:1" x14ac:dyDescent="0.35">
      <c r="A705"/>
    </row>
    <row r="706" spans="1:1" x14ac:dyDescent="0.35">
      <c r="A706"/>
    </row>
    <row r="707" spans="1:1" x14ac:dyDescent="0.35">
      <c r="A707"/>
    </row>
    <row r="708" spans="1:1" x14ac:dyDescent="0.35">
      <c r="A708"/>
    </row>
    <row r="709" spans="1:1" x14ac:dyDescent="0.35">
      <c r="A709"/>
    </row>
    <row r="710" spans="1:1" x14ac:dyDescent="0.35">
      <c r="A710"/>
    </row>
    <row r="711" spans="1:1" x14ac:dyDescent="0.35">
      <c r="A711"/>
    </row>
    <row r="712" spans="1:1" x14ac:dyDescent="0.35">
      <c r="A712"/>
    </row>
    <row r="713" spans="1:1" x14ac:dyDescent="0.35">
      <c r="A713"/>
    </row>
    <row r="714" spans="1:1" x14ac:dyDescent="0.35">
      <c r="A714"/>
    </row>
    <row r="715" spans="1:1" x14ac:dyDescent="0.35">
      <c r="A715"/>
    </row>
    <row r="716" spans="1:1" x14ac:dyDescent="0.35">
      <c r="A716"/>
    </row>
    <row r="717" spans="1:1" x14ac:dyDescent="0.35">
      <c r="A717"/>
    </row>
    <row r="718" spans="1:1" x14ac:dyDescent="0.35">
      <c r="A718"/>
    </row>
    <row r="719" spans="1:1" x14ac:dyDescent="0.35">
      <c r="A719"/>
    </row>
    <row r="720" spans="1:1" x14ac:dyDescent="0.35">
      <c r="A720"/>
    </row>
    <row r="721" spans="1:1" x14ac:dyDescent="0.35">
      <c r="A721"/>
    </row>
    <row r="722" spans="1:1" x14ac:dyDescent="0.35">
      <c r="A722"/>
    </row>
    <row r="723" spans="1:1" x14ac:dyDescent="0.35">
      <c r="A723"/>
    </row>
    <row r="724" spans="1:1" x14ac:dyDescent="0.35">
      <c r="A724"/>
    </row>
    <row r="725" spans="1:1" x14ac:dyDescent="0.35">
      <c r="A725"/>
    </row>
    <row r="726" spans="1:1" x14ac:dyDescent="0.35">
      <c r="A726"/>
    </row>
    <row r="727" spans="1:1" x14ac:dyDescent="0.35">
      <c r="A727"/>
    </row>
    <row r="728" spans="1:1" x14ac:dyDescent="0.35">
      <c r="A728"/>
    </row>
    <row r="729" spans="1:1" x14ac:dyDescent="0.35">
      <c r="A729"/>
    </row>
    <row r="730" spans="1:1" x14ac:dyDescent="0.35">
      <c r="A730"/>
    </row>
    <row r="731" spans="1:1" x14ac:dyDescent="0.35">
      <c r="A731"/>
    </row>
    <row r="732" spans="1:1" x14ac:dyDescent="0.35">
      <c r="A732"/>
    </row>
    <row r="733" spans="1:1" x14ac:dyDescent="0.35">
      <c r="A733"/>
    </row>
    <row r="734" spans="1:1" x14ac:dyDescent="0.35">
      <c r="A734"/>
    </row>
    <row r="735" spans="1:1" x14ac:dyDescent="0.35">
      <c r="A735"/>
    </row>
    <row r="736" spans="1:1" x14ac:dyDescent="0.35">
      <c r="A736"/>
    </row>
    <row r="737" spans="1:1" x14ac:dyDescent="0.35">
      <c r="A737"/>
    </row>
    <row r="738" spans="1:1" x14ac:dyDescent="0.35">
      <c r="A738"/>
    </row>
    <row r="739" spans="1:1" x14ac:dyDescent="0.35">
      <c r="A739"/>
    </row>
    <row r="740" spans="1:1" x14ac:dyDescent="0.35">
      <c r="A740"/>
    </row>
    <row r="741" spans="1:1" x14ac:dyDescent="0.35">
      <c r="A741"/>
    </row>
    <row r="742" spans="1:1" x14ac:dyDescent="0.35">
      <c r="A742"/>
    </row>
    <row r="743" spans="1:1" x14ac:dyDescent="0.35">
      <c r="A743"/>
    </row>
    <row r="744" spans="1:1" x14ac:dyDescent="0.35">
      <c r="A744"/>
    </row>
    <row r="745" spans="1:1" x14ac:dyDescent="0.35">
      <c r="A745"/>
    </row>
    <row r="746" spans="1:1" x14ac:dyDescent="0.35">
      <c r="A746"/>
    </row>
    <row r="747" spans="1:1" x14ac:dyDescent="0.35">
      <c r="A747"/>
    </row>
    <row r="748" spans="1:1" x14ac:dyDescent="0.35">
      <c r="A748"/>
    </row>
    <row r="749" spans="1:1" x14ac:dyDescent="0.35">
      <c r="A749"/>
    </row>
    <row r="750" spans="1:1" x14ac:dyDescent="0.35">
      <c r="A750"/>
    </row>
    <row r="751" spans="1:1" x14ac:dyDescent="0.35">
      <c r="A751"/>
    </row>
    <row r="752" spans="1:1" x14ac:dyDescent="0.35">
      <c r="A752"/>
    </row>
    <row r="753" spans="1:1" x14ac:dyDescent="0.35">
      <c r="A753"/>
    </row>
    <row r="754" spans="1:1" x14ac:dyDescent="0.35">
      <c r="A754"/>
    </row>
    <row r="755" spans="1:1" x14ac:dyDescent="0.35">
      <c r="A755"/>
    </row>
    <row r="756" spans="1:1" x14ac:dyDescent="0.35">
      <c r="A756"/>
    </row>
    <row r="757" spans="1:1" x14ac:dyDescent="0.35">
      <c r="A757"/>
    </row>
    <row r="758" spans="1:1" x14ac:dyDescent="0.35">
      <c r="A758"/>
    </row>
    <row r="759" spans="1:1" x14ac:dyDescent="0.35">
      <c r="A759"/>
    </row>
    <row r="760" spans="1:1" x14ac:dyDescent="0.35">
      <c r="A760"/>
    </row>
    <row r="761" spans="1:1" x14ac:dyDescent="0.35">
      <c r="A761"/>
    </row>
    <row r="762" spans="1:1" x14ac:dyDescent="0.35">
      <c r="A762"/>
    </row>
    <row r="763" spans="1:1" x14ac:dyDescent="0.35">
      <c r="A763"/>
    </row>
    <row r="764" spans="1:1" x14ac:dyDescent="0.35">
      <c r="A764"/>
    </row>
    <row r="765" spans="1:1" x14ac:dyDescent="0.35">
      <c r="A765"/>
    </row>
    <row r="766" spans="1:1" x14ac:dyDescent="0.35">
      <c r="A766"/>
    </row>
    <row r="767" spans="1:1" x14ac:dyDescent="0.35">
      <c r="A767"/>
    </row>
    <row r="768" spans="1:1" x14ac:dyDescent="0.35">
      <c r="A768"/>
    </row>
    <row r="769" spans="1:1" x14ac:dyDescent="0.35">
      <c r="A769"/>
    </row>
    <row r="770" spans="1:1" x14ac:dyDescent="0.35">
      <c r="A770"/>
    </row>
    <row r="771" spans="1:1" x14ac:dyDescent="0.35">
      <c r="A771"/>
    </row>
    <row r="772" spans="1:1" x14ac:dyDescent="0.35">
      <c r="A772"/>
    </row>
    <row r="773" spans="1:1" x14ac:dyDescent="0.35">
      <c r="A773"/>
    </row>
    <row r="774" spans="1:1" x14ac:dyDescent="0.35">
      <c r="A774"/>
    </row>
    <row r="775" spans="1:1" x14ac:dyDescent="0.35">
      <c r="A775"/>
    </row>
    <row r="776" spans="1:1" x14ac:dyDescent="0.35">
      <c r="A776"/>
    </row>
    <row r="777" spans="1:1" x14ac:dyDescent="0.35">
      <c r="A777"/>
    </row>
    <row r="778" spans="1:1" x14ac:dyDescent="0.35">
      <c r="A778"/>
    </row>
    <row r="779" spans="1:1" x14ac:dyDescent="0.35">
      <c r="A779"/>
    </row>
    <row r="780" spans="1:1" x14ac:dyDescent="0.35">
      <c r="A780"/>
    </row>
    <row r="781" spans="1:1" x14ac:dyDescent="0.35">
      <c r="A781"/>
    </row>
    <row r="782" spans="1:1" x14ac:dyDescent="0.35">
      <c r="A782"/>
    </row>
    <row r="783" spans="1:1" x14ac:dyDescent="0.35">
      <c r="A783"/>
    </row>
    <row r="784" spans="1:1" x14ac:dyDescent="0.35">
      <c r="A784"/>
    </row>
    <row r="785" spans="1:1" x14ac:dyDescent="0.35">
      <c r="A785"/>
    </row>
    <row r="786" spans="1:1" x14ac:dyDescent="0.35">
      <c r="A786"/>
    </row>
    <row r="787" spans="1:1" x14ac:dyDescent="0.35">
      <c r="A787"/>
    </row>
    <row r="788" spans="1:1" x14ac:dyDescent="0.35">
      <c r="A788"/>
    </row>
    <row r="789" spans="1:1" x14ac:dyDescent="0.35">
      <c r="A789"/>
    </row>
    <row r="790" spans="1:1" x14ac:dyDescent="0.35">
      <c r="A790"/>
    </row>
    <row r="791" spans="1:1" x14ac:dyDescent="0.35">
      <c r="A791"/>
    </row>
    <row r="792" spans="1:1" x14ac:dyDescent="0.35">
      <c r="A792"/>
    </row>
    <row r="793" spans="1:1" x14ac:dyDescent="0.35">
      <c r="A793"/>
    </row>
    <row r="794" spans="1:1" x14ac:dyDescent="0.35">
      <c r="A794"/>
    </row>
    <row r="795" spans="1:1" x14ac:dyDescent="0.35">
      <c r="A795"/>
    </row>
    <row r="796" spans="1:1" x14ac:dyDescent="0.35">
      <c r="A796"/>
    </row>
    <row r="797" spans="1:1" x14ac:dyDescent="0.35">
      <c r="A797"/>
    </row>
    <row r="798" spans="1:1" x14ac:dyDescent="0.35">
      <c r="A798"/>
    </row>
    <row r="799" spans="1:1" x14ac:dyDescent="0.35">
      <c r="A799"/>
    </row>
    <row r="800" spans="1:1" x14ac:dyDescent="0.35">
      <c r="A800"/>
    </row>
    <row r="801" spans="1:1" x14ac:dyDescent="0.35">
      <c r="A801"/>
    </row>
    <row r="802" spans="1:1" x14ac:dyDescent="0.35">
      <c r="A802"/>
    </row>
    <row r="803" spans="1:1" x14ac:dyDescent="0.35">
      <c r="A803"/>
    </row>
    <row r="804" spans="1:1" x14ac:dyDescent="0.35">
      <c r="A804"/>
    </row>
    <row r="805" spans="1:1" x14ac:dyDescent="0.35">
      <c r="A805"/>
    </row>
    <row r="806" spans="1:1" x14ac:dyDescent="0.35">
      <c r="A806"/>
    </row>
    <row r="807" spans="1:1" x14ac:dyDescent="0.35">
      <c r="A807"/>
    </row>
    <row r="808" spans="1:1" x14ac:dyDescent="0.35">
      <c r="A808"/>
    </row>
    <row r="809" spans="1:1" x14ac:dyDescent="0.35">
      <c r="A809"/>
    </row>
    <row r="810" spans="1:1" x14ac:dyDescent="0.35">
      <c r="A810"/>
    </row>
    <row r="811" spans="1:1" x14ac:dyDescent="0.35">
      <c r="A811"/>
    </row>
    <row r="812" spans="1:1" x14ac:dyDescent="0.35">
      <c r="A812"/>
    </row>
    <row r="813" spans="1:1" x14ac:dyDescent="0.35">
      <c r="A813"/>
    </row>
    <row r="814" spans="1:1" x14ac:dyDescent="0.35">
      <c r="A814"/>
    </row>
    <row r="815" spans="1:1" x14ac:dyDescent="0.35">
      <c r="A815"/>
    </row>
    <row r="816" spans="1:1" x14ac:dyDescent="0.35">
      <c r="A816"/>
    </row>
    <row r="817" spans="1:1" x14ac:dyDescent="0.35">
      <c r="A817"/>
    </row>
    <row r="818" spans="1:1" x14ac:dyDescent="0.35">
      <c r="A818"/>
    </row>
    <row r="819" spans="1:1" x14ac:dyDescent="0.35">
      <c r="A819"/>
    </row>
    <row r="820" spans="1:1" x14ac:dyDescent="0.35">
      <c r="A820"/>
    </row>
    <row r="821" spans="1:1" x14ac:dyDescent="0.35">
      <c r="A821"/>
    </row>
    <row r="822" spans="1:1" x14ac:dyDescent="0.35">
      <c r="A822"/>
    </row>
    <row r="823" spans="1:1" x14ac:dyDescent="0.35">
      <c r="A823"/>
    </row>
    <row r="824" spans="1:1" x14ac:dyDescent="0.35">
      <c r="A824"/>
    </row>
    <row r="825" spans="1:1" x14ac:dyDescent="0.35">
      <c r="A825"/>
    </row>
    <row r="826" spans="1:1" x14ac:dyDescent="0.35">
      <c r="A826"/>
    </row>
    <row r="827" spans="1:1" x14ac:dyDescent="0.35">
      <c r="A827"/>
    </row>
    <row r="828" spans="1:1" x14ac:dyDescent="0.35">
      <c r="A828"/>
    </row>
    <row r="829" spans="1:1" x14ac:dyDescent="0.35">
      <c r="A829"/>
    </row>
    <row r="830" spans="1:1" x14ac:dyDescent="0.35">
      <c r="A830"/>
    </row>
    <row r="831" spans="1:1" x14ac:dyDescent="0.35">
      <c r="A831"/>
    </row>
    <row r="832" spans="1:1" x14ac:dyDescent="0.35">
      <c r="A832"/>
    </row>
    <row r="833" spans="1:1" x14ac:dyDescent="0.35">
      <c r="A833"/>
    </row>
    <row r="834" spans="1:1" x14ac:dyDescent="0.35">
      <c r="A834"/>
    </row>
    <row r="835" spans="1:1" x14ac:dyDescent="0.35">
      <c r="A835"/>
    </row>
    <row r="836" spans="1:1" x14ac:dyDescent="0.35">
      <c r="A836"/>
    </row>
    <row r="837" spans="1:1" x14ac:dyDescent="0.35">
      <c r="A837"/>
    </row>
    <row r="838" spans="1:1" x14ac:dyDescent="0.35">
      <c r="A838"/>
    </row>
    <row r="839" spans="1:1" x14ac:dyDescent="0.35">
      <c r="A839"/>
    </row>
    <row r="840" spans="1:1" x14ac:dyDescent="0.35">
      <c r="A840"/>
    </row>
    <row r="841" spans="1:1" x14ac:dyDescent="0.35">
      <c r="A841"/>
    </row>
    <row r="842" spans="1:1" x14ac:dyDescent="0.35">
      <c r="A842"/>
    </row>
    <row r="843" spans="1:1" x14ac:dyDescent="0.35">
      <c r="A843"/>
    </row>
    <row r="844" spans="1:1" x14ac:dyDescent="0.35">
      <c r="A844"/>
    </row>
    <row r="845" spans="1:1" x14ac:dyDescent="0.35">
      <c r="A845"/>
    </row>
    <row r="846" spans="1:1" x14ac:dyDescent="0.35">
      <c r="A846"/>
    </row>
    <row r="847" spans="1:1" x14ac:dyDescent="0.35">
      <c r="A847"/>
    </row>
    <row r="848" spans="1:1" x14ac:dyDescent="0.35">
      <c r="A848"/>
    </row>
    <row r="849" spans="1:1" x14ac:dyDescent="0.35">
      <c r="A849"/>
    </row>
    <row r="850" spans="1:1" x14ac:dyDescent="0.35">
      <c r="A850"/>
    </row>
    <row r="851" spans="1:1" x14ac:dyDescent="0.35">
      <c r="A851"/>
    </row>
    <row r="852" spans="1:1" x14ac:dyDescent="0.35">
      <c r="A852"/>
    </row>
    <row r="853" spans="1:1" x14ac:dyDescent="0.35">
      <c r="A853"/>
    </row>
    <row r="854" spans="1:1" x14ac:dyDescent="0.35">
      <c r="A854"/>
    </row>
    <row r="855" spans="1:1" x14ac:dyDescent="0.35">
      <c r="A855"/>
    </row>
    <row r="856" spans="1:1" x14ac:dyDescent="0.35">
      <c r="A856"/>
    </row>
    <row r="857" spans="1:1" x14ac:dyDescent="0.35">
      <c r="A857"/>
    </row>
    <row r="858" spans="1:1" x14ac:dyDescent="0.35">
      <c r="A858"/>
    </row>
    <row r="859" spans="1:1" x14ac:dyDescent="0.35">
      <c r="A859"/>
    </row>
    <row r="860" spans="1:1" x14ac:dyDescent="0.35">
      <c r="A860"/>
    </row>
    <row r="861" spans="1:1" x14ac:dyDescent="0.35">
      <c r="A861"/>
    </row>
    <row r="862" spans="1:1" x14ac:dyDescent="0.35">
      <c r="A862"/>
    </row>
    <row r="863" spans="1:1" x14ac:dyDescent="0.35">
      <c r="A863"/>
    </row>
    <row r="864" spans="1:1" x14ac:dyDescent="0.35">
      <c r="A864"/>
    </row>
    <row r="865" spans="1:1" x14ac:dyDescent="0.35">
      <c r="A865"/>
    </row>
    <row r="866" spans="1:1" x14ac:dyDescent="0.35">
      <c r="A866"/>
    </row>
    <row r="867" spans="1:1" x14ac:dyDescent="0.35">
      <c r="A867"/>
    </row>
    <row r="868" spans="1:1" x14ac:dyDescent="0.35">
      <c r="A868"/>
    </row>
    <row r="869" spans="1:1" x14ac:dyDescent="0.35">
      <c r="A869"/>
    </row>
    <row r="870" spans="1:1" x14ac:dyDescent="0.35">
      <c r="A870"/>
    </row>
    <row r="871" spans="1:1" x14ac:dyDescent="0.35">
      <c r="A871"/>
    </row>
    <row r="872" spans="1:1" x14ac:dyDescent="0.35">
      <c r="A872"/>
    </row>
    <row r="873" spans="1:1" x14ac:dyDescent="0.35">
      <c r="A873"/>
    </row>
    <row r="874" spans="1:1" x14ac:dyDescent="0.35">
      <c r="A874"/>
    </row>
    <row r="875" spans="1:1" x14ac:dyDescent="0.35">
      <c r="A875"/>
    </row>
    <row r="876" spans="1:1" x14ac:dyDescent="0.35">
      <c r="A876"/>
    </row>
    <row r="877" spans="1:1" x14ac:dyDescent="0.35">
      <c r="A877"/>
    </row>
    <row r="878" spans="1:1" x14ac:dyDescent="0.35">
      <c r="A878"/>
    </row>
    <row r="879" spans="1:1" x14ac:dyDescent="0.35">
      <c r="A879"/>
    </row>
    <row r="880" spans="1:1" x14ac:dyDescent="0.35">
      <c r="A880"/>
    </row>
    <row r="881" spans="1:1" x14ac:dyDescent="0.35">
      <c r="A881"/>
    </row>
    <row r="882" spans="1:1" x14ac:dyDescent="0.35">
      <c r="A882"/>
    </row>
    <row r="883" spans="1:1" x14ac:dyDescent="0.35">
      <c r="A883"/>
    </row>
    <row r="884" spans="1:1" x14ac:dyDescent="0.35">
      <c r="A884"/>
    </row>
    <row r="885" spans="1:1" x14ac:dyDescent="0.35">
      <c r="A885"/>
    </row>
    <row r="886" spans="1:1" x14ac:dyDescent="0.35">
      <c r="A886"/>
    </row>
    <row r="887" spans="1:1" x14ac:dyDescent="0.35">
      <c r="A887"/>
    </row>
    <row r="888" spans="1:1" x14ac:dyDescent="0.35">
      <c r="A888"/>
    </row>
    <row r="889" spans="1:1" x14ac:dyDescent="0.35">
      <c r="A889"/>
    </row>
    <row r="890" spans="1:1" x14ac:dyDescent="0.35">
      <c r="A890"/>
    </row>
    <row r="891" spans="1:1" x14ac:dyDescent="0.35">
      <c r="A891"/>
    </row>
    <row r="892" spans="1:1" x14ac:dyDescent="0.35">
      <c r="A892"/>
    </row>
    <row r="893" spans="1:1" x14ac:dyDescent="0.35">
      <c r="A893"/>
    </row>
    <row r="894" spans="1:1" x14ac:dyDescent="0.35">
      <c r="A894"/>
    </row>
    <row r="895" spans="1:1" x14ac:dyDescent="0.35">
      <c r="A895"/>
    </row>
    <row r="896" spans="1:1" x14ac:dyDescent="0.35">
      <c r="A896"/>
    </row>
    <row r="897" spans="1:1" x14ac:dyDescent="0.35">
      <c r="A897"/>
    </row>
    <row r="898" spans="1:1" x14ac:dyDescent="0.35">
      <c r="A898"/>
    </row>
    <row r="899" spans="1:1" x14ac:dyDescent="0.35">
      <c r="A899"/>
    </row>
    <row r="900" spans="1:1" x14ac:dyDescent="0.35">
      <c r="A900"/>
    </row>
    <row r="901" spans="1:1" x14ac:dyDescent="0.35">
      <c r="A901"/>
    </row>
    <row r="902" spans="1:1" x14ac:dyDescent="0.35">
      <c r="A902"/>
    </row>
    <row r="903" spans="1:1" x14ac:dyDescent="0.35">
      <c r="A903"/>
    </row>
    <row r="904" spans="1:1" x14ac:dyDescent="0.35">
      <c r="A904"/>
    </row>
    <row r="905" spans="1:1" x14ac:dyDescent="0.35">
      <c r="A905"/>
    </row>
    <row r="906" spans="1:1" x14ac:dyDescent="0.35">
      <c r="A906"/>
    </row>
    <row r="907" spans="1:1" x14ac:dyDescent="0.35">
      <c r="A907"/>
    </row>
    <row r="908" spans="1:1" x14ac:dyDescent="0.35">
      <c r="A908"/>
    </row>
    <row r="909" spans="1:1" x14ac:dyDescent="0.35">
      <c r="A909"/>
    </row>
    <row r="910" spans="1:1" x14ac:dyDescent="0.35">
      <c r="A910"/>
    </row>
    <row r="911" spans="1:1" x14ac:dyDescent="0.35">
      <c r="A911"/>
    </row>
    <row r="912" spans="1:1" x14ac:dyDescent="0.35">
      <c r="A912"/>
    </row>
    <row r="913" spans="1:1" x14ac:dyDescent="0.35">
      <c r="A913"/>
    </row>
    <row r="914" spans="1:1" x14ac:dyDescent="0.35">
      <c r="A914"/>
    </row>
    <row r="915" spans="1:1" x14ac:dyDescent="0.35">
      <c r="A915"/>
    </row>
    <row r="916" spans="1:1" x14ac:dyDescent="0.35">
      <c r="A916"/>
    </row>
    <row r="917" spans="1:1" x14ac:dyDescent="0.35">
      <c r="A917"/>
    </row>
    <row r="918" spans="1:1" x14ac:dyDescent="0.35">
      <c r="A918"/>
    </row>
    <row r="919" spans="1:1" x14ac:dyDescent="0.35">
      <c r="A919"/>
    </row>
    <row r="920" spans="1:1" x14ac:dyDescent="0.35">
      <c r="A920"/>
    </row>
    <row r="921" spans="1:1" x14ac:dyDescent="0.35">
      <c r="A921"/>
    </row>
    <row r="922" spans="1:1" x14ac:dyDescent="0.35">
      <c r="A922"/>
    </row>
    <row r="923" spans="1:1" x14ac:dyDescent="0.35">
      <c r="A923"/>
    </row>
    <row r="924" spans="1:1" x14ac:dyDescent="0.35">
      <c r="A924"/>
    </row>
    <row r="925" spans="1:1" x14ac:dyDescent="0.35">
      <c r="A925"/>
    </row>
    <row r="926" spans="1:1" x14ac:dyDescent="0.35">
      <c r="A926"/>
    </row>
    <row r="927" spans="1:1" x14ac:dyDescent="0.35">
      <c r="A927"/>
    </row>
    <row r="928" spans="1:1" x14ac:dyDescent="0.35">
      <c r="A928"/>
    </row>
    <row r="929" spans="1:1" x14ac:dyDescent="0.35">
      <c r="A929"/>
    </row>
    <row r="930" spans="1:1" x14ac:dyDescent="0.35">
      <c r="A930"/>
    </row>
    <row r="931" spans="1:1" x14ac:dyDescent="0.35">
      <c r="A931"/>
    </row>
    <row r="932" spans="1:1" x14ac:dyDescent="0.35">
      <c r="A932"/>
    </row>
    <row r="933" spans="1:1" x14ac:dyDescent="0.35">
      <c r="A933"/>
    </row>
    <row r="934" spans="1:1" x14ac:dyDescent="0.35">
      <c r="A934"/>
    </row>
    <row r="935" spans="1:1" x14ac:dyDescent="0.35">
      <c r="A935"/>
    </row>
    <row r="936" spans="1:1" x14ac:dyDescent="0.35">
      <c r="A936"/>
    </row>
    <row r="937" spans="1:1" x14ac:dyDescent="0.35">
      <c r="A937"/>
    </row>
    <row r="938" spans="1:1" x14ac:dyDescent="0.35">
      <c r="A938"/>
    </row>
    <row r="939" spans="1:1" x14ac:dyDescent="0.35">
      <c r="A939"/>
    </row>
    <row r="940" spans="1:1" x14ac:dyDescent="0.35">
      <c r="A940"/>
    </row>
    <row r="941" spans="1:1" x14ac:dyDescent="0.35">
      <c r="A941"/>
    </row>
    <row r="942" spans="1:1" x14ac:dyDescent="0.35">
      <c r="A942"/>
    </row>
    <row r="943" spans="1:1" x14ac:dyDescent="0.35">
      <c r="A943"/>
    </row>
    <row r="944" spans="1:1" x14ac:dyDescent="0.35">
      <c r="A944"/>
    </row>
    <row r="945" spans="1:1" x14ac:dyDescent="0.35">
      <c r="A945"/>
    </row>
    <row r="946" spans="1:1" x14ac:dyDescent="0.35">
      <c r="A946"/>
    </row>
    <row r="947" spans="1:1" x14ac:dyDescent="0.35">
      <c r="A947"/>
    </row>
    <row r="948" spans="1:1" x14ac:dyDescent="0.35">
      <c r="A948"/>
    </row>
    <row r="949" spans="1:1" x14ac:dyDescent="0.35">
      <c r="A949"/>
    </row>
    <row r="950" spans="1:1" x14ac:dyDescent="0.35">
      <c r="A950"/>
    </row>
    <row r="951" spans="1:1" x14ac:dyDescent="0.35">
      <c r="A951"/>
    </row>
    <row r="952" spans="1:1" x14ac:dyDescent="0.35">
      <c r="A952"/>
    </row>
    <row r="953" spans="1:1" x14ac:dyDescent="0.35">
      <c r="A953"/>
    </row>
    <row r="954" spans="1:1" x14ac:dyDescent="0.35">
      <c r="A954"/>
    </row>
    <row r="955" spans="1:1" x14ac:dyDescent="0.35">
      <c r="A955"/>
    </row>
    <row r="956" spans="1:1" x14ac:dyDescent="0.35">
      <c r="A956"/>
    </row>
    <row r="957" spans="1:1" x14ac:dyDescent="0.35">
      <c r="A957"/>
    </row>
    <row r="958" spans="1:1" x14ac:dyDescent="0.35">
      <c r="A958"/>
    </row>
    <row r="959" spans="1:1" x14ac:dyDescent="0.35">
      <c r="A959"/>
    </row>
    <row r="960" spans="1:1" x14ac:dyDescent="0.35">
      <c r="A960"/>
    </row>
    <row r="961" spans="1:1" x14ac:dyDescent="0.35">
      <c r="A961"/>
    </row>
    <row r="962" spans="1:1" x14ac:dyDescent="0.35">
      <c r="A962"/>
    </row>
    <row r="963" spans="1:1" x14ac:dyDescent="0.35">
      <c r="A963"/>
    </row>
    <row r="964" spans="1:1" x14ac:dyDescent="0.35">
      <c r="A964"/>
    </row>
    <row r="965" spans="1:1" x14ac:dyDescent="0.35">
      <c r="A965"/>
    </row>
    <row r="966" spans="1:1" x14ac:dyDescent="0.35">
      <c r="A966"/>
    </row>
    <row r="967" spans="1:1" x14ac:dyDescent="0.35">
      <c r="A967"/>
    </row>
    <row r="968" spans="1:1" x14ac:dyDescent="0.35">
      <c r="A968"/>
    </row>
    <row r="969" spans="1:1" x14ac:dyDescent="0.35">
      <c r="A969"/>
    </row>
    <row r="970" spans="1:1" x14ac:dyDescent="0.35">
      <c r="A970"/>
    </row>
    <row r="971" spans="1:1" x14ac:dyDescent="0.35">
      <c r="A971"/>
    </row>
    <row r="972" spans="1:1" x14ac:dyDescent="0.35">
      <c r="A972"/>
    </row>
  </sheetData>
  <conditionalFormatting sqref="F7:AC106">
    <cfRule type="notContainsBlanks" dxfId="0" priority="1">
      <formula>LEN(TRIM(F7))&gt;0</formula>
    </cfRule>
  </conditionalFormatting>
  <pageMargins left="0.7" right="0.7" top="0.75" bottom="0.75" header="0.3" footer="0.3"/>
  <pageSetup paperSize="9" orientation="portrait" horizontalDpi="0" verticalDpi="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7977-10C8-4A94-9897-4CC90B49FEA4}">
  <dimension ref="A1:AP1163"/>
  <sheetViews>
    <sheetView showGridLines="0" zoomScale="93" zoomScaleNormal="93" workbookViewId="0">
      <pane xSplit="2" ySplit="3" topLeftCell="X1007" activePane="bottomRight" state="frozen"/>
      <selection pane="topRight" activeCell="E1" sqref="E1"/>
      <selection pane="bottomLeft" activeCell="A4" sqref="A4"/>
      <selection pane="bottomRight" activeCell="AC1017" sqref="AC1017"/>
    </sheetView>
  </sheetViews>
  <sheetFormatPr defaultColWidth="8.85546875" defaultRowHeight="15" outlineLevelCol="1" x14ac:dyDescent="0.25"/>
  <cols>
    <col min="1" max="1" width="18" customWidth="1"/>
    <col min="2" max="2" width="33.140625" customWidth="1"/>
    <col min="3" max="6" width="45.28515625" customWidth="1"/>
    <col min="7" max="11" width="33.140625" customWidth="1"/>
    <col min="12" max="12" width="29.42578125" customWidth="1" outlineLevel="1"/>
    <col min="13" max="13" width="11.42578125" style="7" customWidth="1" outlineLevel="1"/>
    <col min="14" max="14" width="33.140625" customWidth="1" outlineLevel="1"/>
    <col min="15" max="15" width="13.42578125" style="7" customWidth="1" outlineLevel="1"/>
    <col min="16" max="16" width="22" style="7" customWidth="1"/>
    <col min="17" max="17" width="13.28515625" style="7" customWidth="1"/>
    <col min="18" max="18" width="17.42578125" customWidth="1"/>
    <col min="19" max="19" width="41" customWidth="1"/>
    <col min="20" max="20" width="24" customWidth="1" outlineLevel="1"/>
    <col min="21" max="21" width="11.7109375" customWidth="1" outlineLevel="1"/>
    <col min="22" max="22" width="24" customWidth="1" outlineLevel="1"/>
    <col min="23" max="23" width="11.7109375" customWidth="1" outlineLevel="1"/>
    <col min="24" max="24" width="14" customWidth="1"/>
    <col min="25" max="25" width="11.7109375" customWidth="1"/>
    <col min="26" max="26" width="25.42578125" customWidth="1"/>
    <col min="27" max="27" width="32.140625" customWidth="1"/>
    <col min="28" max="29" width="20.140625" customWidth="1"/>
    <col min="30" max="30" width="20.140625" style="6" customWidth="1"/>
    <col min="31" max="31" width="22.28515625" customWidth="1"/>
    <col min="32" max="32" width="12.42578125" style="6" customWidth="1"/>
    <col min="33" max="35" width="23.85546875" style="6" customWidth="1"/>
    <col min="36" max="36" width="20.140625" style="6" customWidth="1"/>
    <col min="37" max="42" width="12.42578125" style="6" customWidth="1"/>
  </cols>
  <sheetData>
    <row r="1" spans="1:42" s="1" customFormat="1" ht="105" customHeight="1" x14ac:dyDescent="0.25">
      <c r="A1" s="41"/>
      <c r="B1" s="41"/>
      <c r="C1" s="41"/>
      <c r="D1" s="41"/>
      <c r="E1" s="41"/>
      <c r="F1" s="41"/>
      <c r="G1" s="41"/>
      <c r="H1" s="41"/>
      <c r="J1" s="41"/>
      <c r="K1" s="41"/>
      <c r="L1" s="106" t="s">
        <v>284</v>
      </c>
      <c r="M1" s="107"/>
      <c r="N1" s="107"/>
      <c r="O1" s="107"/>
      <c r="P1" s="107"/>
      <c r="Q1" s="43"/>
      <c r="R1" s="42"/>
      <c r="S1" s="42"/>
      <c r="T1" s="42"/>
      <c r="U1" s="42"/>
      <c r="V1" s="42"/>
      <c r="W1" s="42"/>
      <c r="X1" s="42"/>
      <c r="Y1" s="42"/>
      <c r="Z1" s="42"/>
      <c r="AA1" s="42"/>
      <c r="AB1" s="42"/>
      <c r="AC1" s="42"/>
      <c r="AD1" s="44"/>
      <c r="AE1" s="42"/>
      <c r="AF1" s="44"/>
      <c r="AG1" s="44"/>
      <c r="AH1" s="44"/>
      <c r="AI1" s="44"/>
      <c r="AJ1" s="44"/>
      <c r="AK1" s="44"/>
      <c r="AL1" s="44"/>
      <c r="AM1" s="44"/>
      <c r="AN1" s="44"/>
      <c r="AO1" s="44"/>
      <c r="AP1" s="44"/>
    </row>
    <row r="2" spans="1:42" s="1" customFormat="1" ht="24" customHeight="1" x14ac:dyDescent="0.25">
      <c r="A2" s="83"/>
      <c r="B2" s="83" t="s">
        <v>37</v>
      </c>
      <c r="C2" s="83"/>
      <c r="D2" s="83"/>
      <c r="E2" s="83"/>
      <c r="F2" s="83" t="s">
        <v>11</v>
      </c>
      <c r="G2" s="83"/>
      <c r="H2" s="83"/>
      <c r="I2" s="83"/>
      <c r="J2" s="83" t="s">
        <v>269</v>
      </c>
      <c r="K2" s="83"/>
      <c r="L2" s="112" t="s">
        <v>283</v>
      </c>
      <c r="M2" s="112"/>
      <c r="N2" s="112"/>
      <c r="O2" s="112"/>
      <c r="P2" s="112"/>
      <c r="Q2" s="112"/>
      <c r="R2" s="110" t="s">
        <v>26</v>
      </c>
      <c r="S2" s="110"/>
      <c r="T2" s="113" t="s">
        <v>35</v>
      </c>
      <c r="U2" s="113"/>
      <c r="V2" s="113"/>
      <c r="W2" s="113"/>
      <c r="X2" s="113"/>
      <c r="Y2" s="113"/>
      <c r="Z2" s="111" t="s">
        <v>38</v>
      </c>
      <c r="AA2" s="111"/>
      <c r="AB2" s="111"/>
      <c r="AC2" s="111"/>
      <c r="AD2" s="111"/>
      <c r="AE2" s="111"/>
      <c r="AF2" s="108" t="s">
        <v>134</v>
      </c>
      <c r="AG2" s="109"/>
      <c r="AH2" s="109"/>
      <c r="AI2" s="109"/>
      <c r="AJ2" s="109"/>
      <c r="AK2" s="109"/>
      <c r="AL2" s="109"/>
      <c r="AM2" s="109"/>
      <c r="AN2" s="109"/>
      <c r="AO2" s="109"/>
      <c r="AP2" s="109"/>
    </row>
    <row r="3" spans="1:42" s="6" customFormat="1" ht="50.25" customHeight="1" x14ac:dyDescent="0.25">
      <c r="A3" s="9" t="s">
        <v>0</v>
      </c>
      <c r="B3" s="9" t="s">
        <v>230</v>
      </c>
      <c r="C3" s="9" t="s">
        <v>2</v>
      </c>
      <c r="D3" s="9" t="s">
        <v>231</v>
      </c>
      <c r="E3" s="9" t="s">
        <v>232</v>
      </c>
      <c r="F3" s="9" t="s">
        <v>234</v>
      </c>
      <c r="G3" s="9" t="s">
        <v>235</v>
      </c>
      <c r="H3" s="9" t="s">
        <v>236</v>
      </c>
      <c r="I3" s="9" t="s">
        <v>104</v>
      </c>
      <c r="J3" s="9" t="s">
        <v>20</v>
      </c>
      <c r="K3" s="96" t="s">
        <v>21</v>
      </c>
      <c r="L3" s="15" t="s">
        <v>297</v>
      </c>
      <c r="M3" s="100" t="s">
        <v>32</v>
      </c>
      <c r="N3" s="15" t="s">
        <v>33</v>
      </c>
      <c r="O3" s="15" t="s">
        <v>34</v>
      </c>
      <c r="P3" s="18" t="s">
        <v>102</v>
      </c>
      <c r="Q3" s="18" t="s">
        <v>106</v>
      </c>
      <c r="R3" s="9" t="s">
        <v>36</v>
      </c>
      <c r="S3" s="9" t="s">
        <v>31</v>
      </c>
      <c r="T3" s="9" t="s">
        <v>22</v>
      </c>
      <c r="U3" s="9" t="s">
        <v>23</v>
      </c>
      <c r="V3" s="9" t="s">
        <v>24</v>
      </c>
      <c r="W3" s="9" t="s">
        <v>25</v>
      </c>
      <c r="X3" s="19" t="s">
        <v>107</v>
      </c>
      <c r="Y3" s="19" t="s">
        <v>108</v>
      </c>
      <c r="Z3" s="15" t="s">
        <v>13</v>
      </c>
      <c r="AA3" s="15" t="s">
        <v>101</v>
      </c>
      <c r="AB3" s="38" t="s">
        <v>27</v>
      </c>
      <c r="AC3" s="15" t="s">
        <v>131</v>
      </c>
      <c r="AD3" s="15" t="s">
        <v>28</v>
      </c>
      <c r="AE3" s="15" t="s">
        <v>29</v>
      </c>
    </row>
    <row r="4" spans="1:42" s="16" customFormat="1" hidden="1" x14ac:dyDescent="0.25">
      <c r="A4" s="24">
        <v>1</v>
      </c>
      <c r="B4" s="16" t="s">
        <v>156</v>
      </c>
      <c r="C4" s="16" t="s">
        <v>111</v>
      </c>
      <c r="D4" s="26">
        <v>45292</v>
      </c>
      <c r="E4" s="16" t="s">
        <v>111</v>
      </c>
      <c r="F4" s="16" t="s">
        <v>111</v>
      </c>
      <c r="G4" s="24" t="s">
        <v>53</v>
      </c>
      <c r="I4" s="24" t="s">
        <v>65</v>
      </c>
      <c r="L4" s="104" t="s">
        <v>91</v>
      </c>
      <c r="M4" s="17">
        <f>VLOOKUP(RiskRegister[[#This Row],[Inherent Impact LevelL3:L1020D1007L3:L1019]],'Rating factors'!$F$4:$G$9,2,FALSE)</f>
        <v>1</v>
      </c>
      <c r="N4" s="24" t="s">
        <v>80</v>
      </c>
      <c r="O4" s="17" t="e">
        <f>VLOOKUP(RiskRegister[[#This Row],[Inherent Likelihood Level]],'Rating factors'!$F$16:$G$21,2,FALSE)</f>
        <v>#N/A</v>
      </c>
      <c r="P4" s="25" t="str">
        <f>IFERROR(VLOOKUP(RiskRegister[[#This Row],[Inherent Risk Rating]],'Rating factors'!$F$30:$G$44,2,FALSE),"-- Error --")</f>
        <v>-- Error --</v>
      </c>
      <c r="Q4" s="17" t="str">
        <f>IFERROR(RiskRegister[[#This Row],[Inherent Impact Rating]]*RiskRegister[[#This Row],[Inherent Likelihood Rating]],"-- Error --")</f>
        <v>-- Error --</v>
      </c>
      <c r="R4" s="24" t="s">
        <v>12</v>
      </c>
      <c r="T4" s="24" t="s">
        <v>91</v>
      </c>
      <c r="U4" s="17" t="e" cm="1">
        <f t="array" aca="1" ref="U4" ca="1">+U4:Y1019VLOOKUP(RiskRegister[[#This Row],[Residual Impact Level]],'Rating factors'!$F$4:$G$9,2,FALSE)</f>
        <v>#NAME?</v>
      </c>
      <c r="V4" s="24" t="s">
        <v>80</v>
      </c>
      <c r="W4" s="17" t="e">
        <f>VLOOKUP(RiskRegister[[#This Row],[Residual Likelihood Level]],'Rating factors'!$F$16:$G$21,2,FALSE)</f>
        <v>#N/A</v>
      </c>
      <c r="X4" s="25" t="str">
        <f ca="1">IFERROR(VLOOKUP(RiskRegister[[#This Row],[Residual Risk Rating]],'Rating factors'!$F$30:$G$44,2,FALSE),"-- Error --")</f>
        <v>-- Error --</v>
      </c>
      <c r="Y4" s="17" t="str">
        <f ca="1">IFERROR(RiskRegister[[#This Row],[Residual Impact Rating]]*RiskRegister[[#This Row],[Residual Likelihood Rating]],"-- Error --")</f>
        <v>-- Error --</v>
      </c>
      <c r="Z4" s="24" t="s">
        <v>14</v>
      </c>
      <c r="AB4" s="39"/>
      <c r="AD4" s="20"/>
    </row>
    <row r="5" spans="1:42" s="16" customFormat="1" hidden="1" x14ac:dyDescent="0.25">
      <c r="A5" s="24">
        <v>2</v>
      </c>
      <c r="B5" s="16" t="s">
        <v>157</v>
      </c>
      <c r="C5" s="16" t="s">
        <v>112</v>
      </c>
      <c r="D5" s="26">
        <v>45414</v>
      </c>
      <c r="E5" s="16" t="s">
        <v>112</v>
      </c>
      <c r="F5" s="16" t="s">
        <v>112</v>
      </c>
      <c r="G5" s="24" t="s">
        <v>52</v>
      </c>
      <c r="I5" s="24" t="s">
        <v>65</v>
      </c>
      <c r="L5" s="104" t="s">
        <v>10</v>
      </c>
      <c r="M5" s="17">
        <f>VLOOKUP(RiskRegister[[#This Row],[Inherent Impact LevelL3:L1020D1007L3:L1019]],'Rating factors'!$F$4:$G$9,2,FALSE)</f>
        <v>2</v>
      </c>
      <c r="N5" s="24" t="s">
        <v>5</v>
      </c>
      <c r="O5" s="17">
        <f>VLOOKUP(RiskRegister[[#This Row],[Inherent Likelihood Level]],'Rating factors'!$F$16:$G$21,2,FALSE)</f>
        <v>4</v>
      </c>
      <c r="P5" s="25" t="str">
        <f>IFERROR(VLOOKUP(RiskRegister[[#This Row],[Inherent Risk Rating]],'Rating factors'!$F$30:$G$44,2,FALSE),"-- Error --")</f>
        <v>Medium</v>
      </c>
      <c r="Q5" s="17">
        <f>IFERROR(RiskRegister[[#This Row],[Inherent Impact Rating]]*RiskRegister[[#This Row],[Inherent Likelihood Rating]],"-- Error --")</f>
        <v>8</v>
      </c>
      <c r="R5" s="24" t="s">
        <v>12</v>
      </c>
      <c r="T5" s="24" t="s">
        <v>10</v>
      </c>
      <c r="U5" s="17" t="e" cm="1">
        <f t="array" aca="1" ref="U5" ca="1">+U5:Y1019VLOOKUP(RiskRegister[[#This Row],[Residual Impact Level]],'Rating factors'!$F$4:$G$9,2,FALSE)</f>
        <v>#NAME?</v>
      </c>
      <c r="V5" s="24" t="s">
        <v>5</v>
      </c>
      <c r="W5" s="17">
        <f>VLOOKUP(RiskRegister[[#This Row],[Residual Likelihood Level]],'Rating factors'!$F$16:$G$21,2,FALSE)</f>
        <v>4</v>
      </c>
      <c r="X5" s="25" t="str">
        <f ca="1">IFERROR(VLOOKUP(RiskRegister[[#This Row],[Residual Risk Rating]],'Rating factors'!$F$30:$G$44,2,FALSE),"-- Error --")</f>
        <v>-- Error --</v>
      </c>
      <c r="Y5" s="17" t="str">
        <f ca="1">IFERROR(RiskRegister[[#This Row],[Residual Impact Rating]]*RiskRegister[[#This Row],[Residual Likelihood Rating]],"-- Error --")</f>
        <v>-- Error --</v>
      </c>
      <c r="Z5" s="24" t="s">
        <v>15</v>
      </c>
      <c r="AB5" s="39"/>
      <c r="AD5" s="20"/>
    </row>
    <row r="6" spans="1:42" s="16" customFormat="1" hidden="1" x14ac:dyDescent="0.25">
      <c r="A6" s="24">
        <v>3</v>
      </c>
      <c r="B6" s="16" t="s">
        <v>158</v>
      </c>
      <c r="C6" s="16" t="s">
        <v>113</v>
      </c>
      <c r="D6" s="26">
        <v>45385</v>
      </c>
      <c r="E6" s="16" t="s">
        <v>113</v>
      </c>
      <c r="F6" s="16" t="s">
        <v>113</v>
      </c>
      <c r="G6" s="24" t="s">
        <v>41</v>
      </c>
      <c r="I6" s="24" t="s">
        <v>65</v>
      </c>
      <c r="L6" s="104" t="s">
        <v>4</v>
      </c>
      <c r="M6" s="17">
        <f>VLOOKUP(RiskRegister[[#This Row],[Inherent Impact LevelL3:L1020D1007L3:L1019]],'Rating factors'!$F$4:$G$9,2,FALSE)</f>
        <v>3</v>
      </c>
      <c r="N6" s="24" t="s">
        <v>80</v>
      </c>
      <c r="O6" s="17" t="e">
        <f>VLOOKUP(RiskRegister[[#This Row],[Inherent Likelihood Level]],'Rating factors'!$F$16:$G$21,2,FALSE)</f>
        <v>#N/A</v>
      </c>
      <c r="P6" s="25" t="str">
        <f>IFERROR(VLOOKUP(RiskRegister[[#This Row],[Inherent Risk Rating]],'Rating factors'!$F$30:$G$44,2,FALSE),"-- Error --")</f>
        <v>-- Error --</v>
      </c>
      <c r="Q6" s="17" t="str">
        <f>IFERROR(RiskRegister[[#This Row],[Inherent Impact Rating]]*RiskRegister[[#This Row],[Inherent Likelihood Rating]],"-- Error --")</f>
        <v>-- Error --</v>
      </c>
      <c r="R6" s="24" t="s">
        <v>19</v>
      </c>
      <c r="T6" s="24" t="s">
        <v>91</v>
      </c>
      <c r="U6" s="17" t="e" cm="1">
        <f t="array" aca="1" ref="U6" ca="1">+U6:Y1019VLOOKUP(RiskRegister[[#This Row],[Residual Impact Level]],'Rating factors'!$F$4:$G$9,2,FALSE)</f>
        <v>#NAME?</v>
      </c>
      <c r="V6" s="24" t="s">
        <v>5</v>
      </c>
      <c r="W6" s="17">
        <f>VLOOKUP(RiskRegister[[#This Row],[Residual Likelihood Level]],'Rating factors'!$F$16:$G$21,2,FALSE)</f>
        <v>4</v>
      </c>
      <c r="X6" s="25" t="str">
        <f ca="1">IFERROR(VLOOKUP(RiskRegister[[#This Row],[Residual Risk Rating]],'Rating factors'!$F$30:$G$44,2,FALSE),"-- Error --")</f>
        <v>-- Error --</v>
      </c>
      <c r="Y6" s="17" t="str">
        <f ca="1">IFERROR(RiskRegister[[#This Row],[Residual Impact Rating]]*RiskRegister[[#This Row],[Residual Likelihood Rating]],"-- Error --")</f>
        <v>-- Error --</v>
      </c>
      <c r="Z6" s="24" t="s">
        <v>132</v>
      </c>
      <c r="AB6" s="39">
        <v>45420</v>
      </c>
      <c r="AD6" s="20"/>
    </row>
    <row r="7" spans="1:42" s="16" customFormat="1" hidden="1" x14ac:dyDescent="0.25">
      <c r="A7" s="24">
        <v>4</v>
      </c>
      <c r="B7" s="16" t="s">
        <v>159</v>
      </c>
      <c r="C7" s="16" t="s">
        <v>114</v>
      </c>
      <c r="D7" s="26">
        <v>45386</v>
      </c>
      <c r="E7" s="16" t="s">
        <v>114</v>
      </c>
      <c r="F7" s="16" t="s">
        <v>114</v>
      </c>
      <c r="G7" s="24" t="s">
        <v>50</v>
      </c>
      <c r="I7" s="24" t="s">
        <v>65</v>
      </c>
      <c r="L7" s="104" t="s">
        <v>8</v>
      </c>
      <c r="M7" s="17">
        <f>VLOOKUP(RiskRegister[[#This Row],[Inherent Impact LevelL3:L1020D1007L3:L1019]],'Rating factors'!$F$4:$G$9,2,FALSE)</f>
        <v>4</v>
      </c>
      <c r="N7" s="24" t="s">
        <v>5</v>
      </c>
      <c r="O7" s="17">
        <f>VLOOKUP(RiskRegister[[#This Row],[Inherent Likelihood Level]],'Rating factors'!$F$16:$G$21,2,FALSE)</f>
        <v>4</v>
      </c>
      <c r="P7" s="25" t="str">
        <f>IFERROR(VLOOKUP(RiskRegister[[#This Row],[Inherent Risk Rating]],'Rating factors'!$F$30:$G$44,2,FALSE),"-- Error --")</f>
        <v>-- Error --</v>
      </c>
      <c r="Q7" s="17">
        <f>IFERROR(RiskRegister[[#This Row],[Inherent Impact Rating]]*RiskRegister[[#This Row],[Inherent Likelihood Rating]],"-- Error --")</f>
        <v>16</v>
      </c>
      <c r="R7" s="24" t="s">
        <v>19</v>
      </c>
      <c r="T7" s="24" t="s">
        <v>91</v>
      </c>
      <c r="U7" s="17" t="e" cm="1">
        <f t="array" aca="1" ref="U7" ca="1">+U7:Y1019VLOOKUP(RiskRegister[[#This Row],[Residual Impact Level]],'Rating factors'!$F$4:$G$9,2,FALSE)</f>
        <v>#NAME?</v>
      </c>
      <c r="V7" s="24" t="s">
        <v>6</v>
      </c>
      <c r="W7" s="17">
        <f>VLOOKUP(RiskRegister[[#This Row],[Residual Likelihood Level]],'Rating factors'!$F$16:$G$21,2,FALSE)</f>
        <v>2</v>
      </c>
      <c r="X7" s="25" t="str">
        <f ca="1">IFERROR(VLOOKUP(RiskRegister[[#This Row],[Residual Risk Rating]],'Rating factors'!$F$30:$G$44,2,FALSE),"-- Error --")</f>
        <v>-- Error --</v>
      </c>
      <c r="Y7" s="17" t="str">
        <f ca="1">IFERROR(RiskRegister[[#This Row],[Residual Impact Rating]]*RiskRegister[[#This Row],[Residual Likelihood Rating]],"-- Error --")</f>
        <v>-- Error --</v>
      </c>
      <c r="Z7" s="24" t="s">
        <v>14</v>
      </c>
      <c r="AB7" s="39"/>
      <c r="AD7" s="20"/>
    </row>
    <row r="8" spans="1:42" s="16" customFormat="1" hidden="1" x14ac:dyDescent="0.25">
      <c r="A8" s="24">
        <v>5</v>
      </c>
      <c r="B8" s="16" t="s">
        <v>164</v>
      </c>
      <c r="C8" s="16" t="s">
        <v>115</v>
      </c>
      <c r="D8" s="26">
        <v>45387</v>
      </c>
      <c r="E8" s="16" t="s">
        <v>115</v>
      </c>
      <c r="F8" s="16" t="s">
        <v>115</v>
      </c>
      <c r="G8" s="24" t="s">
        <v>54</v>
      </c>
      <c r="I8" s="24" t="s">
        <v>65</v>
      </c>
      <c r="L8" s="104" t="s">
        <v>92</v>
      </c>
      <c r="M8" s="17" t="e">
        <f>VLOOKUP(RiskRegister[[#This Row],[Inherent Impact LevelL3:L1020D1007L3:L1019]],'Rating factors'!$F$4:$G$9,2,FALSE)</f>
        <v>#N/A</v>
      </c>
      <c r="N8" s="24" t="s">
        <v>80</v>
      </c>
      <c r="O8" s="17" t="e">
        <f>VLOOKUP(RiskRegister[[#This Row],[Inherent Likelihood Level]],'Rating factors'!$F$16:$G$21,2,FALSE)</f>
        <v>#N/A</v>
      </c>
      <c r="P8" s="25" t="str">
        <f>IFERROR(VLOOKUP(RiskRegister[[#This Row],[Inherent Risk Rating]],'Rating factors'!$F$30:$G$44,2,FALSE),"-- Error --")</f>
        <v>-- Error --</v>
      </c>
      <c r="Q8" s="17" t="str">
        <f>IFERROR(RiskRegister[[#This Row],[Inherent Impact Rating]]*RiskRegister[[#This Row],[Inherent Likelihood Rating]],"-- Error --")</f>
        <v>-- Error --</v>
      </c>
      <c r="R8" s="24" t="s">
        <v>19</v>
      </c>
      <c r="T8" s="24" t="s">
        <v>10</v>
      </c>
      <c r="U8" s="17" t="e" cm="1">
        <f t="array" aca="1" ref="U8" ca="1">+U8:Y1019VLOOKUP(RiskRegister[[#This Row],[Residual Impact Level]],'Rating factors'!$F$4:$G$9,2,FALSE)</f>
        <v>#NAME?</v>
      </c>
      <c r="V8" s="24" t="s">
        <v>5</v>
      </c>
      <c r="W8" s="17">
        <f>VLOOKUP(RiskRegister[[#This Row],[Residual Likelihood Level]],'Rating factors'!$F$16:$G$21,2,FALSE)</f>
        <v>4</v>
      </c>
      <c r="X8" s="25" t="str">
        <f ca="1">IFERROR(VLOOKUP(RiskRegister[[#This Row],[Residual Risk Rating]],'Rating factors'!$F$30:$G$44,2,FALSE),"-- Error --")</f>
        <v>-- Error --</v>
      </c>
      <c r="Y8" s="17" t="str">
        <f ca="1">IFERROR(RiskRegister[[#This Row],[Residual Impact Rating]]*RiskRegister[[#This Row],[Residual Likelihood Rating]],"-- Error --")</f>
        <v>-- Error --</v>
      </c>
      <c r="Z8" s="24" t="s">
        <v>132</v>
      </c>
      <c r="AB8" s="39">
        <v>45328</v>
      </c>
      <c r="AD8" s="20"/>
    </row>
    <row r="9" spans="1:42" s="16" customFormat="1" hidden="1" x14ac:dyDescent="0.25">
      <c r="A9" s="24">
        <v>6</v>
      </c>
      <c r="B9" s="16" t="s">
        <v>165</v>
      </c>
      <c r="C9" s="16" t="s">
        <v>116</v>
      </c>
      <c r="D9" s="26">
        <v>45388</v>
      </c>
      <c r="E9" s="16" t="s">
        <v>116</v>
      </c>
      <c r="F9" s="16" t="s">
        <v>116</v>
      </c>
      <c r="G9" s="24" t="s">
        <v>57</v>
      </c>
      <c r="I9" s="24" t="s">
        <v>65</v>
      </c>
      <c r="L9" s="104" t="s">
        <v>91</v>
      </c>
      <c r="M9" s="17">
        <f>VLOOKUP(RiskRegister[[#This Row],[Inherent Impact LevelL3:L1020D1007L3:L1019]],'Rating factors'!$F$4:$G$9,2,FALSE)</f>
        <v>1</v>
      </c>
      <c r="N9" s="24" t="s">
        <v>5</v>
      </c>
      <c r="O9" s="17">
        <f>VLOOKUP(RiskRegister[[#This Row],[Inherent Likelihood Level]],'Rating factors'!$F$16:$G$21,2,FALSE)</f>
        <v>4</v>
      </c>
      <c r="P9" s="25" t="str">
        <f>IFERROR(VLOOKUP(RiskRegister[[#This Row],[Inherent Risk Rating]],'Rating factors'!$F$30:$G$44,2,FALSE),"-- Error --")</f>
        <v>Low</v>
      </c>
      <c r="Q9" s="17">
        <f>IFERROR(RiskRegister[[#This Row],[Inherent Impact Rating]]*RiskRegister[[#This Row],[Inherent Likelihood Rating]],"-- Error --")</f>
        <v>4</v>
      </c>
      <c r="R9" s="24" t="s">
        <v>19</v>
      </c>
      <c r="T9" s="24" t="s">
        <v>91</v>
      </c>
      <c r="U9" s="17" t="e" cm="1">
        <f t="array" aca="1" ref="U9" ca="1">+U9:Y1019VLOOKUP(RiskRegister[[#This Row],[Residual Impact Level]],'Rating factors'!$F$4:$G$9,2,FALSE)</f>
        <v>#NAME?</v>
      </c>
      <c r="V9" s="24" t="s">
        <v>6</v>
      </c>
      <c r="W9" s="17">
        <f>VLOOKUP(RiskRegister[[#This Row],[Residual Likelihood Level]],'Rating factors'!$F$16:$G$21,2,FALSE)</f>
        <v>2</v>
      </c>
      <c r="X9" s="25" t="str">
        <f ca="1">IFERROR(VLOOKUP(RiskRegister[[#This Row],[Residual Risk Rating]],'Rating factors'!$F$30:$G$44,2,FALSE),"-- Error --")</f>
        <v>-- Error --</v>
      </c>
      <c r="Y9" s="17" t="str">
        <f ca="1">IFERROR(RiskRegister[[#This Row],[Residual Impact Rating]]*RiskRegister[[#This Row],[Residual Likelihood Rating]],"-- Error --")</f>
        <v>-- Error --</v>
      </c>
      <c r="Z9" s="24" t="s">
        <v>132</v>
      </c>
      <c r="AB9" s="39">
        <v>45218</v>
      </c>
      <c r="AD9" s="20"/>
    </row>
    <row r="10" spans="1:42" s="16" customFormat="1" hidden="1" x14ac:dyDescent="0.25">
      <c r="A10" s="24">
        <v>7</v>
      </c>
      <c r="B10" s="16" t="s">
        <v>166</v>
      </c>
      <c r="C10" s="16" t="s">
        <v>117</v>
      </c>
      <c r="D10" s="26">
        <v>45389</v>
      </c>
      <c r="E10" s="16" t="s">
        <v>117</v>
      </c>
      <c r="F10" s="16" t="s">
        <v>117</v>
      </c>
      <c r="G10" s="24" t="s">
        <v>55</v>
      </c>
      <c r="I10" s="24" t="s">
        <v>65</v>
      </c>
      <c r="L10" s="104" t="s">
        <v>92</v>
      </c>
      <c r="M10" s="17" t="e">
        <f>VLOOKUP(RiskRegister[[#This Row],[Inherent Impact LevelL3:L1020D1007L3:L1019]],'Rating factors'!$F$4:$G$9,2,FALSE)</f>
        <v>#N/A</v>
      </c>
      <c r="N10" s="24" t="s">
        <v>7</v>
      </c>
      <c r="O10" s="17">
        <f>VLOOKUP(RiskRegister[[#This Row],[Inherent Likelihood Level]],'Rating factors'!$F$16:$G$21,2,FALSE)</f>
        <v>1</v>
      </c>
      <c r="P10" s="25" t="str">
        <f>IFERROR(VLOOKUP(RiskRegister[[#This Row],[Inherent Risk Rating]],'Rating factors'!$F$30:$G$44,2,FALSE),"-- Error --")</f>
        <v>-- Error --</v>
      </c>
      <c r="Q10" s="17" t="str">
        <f>IFERROR(RiskRegister[[#This Row],[Inherent Impact Rating]]*RiskRegister[[#This Row],[Inherent Likelihood Rating]],"-- Error --")</f>
        <v>-- Error --</v>
      </c>
      <c r="R10" s="24" t="s">
        <v>19</v>
      </c>
      <c r="T10" s="24" t="s">
        <v>91</v>
      </c>
      <c r="U10" s="17" t="e" cm="1">
        <f t="array" aca="1" ref="U10" ca="1">+U10:Y1019VLOOKUP(RiskRegister[[#This Row],[Residual Impact Level]],'Rating factors'!$F$4:$G$9,2,FALSE)</f>
        <v>#NAME?</v>
      </c>
      <c r="V10" s="24" t="s">
        <v>7</v>
      </c>
      <c r="W10" s="17">
        <f>VLOOKUP(RiskRegister[[#This Row],[Residual Likelihood Level]],'Rating factors'!$F$16:$G$21,2,FALSE)</f>
        <v>1</v>
      </c>
      <c r="X10" s="25" t="str">
        <f ca="1">IFERROR(VLOOKUP(RiskRegister[[#This Row],[Residual Risk Rating]],'Rating factors'!$F$30:$G$44,2,FALSE),"-- Error --")</f>
        <v>-- Error --</v>
      </c>
      <c r="Y10" s="17" t="str">
        <f ca="1">IFERROR(RiskRegister[[#This Row],[Residual Impact Rating]]*RiskRegister[[#This Row],[Residual Likelihood Rating]],"-- Error --")</f>
        <v>-- Error --</v>
      </c>
      <c r="Z10" s="24" t="s">
        <v>132</v>
      </c>
      <c r="AB10" s="39">
        <v>45180</v>
      </c>
      <c r="AD10" s="20"/>
    </row>
    <row r="11" spans="1:42" s="16" customFormat="1" hidden="1" x14ac:dyDescent="0.25">
      <c r="A11" s="24">
        <v>8</v>
      </c>
      <c r="B11" s="16" t="s">
        <v>167</v>
      </c>
      <c r="C11" s="16" t="s">
        <v>118</v>
      </c>
      <c r="D11" s="26">
        <v>45390</v>
      </c>
      <c r="E11" s="16" t="s">
        <v>118</v>
      </c>
      <c r="F11" s="16" t="s">
        <v>118</v>
      </c>
      <c r="G11" s="24" t="s">
        <v>56</v>
      </c>
      <c r="I11" s="24" t="s">
        <v>65</v>
      </c>
      <c r="L11" s="104" t="s">
        <v>10</v>
      </c>
      <c r="M11" s="17">
        <f>VLOOKUP(RiskRegister[[#This Row],[Inherent Impact LevelL3:L1020D1007L3:L1019]],'Rating factors'!$F$4:$G$9,2,FALSE)</f>
        <v>2</v>
      </c>
      <c r="N11" s="24" t="s">
        <v>6</v>
      </c>
      <c r="O11" s="17">
        <f>VLOOKUP(RiskRegister[[#This Row],[Inherent Likelihood Level]],'Rating factors'!$F$16:$G$21,2,FALSE)</f>
        <v>2</v>
      </c>
      <c r="P11" s="25" t="str">
        <f>IFERROR(VLOOKUP(RiskRegister[[#This Row],[Inherent Risk Rating]],'Rating factors'!$F$30:$G$44,2,FALSE),"-- Error --")</f>
        <v>Low</v>
      </c>
      <c r="Q11" s="17">
        <f>IFERROR(RiskRegister[[#This Row],[Inherent Impact Rating]]*RiskRegister[[#This Row],[Inherent Likelihood Rating]],"-- Error --")</f>
        <v>4</v>
      </c>
      <c r="R11" s="24" t="s">
        <v>19</v>
      </c>
      <c r="T11" s="24" t="s">
        <v>10</v>
      </c>
      <c r="U11" s="17" t="e" cm="1">
        <f t="array" aca="1" ref="U11" ca="1">+U11:Y1019VLOOKUP(RiskRegister[[#This Row],[Residual Impact Level]],'Rating factors'!$F$4:$G$9,2,FALSE)</f>
        <v>#NAME?</v>
      </c>
      <c r="V11" s="24" t="s">
        <v>6</v>
      </c>
      <c r="W11" s="17">
        <f>VLOOKUP(RiskRegister[[#This Row],[Residual Likelihood Level]],'Rating factors'!$F$16:$G$21,2,FALSE)</f>
        <v>2</v>
      </c>
      <c r="X11" s="25" t="str">
        <f ca="1">IFERROR(VLOOKUP(RiskRegister[[#This Row],[Residual Risk Rating]],'Rating factors'!$F$30:$G$44,2,FALSE),"-- Error --")</f>
        <v>-- Error --</v>
      </c>
      <c r="Y11" s="17" t="str">
        <f ca="1">IFERROR(RiskRegister[[#This Row],[Residual Impact Rating]]*RiskRegister[[#This Row],[Residual Likelihood Rating]],"-- Error --")</f>
        <v>-- Error --</v>
      </c>
      <c r="Z11" s="24" t="s">
        <v>15</v>
      </c>
      <c r="AB11" s="39"/>
      <c r="AD11" s="20"/>
    </row>
    <row r="12" spans="1:42" s="16" customFormat="1" hidden="1" x14ac:dyDescent="0.25">
      <c r="A12" s="24">
        <v>9</v>
      </c>
      <c r="B12" s="16" t="s">
        <v>168</v>
      </c>
      <c r="C12" s="16" t="s">
        <v>119</v>
      </c>
      <c r="D12" s="26">
        <v>45391</v>
      </c>
      <c r="E12" s="16" t="s">
        <v>119</v>
      </c>
      <c r="F12" s="16" t="s">
        <v>119</v>
      </c>
      <c r="G12" s="24" t="s">
        <v>56</v>
      </c>
      <c r="I12" s="24" t="s">
        <v>64</v>
      </c>
      <c r="L12" s="104" t="s">
        <v>8</v>
      </c>
      <c r="M12" s="17">
        <f>VLOOKUP(RiskRegister[[#This Row],[Inherent Impact LevelL3:L1020D1007L3:L1019]],'Rating factors'!$F$4:$G$9,2,FALSE)</f>
        <v>4</v>
      </c>
      <c r="N12" s="24" t="s">
        <v>83</v>
      </c>
      <c r="O12" s="17">
        <f>VLOOKUP(RiskRegister[[#This Row],[Inherent Likelihood Level]],'Rating factors'!$F$16:$G$21,2,FALSE)</f>
        <v>3</v>
      </c>
      <c r="P12" s="25" t="str">
        <f>IFERROR(VLOOKUP(RiskRegister[[#This Row],[Inherent Risk Rating]],'Rating factors'!$F$30:$G$44,2,FALSE),"-- Error --")</f>
        <v>High</v>
      </c>
      <c r="Q12" s="17">
        <f>IFERROR(RiskRegister[[#This Row],[Inherent Impact Rating]]*RiskRegister[[#This Row],[Inherent Likelihood Rating]],"-- Error --")</f>
        <v>12</v>
      </c>
      <c r="R12" s="24" t="s">
        <v>19</v>
      </c>
      <c r="T12" s="24" t="s">
        <v>91</v>
      </c>
      <c r="U12" s="17" t="e" cm="1">
        <f t="array" aca="1" ref="U12" ca="1">+U12:Y1019VLOOKUP(RiskRegister[[#This Row],[Residual Impact Level]],'Rating factors'!$F$4:$G$9,2,FALSE)</f>
        <v>#NAME?</v>
      </c>
      <c r="V12" s="24" t="s">
        <v>5</v>
      </c>
      <c r="W12" s="17">
        <f>VLOOKUP(RiskRegister[[#This Row],[Residual Likelihood Level]],'Rating factors'!$F$16:$G$21,2,FALSE)</f>
        <v>4</v>
      </c>
      <c r="X12" s="25" t="str">
        <f ca="1">IFERROR(VLOOKUP(RiskRegister[[#This Row],[Residual Risk Rating]],'Rating factors'!$F$30:$G$44,2,FALSE),"-- Error --")</f>
        <v>-- Error --</v>
      </c>
      <c r="Y12" s="17" t="str">
        <f ca="1">IFERROR(RiskRegister[[#This Row],[Residual Impact Rating]]*RiskRegister[[#This Row],[Residual Likelihood Rating]],"-- Error --")</f>
        <v>-- Error --</v>
      </c>
      <c r="Z12" s="24" t="s">
        <v>14</v>
      </c>
      <c r="AB12" s="39"/>
      <c r="AD12" s="20"/>
    </row>
    <row r="13" spans="1:42" s="16" customFormat="1" hidden="1" x14ac:dyDescent="0.25">
      <c r="A13" s="24">
        <v>10</v>
      </c>
      <c r="B13" s="16" t="s">
        <v>169</v>
      </c>
      <c r="C13" s="16" t="s">
        <v>120</v>
      </c>
      <c r="D13" s="26">
        <v>45392</v>
      </c>
      <c r="E13" s="16" t="s">
        <v>120</v>
      </c>
      <c r="F13" s="16" t="s">
        <v>120</v>
      </c>
      <c r="G13" s="24" t="s">
        <v>53</v>
      </c>
      <c r="I13" s="24" t="s">
        <v>64</v>
      </c>
      <c r="L13" s="104" t="s">
        <v>92</v>
      </c>
      <c r="M13" s="17" t="e">
        <f>VLOOKUP(RiskRegister[[#This Row],[Inherent Impact LevelL3:L1020D1007L3:L1019]],'Rating factors'!$F$4:$G$9,2,FALSE)</f>
        <v>#N/A</v>
      </c>
      <c r="N13" s="24" t="s">
        <v>83</v>
      </c>
      <c r="O13" s="17">
        <f>VLOOKUP(RiskRegister[[#This Row],[Inherent Likelihood Level]],'Rating factors'!$F$16:$G$21,2,FALSE)</f>
        <v>3</v>
      </c>
      <c r="P13" s="25" t="str">
        <f>IFERROR(VLOOKUP(RiskRegister[[#This Row],[Inherent Risk Rating]],'Rating factors'!$F$30:$G$44,2,FALSE),"-- Error --")</f>
        <v>-- Error --</v>
      </c>
      <c r="Q13" s="17" t="str">
        <f>IFERROR(RiskRegister[[#This Row],[Inherent Impact Rating]]*RiskRegister[[#This Row],[Inherent Likelihood Rating]],"-- Error --")</f>
        <v>-- Error --</v>
      </c>
      <c r="R13" s="24" t="s">
        <v>19</v>
      </c>
      <c r="T13" s="24" t="s">
        <v>10</v>
      </c>
      <c r="U13" s="17" t="e" cm="1">
        <f t="array" aca="1" ref="U13" ca="1">+U13:Y1019VLOOKUP(RiskRegister[[#This Row],[Residual Impact Level]],'Rating factors'!$F$4:$G$9,2,FALSE)</f>
        <v>#NAME?</v>
      </c>
      <c r="V13" s="24" t="s">
        <v>5</v>
      </c>
      <c r="W13" s="17">
        <f>VLOOKUP(RiskRegister[[#This Row],[Residual Likelihood Level]],'Rating factors'!$F$16:$G$21,2,FALSE)</f>
        <v>4</v>
      </c>
      <c r="X13" s="25" t="str">
        <f ca="1">IFERROR(VLOOKUP(RiskRegister[[#This Row],[Residual Risk Rating]],'Rating factors'!$F$30:$G$44,2,FALSE),"-- Error --")</f>
        <v>-- Error --</v>
      </c>
      <c r="Y13" s="17" t="str">
        <f ca="1">IFERROR(RiskRegister[[#This Row],[Residual Impact Rating]]*RiskRegister[[#This Row],[Residual Likelihood Rating]],"-- Error --")</f>
        <v>-- Error --</v>
      </c>
      <c r="Z13" s="24" t="s">
        <v>14</v>
      </c>
      <c r="AB13" s="39"/>
      <c r="AD13" s="20"/>
    </row>
    <row r="14" spans="1:42" s="16" customFormat="1" hidden="1" x14ac:dyDescent="0.25">
      <c r="A14" s="24">
        <v>11</v>
      </c>
      <c r="B14" s="16" t="s">
        <v>170</v>
      </c>
      <c r="C14" s="16" t="s">
        <v>121</v>
      </c>
      <c r="D14" s="26">
        <v>45393</v>
      </c>
      <c r="E14" s="16" t="s">
        <v>121</v>
      </c>
      <c r="F14" s="16" t="s">
        <v>121</v>
      </c>
      <c r="G14" s="24" t="s">
        <v>52</v>
      </c>
      <c r="I14" s="24" t="s">
        <v>64</v>
      </c>
      <c r="L14" s="104" t="s">
        <v>91</v>
      </c>
      <c r="M14" s="17">
        <f>VLOOKUP(RiskRegister[[#This Row],[Inherent Impact LevelL3:L1020D1007L3:L1019]],'Rating factors'!$F$4:$G$9,2,FALSE)</f>
        <v>1</v>
      </c>
      <c r="N14" s="24" t="s">
        <v>83</v>
      </c>
      <c r="O14" s="17">
        <f>VLOOKUP(RiskRegister[[#This Row],[Inherent Likelihood Level]],'Rating factors'!$F$16:$G$21,2,FALSE)</f>
        <v>3</v>
      </c>
      <c r="P14" s="25" t="str">
        <f>IFERROR(VLOOKUP(RiskRegister[[#This Row],[Inherent Risk Rating]],'Rating factors'!$F$30:$G$44,2,FALSE),"-- Error --")</f>
        <v>Low</v>
      </c>
      <c r="Q14" s="17">
        <f>IFERROR(RiskRegister[[#This Row],[Inherent Impact Rating]]*RiskRegister[[#This Row],[Inherent Likelihood Rating]],"-- Error --")</f>
        <v>3</v>
      </c>
      <c r="R14" s="24" t="s">
        <v>19</v>
      </c>
      <c r="T14" s="24" t="s">
        <v>91</v>
      </c>
      <c r="U14" s="17" t="e" cm="1">
        <f t="array" aca="1" ref="U14" ca="1">+U14:Y1019VLOOKUP(RiskRegister[[#This Row],[Residual Impact Level]],'Rating factors'!$F$4:$G$9,2,FALSE)</f>
        <v>#NAME?</v>
      </c>
      <c r="V14" s="24" t="s">
        <v>5</v>
      </c>
      <c r="W14" s="17">
        <f>VLOOKUP(RiskRegister[[#This Row],[Residual Likelihood Level]],'Rating factors'!$F$16:$G$21,2,FALSE)</f>
        <v>4</v>
      </c>
      <c r="X14" s="25" t="str">
        <f ca="1">IFERROR(VLOOKUP(RiskRegister[[#This Row],[Residual Risk Rating]],'Rating factors'!$F$30:$G$44,2,FALSE),"-- Error --")</f>
        <v>-- Error --</v>
      </c>
      <c r="Y14" s="17" t="str">
        <f ca="1">IFERROR(RiskRegister[[#This Row],[Residual Impact Rating]]*RiskRegister[[#This Row],[Residual Likelihood Rating]],"-- Error --")</f>
        <v>-- Error --</v>
      </c>
      <c r="Z14" s="24" t="s">
        <v>132</v>
      </c>
      <c r="AB14" s="39">
        <v>45567</v>
      </c>
      <c r="AD14" s="20"/>
    </row>
    <row r="15" spans="1:42" s="16" customFormat="1" hidden="1" x14ac:dyDescent="0.25">
      <c r="A15" s="24">
        <v>12</v>
      </c>
      <c r="B15" s="16" t="s">
        <v>171</v>
      </c>
      <c r="C15" s="16" t="s">
        <v>122</v>
      </c>
      <c r="D15" s="26">
        <v>45394</v>
      </c>
      <c r="E15" s="16" t="s">
        <v>122</v>
      </c>
      <c r="F15" s="16" t="s">
        <v>122</v>
      </c>
      <c r="G15" s="24" t="s">
        <v>41</v>
      </c>
      <c r="I15" s="24" t="s">
        <v>64</v>
      </c>
      <c r="L15" s="104" t="s">
        <v>10</v>
      </c>
      <c r="M15" s="17">
        <f>VLOOKUP(RiskRegister[[#This Row],[Inherent Impact LevelL3:L1020D1007L3:L1019]],'Rating factors'!$F$4:$G$9,2,FALSE)</f>
        <v>2</v>
      </c>
      <c r="N15" s="24" t="s">
        <v>80</v>
      </c>
      <c r="O15" s="17" t="e">
        <f>VLOOKUP(RiskRegister[[#This Row],[Inherent Likelihood Level]],'Rating factors'!$F$16:$G$21,2,FALSE)</f>
        <v>#N/A</v>
      </c>
      <c r="P15" s="25" t="str">
        <f>IFERROR(VLOOKUP(RiskRegister[[#This Row],[Inherent Risk Rating]],'Rating factors'!$F$30:$G$44,2,FALSE),"-- Error --")</f>
        <v>-- Error --</v>
      </c>
      <c r="Q15" s="17" t="str">
        <f>IFERROR(RiskRegister[[#This Row],[Inherent Impact Rating]]*RiskRegister[[#This Row],[Inherent Likelihood Rating]],"-- Error --")</f>
        <v>-- Error --</v>
      </c>
      <c r="R15" s="24" t="s">
        <v>19</v>
      </c>
      <c r="T15" s="24" t="s">
        <v>91</v>
      </c>
      <c r="U15" s="17" t="e" cm="1">
        <f t="array" aca="1" ref="U15" ca="1">+U15:Y1019VLOOKUP(RiskRegister[[#This Row],[Residual Impact Level]],'Rating factors'!$F$4:$G$9,2,FALSE)</f>
        <v>#NAME?</v>
      </c>
      <c r="V15" s="24" t="s">
        <v>5</v>
      </c>
      <c r="W15" s="17">
        <f>VLOOKUP(RiskRegister[[#This Row],[Residual Likelihood Level]],'Rating factors'!$F$16:$G$21,2,FALSE)</f>
        <v>4</v>
      </c>
      <c r="X15" s="25" t="str">
        <f ca="1">IFERROR(VLOOKUP(RiskRegister[[#This Row],[Residual Risk Rating]],'Rating factors'!$F$30:$G$44,2,FALSE),"-- Error --")</f>
        <v>-- Error --</v>
      </c>
      <c r="Y15" s="17" t="str">
        <f ca="1">IFERROR(RiskRegister[[#This Row],[Residual Impact Rating]]*RiskRegister[[#This Row],[Residual Likelihood Rating]],"-- Error --")</f>
        <v>-- Error --</v>
      </c>
      <c r="Z15" s="24" t="s">
        <v>132</v>
      </c>
      <c r="AB15" s="39">
        <v>45626</v>
      </c>
      <c r="AD15" s="20"/>
    </row>
    <row r="16" spans="1:42" s="16" customFormat="1" hidden="1" x14ac:dyDescent="0.25">
      <c r="A16" s="24">
        <v>13</v>
      </c>
      <c r="B16" s="16" t="s">
        <v>172</v>
      </c>
      <c r="C16" s="16" t="s">
        <v>123</v>
      </c>
      <c r="D16" s="26">
        <v>45395</v>
      </c>
      <c r="E16" s="16" t="s">
        <v>123</v>
      </c>
      <c r="F16" s="16" t="s">
        <v>123</v>
      </c>
      <c r="G16" s="24" t="s">
        <v>50</v>
      </c>
      <c r="I16" s="24" t="s">
        <v>62</v>
      </c>
      <c r="L16" s="104" t="s">
        <v>4</v>
      </c>
      <c r="M16" s="17">
        <f>VLOOKUP(RiskRegister[[#This Row],[Inherent Impact LevelL3:L1020D1007L3:L1019]],'Rating factors'!$F$4:$G$9,2,FALSE)</f>
        <v>3</v>
      </c>
      <c r="N16" s="24" t="s">
        <v>80</v>
      </c>
      <c r="O16" s="17" t="e">
        <f>VLOOKUP(RiskRegister[[#This Row],[Inherent Likelihood Level]],'Rating factors'!$F$16:$G$21,2,FALSE)</f>
        <v>#N/A</v>
      </c>
      <c r="P16" s="25" t="str">
        <f>IFERROR(VLOOKUP(RiskRegister[[#This Row],[Inherent Risk Rating]],'Rating factors'!$F$30:$G$44,2,FALSE),"-- Error --")</f>
        <v>-- Error --</v>
      </c>
      <c r="Q16" s="17" t="str">
        <f>IFERROR(RiskRegister[[#This Row],[Inherent Impact Rating]]*RiskRegister[[#This Row],[Inherent Likelihood Rating]],"-- Error --")</f>
        <v>-- Error --</v>
      </c>
      <c r="R16" s="24" t="s">
        <v>19</v>
      </c>
      <c r="T16" s="24" t="s">
        <v>10</v>
      </c>
      <c r="U16" s="17" t="e" cm="1">
        <f t="array" aca="1" ref="U16" ca="1">+U16:Y1019VLOOKUP(RiskRegister[[#This Row],[Residual Impact Level]],'Rating factors'!$F$4:$G$9,2,FALSE)</f>
        <v>#NAME?</v>
      </c>
      <c r="V16" s="24" t="s">
        <v>5</v>
      </c>
      <c r="W16" s="17">
        <f>VLOOKUP(RiskRegister[[#This Row],[Residual Likelihood Level]],'Rating factors'!$F$16:$G$21,2,FALSE)</f>
        <v>4</v>
      </c>
      <c r="X16" s="25" t="str">
        <f ca="1">IFERROR(VLOOKUP(RiskRegister[[#This Row],[Residual Risk Rating]],'Rating factors'!$F$30:$G$44,2,FALSE),"-- Error --")</f>
        <v>-- Error --</v>
      </c>
      <c r="Y16" s="17" t="str">
        <f ca="1">IFERROR(RiskRegister[[#This Row],[Residual Impact Rating]]*RiskRegister[[#This Row],[Residual Likelihood Rating]],"-- Error --")</f>
        <v>-- Error --</v>
      </c>
      <c r="Z16" s="24" t="s">
        <v>132</v>
      </c>
      <c r="AB16" s="39">
        <v>45631</v>
      </c>
      <c r="AD16" s="20"/>
    </row>
    <row r="17" spans="1:30" s="16" customFormat="1" hidden="1" x14ac:dyDescent="0.25">
      <c r="A17" s="24">
        <v>14</v>
      </c>
      <c r="B17" s="16" t="s">
        <v>173</v>
      </c>
      <c r="C17" s="16" t="s">
        <v>124</v>
      </c>
      <c r="D17" s="26">
        <v>45396</v>
      </c>
      <c r="E17" s="16" t="s">
        <v>124</v>
      </c>
      <c r="F17" s="16" t="s">
        <v>124</v>
      </c>
      <c r="G17" s="24" t="s">
        <v>54</v>
      </c>
      <c r="I17" s="24" t="s">
        <v>69</v>
      </c>
      <c r="L17" s="104" t="s">
        <v>8</v>
      </c>
      <c r="M17" s="17">
        <f>VLOOKUP(RiskRegister[[#This Row],[Inherent Impact LevelL3:L1020D1007L3:L1019]],'Rating factors'!$F$4:$G$9,2,FALSE)</f>
        <v>4</v>
      </c>
      <c r="N17" s="24" t="s">
        <v>80</v>
      </c>
      <c r="O17" s="17" t="e">
        <f>VLOOKUP(RiskRegister[[#This Row],[Inherent Likelihood Level]],'Rating factors'!$F$16:$G$21,2,FALSE)</f>
        <v>#N/A</v>
      </c>
      <c r="P17" s="25" t="str">
        <f>IFERROR(VLOOKUP(RiskRegister[[#This Row],[Inherent Risk Rating]],'Rating factors'!$F$30:$G$44,2,FALSE),"-- Error --")</f>
        <v>-- Error --</v>
      </c>
      <c r="Q17" s="17" t="str">
        <f>IFERROR(RiskRegister[[#This Row],[Inherent Impact Rating]]*RiskRegister[[#This Row],[Inherent Likelihood Rating]],"-- Error --")</f>
        <v>-- Error --</v>
      </c>
      <c r="R17" s="24" t="s">
        <v>19</v>
      </c>
      <c r="T17" s="24" t="s">
        <v>91</v>
      </c>
      <c r="U17" s="17" t="e" cm="1">
        <f t="array" aca="1" ref="U17" ca="1">+U17:Y1019VLOOKUP(RiskRegister[[#This Row],[Residual Impact Level]],'Rating factors'!$F$4:$G$9,2,FALSE)</f>
        <v>#NAME?</v>
      </c>
      <c r="V17" s="24" t="s">
        <v>5</v>
      </c>
      <c r="W17" s="17">
        <f>VLOOKUP(RiskRegister[[#This Row],[Residual Likelihood Level]],'Rating factors'!$F$16:$G$21,2,FALSE)</f>
        <v>4</v>
      </c>
      <c r="X17" s="25" t="str">
        <f ca="1">IFERROR(VLOOKUP(RiskRegister[[#This Row],[Residual Risk Rating]],'Rating factors'!$F$30:$G$44,2,FALSE),"-- Error --")</f>
        <v>-- Error --</v>
      </c>
      <c r="Y17" s="17" t="str">
        <f ca="1">IFERROR(RiskRegister[[#This Row],[Residual Impact Rating]]*RiskRegister[[#This Row],[Residual Likelihood Rating]],"-- Error --")</f>
        <v>-- Error --</v>
      </c>
      <c r="Z17" s="24" t="s">
        <v>132</v>
      </c>
      <c r="AB17" s="39">
        <v>45310</v>
      </c>
      <c r="AD17" s="20"/>
    </row>
    <row r="18" spans="1:30" s="16" customFormat="1" hidden="1" x14ac:dyDescent="0.25">
      <c r="A18" s="24">
        <v>15</v>
      </c>
      <c r="B18" s="16" t="s">
        <v>174</v>
      </c>
      <c r="C18" s="16" t="s">
        <v>125</v>
      </c>
      <c r="D18" s="26">
        <v>45550</v>
      </c>
      <c r="E18" s="16" t="s">
        <v>125</v>
      </c>
      <c r="F18" s="16" t="s">
        <v>125</v>
      </c>
      <c r="G18" s="24" t="s">
        <v>57</v>
      </c>
      <c r="I18" s="24" t="s">
        <v>70</v>
      </c>
      <c r="L18" s="104" t="s">
        <v>92</v>
      </c>
      <c r="M18" s="17" t="e">
        <f>VLOOKUP(RiskRegister[[#This Row],[Inherent Impact LevelL3:L1020D1007L3:L1019]],'Rating factors'!$F$4:$G$9,2,FALSE)</f>
        <v>#N/A</v>
      </c>
      <c r="N18" s="24" t="s">
        <v>80</v>
      </c>
      <c r="O18" s="17" t="e">
        <f>VLOOKUP(RiskRegister[[#This Row],[Inherent Likelihood Level]],'Rating factors'!$F$16:$G$21,2,FALSE)</f>
        <v>#N/A</v>
      </c>
      <c r="P18" s="25" t="str">
        <f>IFERROR(VLOOKUP(RiskRegister[[#This Row],[Inherent Risk Rating]],'Rating factors'!$F$30:$G$44,2,FALSE),"-- Error --")</f>
        <v>-- Error --</v>
      </c>
      <c r="Q18" s="17" t="str">
        <f>IFERROR(RiskRegister[[#This Row],[Inherent Impact Rating]]*RiskRegister[[#This Row],[Inherent Likelihood Rating]],"-- Error --")</f>
        <v>-- Error --</v>
      </c>
      <c r="R18" s="24" t="s">
        <v>19</v>
      </c>
      <c r="T18" s="24" t="s">
        <v>10</v>
      </c>
      <c r="U18" s="17" t="e" cm="1">
        <f t="array" aca="1" ref="U18" ca="1">+U18:Y1019VLOOKUP(RiskRegister[[#This Row],[Residual Impact Level]],'Rating factors'!$F$4:$G$9,2,FALSE)</f>
        <v>#NAME?</v>
      </c>
      <c r="V18" s="24" t="s">
        <v>5</v>
      </c>
      <c r="W18" s="17">
        <f>VLOOKUP(RiskRegister[[#This Row],[Residual Likelihood Level]],'Rating factors'!$F$16:$G$21,2,FALSE)</f>
        <v>4</v>
      </c>
      <c r="X18" s="25" t="str">
        <f ca="1">IFERROR(VLOOKUP(RiskRegister[[#This Row],[Residual Risk Rating]],'Rating factors'!$F$30:$G$44,2,FALSE),"-- Error --")</f>
        <v>-- Error --</v>
      </c>
      <c r="Y18" s="17" t="str">
        <f ca="1">IFERROR(RiskRegister[[#This Row],[Residual Impact Rating]]*RiskRegister[[#This Row],[Residual Likelihood Rating]],"-- Error --")</f>
        <v>-- Error --</v>
      </c>
      <c r="Z18" s="24" t="s">
        <v>132</v>
      </c>
      <c r="AB18" s="39">
        <v>45449</v>
      </c>
      <c r="AD18" s="20"/>
    </row>
    <row r="19" spans="1:30" s="16" customFormat="1" hidden="1" x14ac:dyDescent="0.25">
      <c r="A19" s="24">
        <v>16</v>
      </c>
      <c r="B19" s="16" t="s">
        <v>175</v>
      </c>
      <c r="C19" s="16" t="s">
        <v>126</v>
      </c>
      <c r="D19" s="26">
        <v>45398</v>
      </c>
      <c r="E19" s="16" t="s">
        <v>126</v>
      </c>
      <c r="F19" s="16" t="s">
        <v>126</v>
      </c>
      <c r="G19" s="24" t="s">
        <v>55</v>
      </c>
      <c r="I19" s="24" t="s">
        <v>65</v>
      </c>
      <c r="L19" s="104" t="s">
        <v>91</v>
      </c>
      <c r="M19" s="17">
        <f>VLOOKUP(RiskRegister[[#This Row],[Inherent Impact LevelL3:L1020D1007L3:L1019]],'Rating factors'!$F$4:$G$9,2,FALSE)</f>
        <v>1</v>
      </c>
      <c r="N19" s="24" t="s">
        <v>80</v>
      </c>
      <c r="O19" s="17" t="e">
        <f>VLOOKUP(RiskRegister[[#This Row],[Inherent Likelihood Level]],'Rating factors'!$F$16:$G$21,2,FALSE)</f>
        <v>#N/A</v>
      </c>
      <c r="P19" s="25" t="str">
        <f>IFERROR(VLOOKUP(RiskRegister[[#This Row],[Inherent Risk Rating]],'Rating factors'!$F$30:$G$44,2,FALSE),"-- Error --")</f>
        <v>-- Error --</v>
      </c>
      <c r="Q19" s="17" t="str">
        <f>IFERROR(RiskRegister[[#This Row],[Inherent Impact Rating]]*RiskRegister[[#This Row],[Inherent Likelihood Rating]],"-- Error --")</f>
        <v>-- Error --</v>
      </c>
      <c r="R19" s="24" t="s">
        <v>19</v>
      </c>
      <c r="T19" s="24" t="s">
        <v>91</v>
      </c>
      <c r="U19" s="17" t="e" cm="1">
        <f t="array" aca="1" ref="U19" ca="1">+U19:Y1019VLOOKUP(RiskRegister[[#This Row],[Residual Impact Level]],'Rating factors'!$F$4:$G$9,2,FALSE)</f>
        <v>#NAME?</v>
      </c>
      <c r="V19" s="24" t="s">
        <v>6</v>
      </c>
      <c r="W19" s="17">
        <f>VLOOKUP(RiskRegister[[#This Row],[Residual Likelihood Level]],'Rating factors'!$F$16:$G$21,2,FALSE)</f>
        <v>2</v>
      </c>
      <c r="X19" s="25" t="str">
        <f ca="1">IFERROR(VLOOKUP(RiskRegister[[#This Row],[Residual Risk Rating]],'Rating factors'!$F$30:$G$44,2,FALSE),"-- Error --")</f>
        <v>-- Error --</v>
      </c>
      <c r="Y19" s="17" t="str">
        <f ca="1">IFERROR(RiskRegister[[#This Row],[Residual Impact Rating]]*RiskRegister[[#This Row],[Residual Likelihood Rating]],"-- Error --")</f>
        <v>-- Error --</v>
      </c>
      <c r="Z19" s="24" t="s">
        <v>132</v>
      </c>
      <c r="AB19" s="39">
        <v>45638</v>
      </c>
      <c r="AD19" s="20"/>
    </row>
    <row r="20" spans="1:30" s="16" customFormat="1" hidden="1" x14ac:dyDescent="0.25">
      <c r="A20" s="24">
        <v>17</v>
      </c>
      <c r="B20" s="16" t="s">
        <v>176</v>
      </c>
      <c r="C20" s="16" t="s">
        <v>127</v>
      </c>
      <c r="D20" s="26">
        <v>45399</v>
      </c>
      <c r="E20" s="16" t="s">
        <v>127</v>
      </c>
      <c r="F20" s="16" t="s">
        <v>127</v>
      </c>
      <c r="G20" s="24" t="s">
        <v>56</v>
      </c>
      <c r="I20" s="24" t="s">
        <v>65</v>
      </c>
      <c r="L20" s="104" t="s">
        <v>10</v>
      </c>
      <c r="M20" s="17">
        <f>VLOOKUP(RiskRegister[[#This Row],[Inherent Impact LevelL3:L1020D1007L3:L1019]],'Rating factors'!$F$4:$G$9,2,FALSE)</f>
        <v>2</v>
      </c>
      <c r="N20" s="24" t="s">
        <v>80</v>
      </c>
      <c r="O20" s="17" t="e">
        <f>VLOOKUP(RiskRegister[[#This Row],[Inherent Likelihood Level]],'Rating factors'!$F$16:$G$21,2,FALSE)</f>
        <v>#N/A</v>
      </c>
      <c r="P20" s="25" t="str">
        <f>IFERROR(VLOOKUP(RiskRegister[[#This Row],[Inherent Risk Rating]],'Rating factors'!$F$30:$G$44,2,FALSE),"-- Error --")</f>
        <v>-- Error --</v>
      </c>
      <c r="Q20" s="17" t="str">
        <f>IFERROR(RiskRegister[[#This Row],[Inherent Impact Rating]]*RiskRegister[[#This Row],[Inherent Likelihood Rating]],"-- Error --")</f>
        <v>-- Error --</v>
      </c>
      <c r="R20" s="24" t="s">
        <v>19</v>
      </c>
      <c r="T20" s="24" t="s">
        <v>10</v>
      </c>
      <c r="U20" s="17" t="e" cm="1">
        <f t="array" aca="1" ref="U20" ca="1">+U20:Y1019VLOOKUP(RiskRegister[[#This Row],[Residual Impact Level]],'Rating factors'!$F$4:$G$9,2,FALSE)</f>
        <v>#NAME?</v>
      </c>
      <c r="V20" s="24" t="s">
        <v>5</v>
      </c>
      <c r="W20" s="17">
        <f>VLOOKUP(RiskRegister[[#This Row],[Residual Likelihood Level]],'Rating factors'!$F$16:$G$21,2,FALSE)</f>
        <v>4</v>
      </c>
      <c r="X20" s="25" t="str">
        <f ca="1">IFERROR(VLOOKUP(RiskRegister[[#This Row],[Residual Risk Rating]],'Rating factors'!$F$30:$G$44,2,FALSE),"-- Error --")</f>
        <v>-- Error --</v>
      </c>
      <c r="Y20" s="17" t="str">
        <f ca="1">IFERROR(RiskRegister[[#This Row],[Residual Impact Rating]]*RiskRegister[[#This Row],[Residual Likelihood Rating]],"-- Error --")</f>
        <v>-- Error --</v>
      </c>
      <c r="Z20" s="24" t="s">
        <v>132</v>
      </c>
      <c r="AB20" s="39">
        <v>45393</v>
      </c>
      <c r="AD20" s="20"/>
    </row>
    <row r="21" spans="1:30" s="16" customFormat="1" hidden="1" x14ac:dyDescent="0.25">
      <c r="A21" s="24">
        <v>18</v>
      </c>
      <c r="B21" s="16" t="s">
        <v>177</v>
      </c>
      <c r="C21" s="16" t="s">
        <v>128</v>
      </c>
      <c r="D21" s="26">
        <v>45400</v>
      </c>
      <c r="E21" s="16" t="s">
        <v>128</v>
      </c>
      <c r="F21" s="16" t="s">
        <v>128</v>
      </c>
      <c r="G21" s="24" t="s">
        <v>54</v>
      </c>
      <c r="I21" s="24" t="s">
        <v>65</v>
      </c>
      <c r="L21" s="104" t="s">
        <v>4</v>
      </c>
      <c r="M21" s="17">
        <f>VLOOKUP(RiskRegister[[#This Row],[Inherent Impact LevelL3:L1020D1007L3:L1019]],'Rating factors'!$F$4:$G$9,2,FALSE)</f>
        <v>3</v>
      </c>
      <c r="N21" s="24" t="s">
        <v>80</v>
      </c>
      <c r="O21" s="17" t="e">
        <f>VLOOKUP(RiskRegister[[#This Row],[Inherent Likelihood Level]],'Rating factors'!$F$16:$G$21,2,FALSE)</f>
        <v>#N/A</v>
      </c>
      <c r="P21" s="25" t="str">
        <f>IFERROR(VLOOKUP(RiskRegister[[#This Row],[Inherent Risk Rating]],'Rating factors'!$F$30:$G$44,2,FALSE),"-- Error --")</f>
        <v>-- Error --</v>
      </c>
      <c r="Q21" s="17" t="str">
        <f>IFERROR(RiskRegister[[#This Row],[Inherent Impact Rating]]*RiskRegister[[#This Row],[Inherent Likelihood Rating]],"-- Error --")</f>
        <v>-- Error --</v>
      </c>
      <c r="R21" s="24" t="s">
        <v>19</v>
      </c>
      <c r="T21" s="24" t="s">
        <v>4</v>
      </c>
      <c r="U21" s="17" t="e" cm="1">
        <f t="array" aca="1" ref="U21" ca="1">+U21:Y1019VLOOKUP(RiskRegister[[#This Row],[Residual Impact Level]],'Rating factors'!$F$4:$G$9,2,FALSE)</f>
        <v>#NAME?</v>
      </c>
      <c r="V21" s="24" t="s">
        <v>6</v>
      </c>
      <c r="W21" s="17">
        <f>VLOOKUP(RiskRegister[[#This Row],[Residual Likelihood Level]],'Rating factors'!$F$16:$G$21,2,FALSE)</f>
        <v>2</v>
      </c>
      <c r="X21" s="25" t="str">
        <f ca="1">IFERROR(VLOOKUP(RiskRegister[[#This Row],[Residual Risk Rating]],'Rating factors'!$F$30:$G$44,2,FALSE),"-- Error --")</f>
        <v>-- Error --</v>
      </c>
      <c r="Y21" s="17" t="str">
        <f ca="1">IFERROR(RiskRegister[[#This Row],[Residual Impact Rating]]*RiskRegister[[#This Row],[Residual Likelihood Rating]],"-- Error --")</f>
        <v>-- Error --</v>
      </c>
      <c r="Z21" s="24" t="s">
        <v>132</v>
      </c>
      <c r="AB21" s="39">
        <v>45279</v>
      </c>
      <c r="AD21" s="20"/>
    </row>
    <row r="22" spans="1:30" s="16" customFormat="1" hidden="1" x14ac:dyDescent="0.25">
      <c r="A22" s="24">
        <v>19</v>
      </c>
      <c r="B22" s="16" t="s">
        <v>178</v>
      </c>
      <c r="C22" s="16" t="s">
        <v>129</v>
      </c>
      <c r="D22" s="26">
        <v>45401</v>
      </c>
      <c r="E22" s="16" t="s">
        <v>129</v>
      </c>
      <c r="F22" s="16" t="s">
        <v>129</v>
      </c>
      <c r="G22" s="24" t="s">
        <v>54</v>
      </c>
      <c r="I22" s="24" t="s">
        <v>65</v>
      </c>
      <c r="L22" s="104" t="s">
        <v>8</v>
      </c>
      <c r="M22" s="17">
        <f>VLOOKUP(RiskRegister[[#This Row],[Inherent Impact LevelL3:L1020D1007L3:L1019]],'Rating factors'!$F$4:$G$9,2,FALSE)</f>
        <v>4</v>
      </c>
      <c r="N22" s="24" t="s">
        <v>80</v>
      </c>
      <c r="O22" s="17" t="e">
        <f>VLOOKUP(RiskRegister[[#This Row],[Inherent Likelihood Level]],'Rating factors'!$F$16:$G$21,2,FALSE)</f>
        <v>#N/A</v>
      </c>
      <c r="P22" s="25" t="str">
        <f>IFERROR(VLOOKUP(RiskRegister[[#This Row],[Inherent Risk Rating]],'Rating factors'!$F$30:$G$44,2,FALSE),"-- Error --")</f>
        <v>-- Error --</v>
      </c>
      <c r="Q22" s="17" t="str">
        <f>IFERROR(RiskRegister[[#This Row],[Inherent Impact Rating]]*RiskRegister[[#This Row],[Inherent Likelihood Rating]],"-- Error --")</f>
        <v>-- Error --</v>
      </c>
      <c r="R22" s="24" t="s">
        <v>19</v>
      </c>
      <c r="T22" s="24" t="s">
        <v>91</v>
      </c>
      <c r="U22" s="17" t="e" cm="1">
        <f t="array" aca="1" ref="U22" ca="1">+U22:Y1019VLOOKUP(RiskRegister[[#This Row],[Residual Impact Level]],'Rating factors'!$F$4:$G$9,2,FALSE)</f>
        <v>#NAME?</v>
      </c>
      <c r="V22" s="24" t="s">
        <v>5</v>
      </c>
      <c r="W22" s="17">
        <f>VLOOKUP(RiskRegister[[#This Row],[Residual Likelihood Level]],'Rating factors'!$F$16:$G$21,2,FALSE)</f>
        <v>4</v>
      </c>
      <c r="X22" s="25" t="str">
        <f ca="1">IFERROR(VLOOKUP(RiskRegister[[#This Row],[Residual Risk Rating]],'Rating factors'!$F$30:$G$44,2,FALSE),"-- Error --")</f>
        <v>-- Error --</v>
      </c>
      <c r="Y22" s="17" t="str">
        <f ca="1">IFERROR(RiskRegister[[#This Row],[Residual Impact Rating]]*RiskRegister[[#This Row],[Residual Likelihood Rating]],"-- Error --")</f>
        <v>-- Error --</v>
      </c>
      <c r="Z22" s="24" t="s">
        <v>132</v>
      </c>
      <c r="AB22" s="39">
        <v>45272</v>
      </c>
      <c r="AD22" s="20" t="str">
        <f ca="1">IF(ISBLANK(RiskRegister[[#This Row],[Risk Due Date]]), "Missing Risk Due Date", IF(RiskRegister[[#This Row],[Risk Due Date]] &lt; TODAY(), "Overdue", "Not Overdue"))</f>
        <v>Overdue</v>
      </c>
    </row>
    <row r="23" spans="1:30" s="16" customFormat="1" hidden="1" x14ac:dyDescent="0.25">
      <c r="A23" s="24">
        <v>20</v>
      </c>
      <c r="B23" s="16" t="s">
        <v>179</v>
      </c>
      <c r="C23" s="16" t="s">
        <v>130</v>
      </c>
      <c r="D23" s="26">
        <v>45646</v>
      </c>
      <c r="E23" s="16" t="s">
        <v>130</v>
      </c>
      <c r="F23" s="16" t="s">
        <v>130</v>
      </c>
      <c r="G23" s="24" t="s">
        <v>54</v>
      </c>
      <c r="I23" s="24" t="s">
        <v>65</v>
      </c>
      <c r="L23" s="104" t="s">
        <v>92</v>
      </c>
      <c r="M23" s="17" t="e">
        <f>VLOOKUP(RiskRegister[[#This Row],[Inherent Impact LevelL3:L1020D1007L3:L1019]],'Rating factors'!$F$4:$G$9,2,FALSE)</f>
        <v>#N/A</v>
      </c>
      <c r="N23" s="24" t="s">
        <v>80</v>
      </c>
      <c r="O23" s="17" t="e">
        <f>VLOOKUP(RiskRegister[[#This Row],[Inherent Likelihood Level]],'Rating factors'!$F$16:$G$21,2,FALSE)</f>
        <v>#N/A</v>
      </c>
      <c r="P23" s="25" t="str">
        <f>IFERROR(VLOOKUP(RiskRegister[[#This Row],[Inherent Risk Rating]],'Rating factors'!$F$30:$G$44,2,FALSE),"-- Error --")</f>
        <v>-- Error --</v>
      </c>
      <c r="Q23" s="17" t="str">
        <f>IFERROR(RiskRegister[[#This Row],[Inherent Impact Rating]]*RiskRegister[[#This Row],[Inherent Likelihood Rating]],"-- Error --")</f>
        <v>-- Error --</v>
      </c>
      <c r="R23" s="24" t="s">
        <v>12</v>
      </c>
      <c r="T23" s="24" t="s">
        <v>92</v>
      </c>
      <c r="U23" s="17" t="e" cm="1">
        <f t="array" aca="1" ref="U23" ca="1">+U23:Y1019VLOOKUP(RiskRegister[[#This Row],[Residual Impact Level]],'Rating factors'!$F$4:$G$9,2,FALSE)</f>
        <v>#NAME?</v>
      </c>
      <c r="V23" s="24" t="s">
        <v>80</v>
      </c>
      <c r="W23" s="17" t="e">
        <f>VLOOKUP(RiskRegister[[#This Row],[Residual Likelihood Level]],'Rating factors'!$F$16:$G$21,2,FALSE)</f>
        <v>#N/A</v>
      </c>
      <c r="X23" s="25" t="str">
        <f ca="1">IFERROR(VLOOKUP(RiskRegister[[#This Row],[Residual Risk Rating]],'Rating factors'!$F$30:$G$44,2,FALSE),"-- Error --")</f>
        <v>-- Error --</v>
      </c>
      <c r="Y23" s="17" t="str">
        <f ca="1">IFERROR(RiskRegister[[#This Row],[Residual Impact Rating]]*RiskRegister[[#This Row],[Residual Likelihood Rating]],"-- Error --")</f>
        <v>-- Error --</v>
      </c>
      <c r="Z23" s="24" t="s">
        <v>15</v>
      </c>
      <c r="AB23" s="39"/>
      <c r="AD23" s="20"/>
    </row>
    <row r="24" spans="1:30" s="16" customFormat="1" hidden="1" x14ac:dyDescent="0.25">
      <c r="A24" s="16">
        <v>21</v>
      </c>
      <c r="G24" s="16" t="s">
        <v>77</v>
      </c>
      <c r="I24" s="16" t="s">
        <v>75</v>
      </c>
      <c r="L24" s="105" t="s">
        <v>99</v>
      </c>
      <c r="M24" s="17" t="str">
        <f>VLOOKUP(RiskRegister[[#This Row],[Inherent Impact LevelL3:L1020D1007L3:L1019]],'Rating factors'!$F$4:$G$9,2,FALSE)</f>
        <v>--- Error ---</v>
      </c>
      <c r="N24" s="16" t="s">
        <v>79</v>
      </c>
      <c r="O24" s="17" t="str">
        <f>VLOOKUP(RiskRegister[[#This Row],[Inherent Likelihood Level]],'Rating factors'!$F$16:$G$21,2,FALSE)</f>
        <v>--- Error ---</v>
      </c>
      <c r="P24" s="17" t="str">
        <f>IFERROR(VLOOKUP(RiskRegister[[#This Row],[Inherent Risk Rating]],'Rating factors'!$F$30:$G$44,2,FALSE),"-- Error --")</f>
        <v>-- Error --</v>
      </c>
      <c r="Q24" s="17" t="str">
        <f>IFERROR(RiskRegister[[#This Row],[Inherent Impact Rating]]*RiskRegister[[#This Row],[Inherent Likelihood Rating]],"-- Error --")</f>
        <v>-- Error --</v>
      </c>
      <c r="R24" s="16" t="s">
        <v>98</v>
      </c>
      <c r="T24" s="16" t="s">
        <v>99</v>
      </c>
      <c r="U24" s="17" t="e" cm="1">
        <f t="array" aca="1" ref="U24" ca="1">+U24:Y1019VLOOKUP(RiskRegister[[#This Row],[Residual Impact Level]],'Rating factors'!$F$4:$G$9,2,FALSE)</f>
        <v>#NAME?</v>
      </c>
      <c r="V24" s="16" t="s">
        <v>79</v>
      </c>
      <c r="W24" s="17" t="str">
        <f>VLOOKUP(RiskRegister[[#This Row],[Residual Likelihood Level]],'Rating factors'!$F$16:$G$21,2,FALSE)</f>
        <v>--- Error ---</v>
      </c>
      <c r="X24" s="17" t="str">
        <f ca="1">IFERROR(VLOOKUP(RiskRegister[[#This Row],[Residual Risk Rating]],'Rating factors'!$F$30:$G$44,2,FALSE),"-- Error --")</f>
        <v>-- Error --</v>
      </c>
      <c r="Y24" s="17" t="str">
        <f ca="1">IFERROR(RiskRegister[[#This Row],[Residual Impact Rating]]*RiskRegister[[#This Row],[Residual Likelihood Rating]],"-- Error --")</f>
        <v>-- Error --</v>
      </c>
      <c r="Z24" s="16" t="s">
        <v>100</v>
      </c>
      <c r="AB24" s="39"/>
      <c r="AD24" s="20"/>
    </row>
    <row r="25" spans="1:30" s="16" customFormat="1" hidden="1" x14ac:dyDescent="0.25">
      <c r="A25" s="16">
        <v>22</v>
      </c>
      <c r="G25" s="16" t="s">
        <v>77</v>
      </c>
      <c r="I25" s="16" t="s">
        <v>75</v>
      </c>
      <c r="L25" s="105" t="s">
        <v>99</v>
      </c>
      <c r="M25" s="17" t="str">
        <f>VLOOKUP(RiskRegister[[#This Row],[Inherent Impact LevelL3:L1020D1007L3:L1019]],'Rating factors'!$F$4:$G$9,2,FALSE)</f>
        <v>--- Error ---</v>
      </c>
      <c r="N25" s="16" t="s">
        <v>79</v>
      </c>
      <c r="O25" s="17" t="str">
        <f>VLOOKUP(RiskRegister[[#This Row],[Inherent Likelihood Level]],'Rating factors'!$F$16:$G$21,2,FALSE)</f>
        <v>--- Error ---</v>
      </c>
      <c r="P25" s="17" t="str">
        <f>IFERROR(VLOOKUP(RiskRegister[[#This Row],[Inherent Risk Rating]],'Rating factors'!$F$30:$G$44,2,FALSE),"-- Error --")</f>
        <v>-- Error --</v>
      </c>
      <c r="Q25" s="17" t="str">
        <f>IFERROR(RiskRegister[[#This Row],[Inherent Impact Rating]]*RiskRegister[[#This Row],[Inherent Likelihood Rating]],"-- Error --")</f>
        <v>-- Error --</v>
      </c>
      <c r="R25" s="16" t="s">
        <v>98</v>
      </c>
      <c r="T25" s="16" t="s">
        <v>99</v>
      </c>
      <c r="U25" s="17" t="e" cm="1">
        <f t="array" aca="1" ref="U25" ca="1">+U25:Y1019VLOOKUP(RiskRegister[[#This Row],[Residual Impact Level]],'Rating factors'!$F$4:$G$9,2,FALSE)</f>
        <v>#NAME?</v>
      </c>
      <c r="V25" s="16" t="s">
        <v>79</v>
      </c>
      <c r="W25" s="17" t="str">
        <f>VLOOKUP(RiskRegister[[#This Row],[Residual Likelihood Level]],'Rating factors'!$F$16:$G$21,2,FALSE)</f>
        <v>--- Error ---</v>
      </c>
      <c r="X25" s="17" t="str">
        <f ca="1">IFERROR(VLOOKUP(RiskRegister[[#This Row],[Residual Risk Rating]],'Rating factors'!$F$30:$G$44,2,FALSE),"-- Error --")</f>
        <v>-- Error --</v>
      </c>
      <c r="Y25" s="17" t="str">
        <f ca="1">IFERROR(RiskRegister[[#This Row],[Residual Impact Rating]]*RiskRegister[[#This Row],[Residual Likelihood Rating]],"-- Error --")</f>
        <v>-- Error --</v>
      </c>
      <c r="Z25" s="16" t="s">
        <v>100</v>
      </c>
      <c r="AB25" s="39"/>
      <c r="AD25" s="20"/>
    </row>
    <row r="26" spans="1:30" s="16" customFormat="1" hidden="1" x14ac:dyDescent="0.25">
      <c r="A26" s="16">
        <v>23</v>
      </c>
      <c r="G26" s="16" t="s">
        <v>77</v>
      </c>
      <c r="I26" s="16" t="s">
        <v>75</v>
      </c>
      <c r="L26" s="105" t="s">
        <v>99</v>
      </c>
      <c r="M26" s="17" t="str">
        <f>VLOOKUP(RiskRegister[[#This Row],[Inherent Impact LevelL3:L1020D1007L3:L1019]],'Rating factors'!$F$4:$G$9,2,FALSE)</f>
        <v>--- Error ---</v>
      </c>
      <c r="N26" s="16" t="s">
        <v>79</v>
      </c>
      <c r="O26" s="17" t="str">
        <f>VLOOKUP(RiskRegister[[#This Row],[Inherent Likelihood Level]],'Rating factors'!$F$16:$G$21,2,FALSE)</f>
        <v>--- Error ---</v>
      </c>
      <c r="P26" s="17" t="str">
        <f>IFERROR(VLOOKUP(RiskRegister[[#This Row],[Inherent Risk Rating]],'Rating factors'!$F$30:$G$44,2,FALSE),"-- Error --")</f>
        <v>-- Error --</v>
      </c>
      <c r="Q26" s="17" t="str">
        <f>IFERROR(RiskRegister[[#This Row],[Inherent Impact Rating]]*RiskRegister[[#This Row],[Inherent Likelihood Rating]],"-- Error --")</f>
        <v>-- Error --</v>
      </c>
      <c r="R26" s="16" t="s">
        <v>98</v>
      </c>
      <c r="T26" s="16" t="s">
        <v>99</v>
      </c>
      <c r="U26" s="17" t="e" cm="1">
        <f t="array" aca="1" ref="U26" ca="1">+U26:Y1019VLOOKUP(RiskRegister[[#This Row],[Residual Impact Level]],'Rating factors'!$F$4:$G$9,2,FALSE)</f>
        <v>#NAME?</v>
      </c>
      <c r="V26" s="16" t="s">
        <v>79</v>
      </c>
      <c r="W26" s="17" t="str">
        <f>VLOOKUP(RiskRegister[[#This Row],[Residual Likelihood Level]],'Rating factors'!$F$16:$G$21,2,FALSE)</f>
        <v>--- Error ---</v>
      </c>
      <c r="X26" s="17" t="str">
        <f ca="1">IFERROR(VLOOKUP(RiskRegister[[#This Row],[Residual Risk Rating]],'Rating factors'!$F$30:$G$44,2,FALSE),"-- Error --")</f>
        <v>-- Error --</v>
      </c>
      <c r="Y26" s="17" t="str">
        <f ca="1">IFERROR(RiskRegister[[#This Row],[Residual Impact Rating]]*RiskRegister[[#This Row],[Residual Likelihood Rating]],"-- Error --")</f>
        <v>-- Error --</v>
      </c>
      <c r="Z26" s="16" t="s">
        <v>100</v>
      </c>
      <c r="AB26" s="39"/>
      <c r="AD26" s="20"/>
    </row>
    <row r="27" spans="1:30" s="16" customFormat="1" hidden="1" x14ac:dyDescent="0.25">
      <c r="A27" s="16">
        <v>24</v>
      </c>
      <c r="G27" s="16" t="s">
        <v>77</v>
      </c>
      <c r="I27" s="16" t="s">
        <v>75</v>
      </c>
      <c r="L27" s="105" t="s">
        <v>99</v>
      </c>
      <c r="M27" s="17" t="str">
        <f>VLOOKUP(RiskRegister[[#This Row],[Inherent Impact LevelL3:L1020D1007L3:L1019]],'Rating factors'!$F$4:$G$9,2,FALSE)</f>
        <v>--- Error ---</v>
      </c>
      <c r="N27" s="16" t="s">
        <v>79</v>
      </c>
      <c r="O27" s="17" t="str">
        <f>VLOOKUP(RiskRegister[[#This Row],[Inherent Likelihood Level]],'Rating factors'!$F$16:$G$21,2,FALSE)</f>
        <v>--- Error ---</v>
      </c>
      <c r="P27" s="17" t="str">
        <f>IFERROR(VLOOKUP(RiskRegister[[#This Row],[Inherent Risk Rating]],'Rating factors'!$F$30:$G$44,2,FALSE),"-- Error --")</f>
        <v>-- Error --</v>
      </c>
      <c r="Q27" s="17" t="str">
        <f>IFERROR(RiskRegister[[#This Row],[Inherent Impact Rating]]*RiskRegister[[#This Row],[Inherent Likelihood Rating]],"-- Error --")</f>
        <v>-- Error --</v>
      </c>
      <c r="R27" s="16" t="s">
        <v>98</v>
      </c>
      <c r="T27" s="16" t="s">
        <v>99</v>
      </c>
      <c r="U27" s="17" t="e" cm="1">
        <f t="array" aca="1" ref="U27" ca="1">+U27:Y1019VLOOKUP(RiskRegister[[#This Row],[Residual Impact Level]],'Rating factors'!$F$4:$G$9,2,FALSE)</f>
        <v>#NAME?</v>
      </c>
      <c r="V27" s="16" t="s">
        <v>79</v>
      </c>
      <c r="W27" s="17" t="str">
        <f>VLOOKUP(RiskRegister[[#This Row],[Residual Likelihood Level]],'Rating factors'!$F$16:$G$21,2,FALSE)</f>
        <v>--- Error ---</v>
      </c>
      <c r="X27" s="17" t="str">
        <f ca="1">IFERROR(VLOOKUP(RiskRegister[[#This Row],[Residual Risk Rating]],'Rating factors'!$F$30:$G$44,2,FALSE),"-- Error --")</f>
        <v>-- Error --</v>
      </c>
      <c r="Y27" s="17" t="str">
        <f ca="1">IFERROR(RiskRegister[[#This Row],[Residual Impact Rating]]*RiskRegister[[#This Row],[Residual Likelihood Rating]],"-- Error --")</f>
        <v>-- Error --</v>
      </c>
      <c r="Z27" s="16" t="s">
        <v>100</v>
      </c>
      <c r="AB27" s="39"/>
      <c r="AD27" s="20"/>
    </row>
    <row r="28" spans="1:30" s="16" customFormat="1" hidden="1" x14ac:dyDescent="0.25">
      <c r="A28" s="16">
        <v>25</v>
      </c>
      <c r="G28" s="16" t="s">
        <v>77</v>
      </c>
      <c r="I28" s="16" t="s">
        <v>75</v>
      </c>
      <c r="L28" s="105" t="s">
        <v>99</v>
      </c>
      <c r="M28" s="17" t="str">
        <f>VLOOKUP(RiskRegister[[#This Row],[Inherent Impact LevelL3:L1020D1007L3:L1019]],'Rating factors'!$F$4:$G$9,2,FALSE)</f>
        <v>--- Error ---</v>
      </c>
      <c r="N28" s="16" t="s">
        <v>79</v>
      </c>
      <c r="O28" s="17" t="str">
        <f>VLOOKUP(RiskRegister[[#This Row],[Inherent Likelihood Level]],'Rating factors'!$F$16:$G$21,2,FALSE)</f>
        <v>--- Error ---</v>
      </c>
      <c r="P28" s="17" t="str">
        <f>IFERROR(VLOOKUP(RiskRegister[[#This Row],[Inherent Risk Rating]],'Rating factors'!$F$30:$G$44,2,FALSE),"-- Error --")</f>
        <v>-- Error --</v>
      </c>
      <c r="Q28" s="17" t="str">
        <f>IFERROR(RiskRegister[[#This Row],[Inherent Impact Rating]]*RiskRegister[[#This Row],[Inherent Likelihood Rating]],"-- Error --")</f>
        <v>-- Error --</v>
      </c>
      <c r="R28" s="16" t="s">
        <v>98</v>
      </c>
      <c r="T28" s="16" t="s">
        <v>99</v>
      </c>
      <c r="U28" s="17" t="e" cm="1">
        <f t="array" aca="1" ref="U28" ca="1">+U28:Y1019VLOOKUP(RiskRegister[[#This Row],[Residual Impact Level]],'Rating factors'!$F$4:$G$9,2,FALSE)</f>
        <v>#NAME?</v>
      </c>
      <c r="V28" s="16" t="s">
        <v>79</v>
      </c>
      <c r="W28" s="17" t="str">
        <f>VLOOKUP(RiskRegister[[#This Row],[Residual Likelihood Level]],'Rating factors'!$F$16:$G$21,2,FALSE)</f>
        <v>--- Error ---</v>
      </c>
      <c r="X28" s="17" t="str">
        <f ca="1">IFERROR(VLOOKUP(RiskRegister[[#This Row],[Residual Risk Rating]],'Rating factors'!$F$30:$G$44,2,FALSE),"-- Error --")</f>
        <v>-- Error --</v>
      </c>
      <c r="Y28" s="17" t="str">
        <f ca="1">IFERROR(RiskRegister[[#This Row],[Residual Impact Rating]]*RiskRegister[[#This Row],[Residual Likelihood Rating]],"-- Error --")</f>
        <v>-- Error --</v>
      </c>
      <c r="Z28" s="16" t="s">
        <v>100</v>
      </c>
      <c r="AB28" s="39"/>
      <c r="AD28" s="20"/>
    </row>
    <row r="29" spans="1:30" s="16" customFormat="1" hidden="1" x14ac:dyDescent="0.25">
      <c r="A29" s="16">
        <v>26</v>
      </c>
      <c r="G29" s="16" t="s">
        <v>77</v>
      </c>
      <c r="I29" s="16" t="s">
        <v>75</v>
      </c>
      <c r="L29" s="105" t="s">
        <v>99</v>
      </c>
      <c r="M29" s="17" t="str">
        <f>VLOOKUP(RiskRegister[[#This Row],[Inherent Impact LevelL3:L1020D1007L3:L1019]],'Rating factors'!$F$4:$G$9,2,FALSE)</f>
        <v>--- Error ---</v>
      </c>
      <c r="N29" s="16" t="s">
        <v>79</v>
      </c>
      <c r="O29" s="17" t="str">
        <f>VLOOKUP(RiskRegister[[#This Row],[Inherent Likelihood Level]],'Rating factors'!$F$16:$G$21,2,FALSE)</f>
        <v>--- Error ---</v>
      </c>
      <c r="P29" s="17" t="str">
        <f>IFERROR(VLOOKUP(RiskRegister[[#This Row],[Inherent Risk Rating]],'Rating factors'!$F$30:$G$44,2,FALSE),"-- Error --")</f>
        <v>-- Error --</v>
      </c>
      <c r="Q29" s="17" t="str">
        <f>IFERROR(RiskRegister[[#This Row],[Inherent Impact Rating]]*RiskRegister[[#This Row],[Inherent Likelihood Rating]],"-- Error --")</f>
        <v>-- Error --</v>
      </c>
      <c r="R29" s="16" t="s">
        <v>98</v>
      </c>
      <c r="T29" s="16" t="s">
        <v>99</v>
      </c>
      <c r="U29" s="17" t="e" cm="1">
        <f t="array" aca="1" ref="U29" ca="1">+U29:Y1019VLOOKUP(RiskRegister[[#This Row],[Residual Impact Level]],'Rating factors'!$F$4:$G$9,2,FALSE)</f>
        <v>#NAME?</v>
      </c>
      <c r="V29" s="16" t="s">
        <v>79</v>
      </c>
      <c r="W29" s="17" t="str">
        <f>VLOOKUP(RiskRegister[[#This Row],[Residual Likelihood Level]],'Rating factors'!$F$16:$G$21,2,FALSE)</f>
        <v>--- Error ---</v>
      </c>
      <c r="X29" s="17" t="str">
        <f ca="1">IFERROR(VLOOKUP(RiskRegister[[#This Row],[Residual Risk Rating]],'Rating factors'!$F$30:$G$44,2,FALSE),"-- Error --")</f>
        <v>-- Error --</v>
      </c>
      <c r="Y29" s="17" t="str">
        <f ca="1">IFERROR(RiskRegister[[#This Row],[Residual Impact Rating]]*RiskRegister[[#This Row],[Residual Likelihood Rating]],"-- Error --")</f>
        <v>-- Error --</v>
      </c>
      <c r="Z29" s="16" t="s">
        <v>100</v>
      </c>
      <c r="AB29" s="39"/>
      <c r="AD29" s="20"/>
    </row>
    <row r="30" spans="1:30" s="16" customFormat="1" hidden="1" x14ac:dyDescent="0.25">
      <c r="A30" s="16">
        <v>27</v>
      </c>
      <c r="G30" s="16" t="s">
        <v>77</v>
      </c>
      <c r="I30" s="16" t="s">
        <v>75</v>
      </c>
      <c r="L30" s="105" t="s">
        <v>99</v>
      </c>
      <c r="M30" s="17" t="str">
        <f>VLOOKUP(RiskRegister[[#This Row],[Inherent Impact LevelL3:L1020D1007L3:L1019]],'Rating factors'!$F$4:$G$9,2,FALSE)</f>
        <v>--- Error ---</v>
      </c>
      <c r="N30" s="16" t="s">
        <v>79</v>
      </c>
      <c r="O30" s="17" t="str">
        <f>VLOOKUP(RiskRegister[[#This Row],[Inherent Likelihood Level]],'Rating factors'!$F$16:$G$21,2,FALSE)</f>
        <v>--- Error ---</v>
      </c>
      <c r="P30" s="17" t="str">
        <f>IFERROR(VLOOKUP(RiskRegister[[#This Row],[Inherent Risk Rating]],'Rating factors'!$F$30:$G$44,2,FALSE),"-- Error --")</f>
        <v>-- Error --</v>
      </c>
      <c r="Q30" s="17" t="str">
        <f>IFERROR(RiskRegister[[#This Row],[Inherent Impact Rating]]*RiskRegister[[#This Row],[Inherent Likelihood Rating]],"-- Error --")</f>
        <v>-- Error --</v>
      </c>
      <c r="R30" s="16" t="s">
        <v>98</v>
      </c>
      <c r="T30" s="16" t="s">
        <v>99</v>
      </c>
      <c r="U30" s="17" t="e" cm="1">
        <f t="array" aca="1" ref="U30" ca="1">+U30:Y1019VLOOKUP(RiskRegister[[#This Row],[Residual Impact Level]],'Rating factors'!$F$4:$G$9,2,FALSE)</f>
        <v>#NAME?</v>
      </c>
      <c r="V30" s="16" t="s">
        <v>79</v>
      </c>
      <c r="W30" s="17" t="str">
        <f>VLOOKUP(RiskRegister[[#This Row],[Residual Likelihood Level]],'Rating factors'!$F$16:$G$21,2,FALSE)</f>
        <v>--- Error ---</v>
      </c>
      <c r="X30" s="17" t="str">
        <f ca="1">IFERROR(VLOOKUP(RiskRegister[[#This Row],[Residual Risk Rating]],'Rating factors'!$F$30:$G$44,2,FALSE),"-- Error --")</f>
        <v>-- Error --</v>
      </c>
      <c r="Y30" s="17" t="str">
        <f ca="1">IFERROR(RiskRegister[[#This Row],[Residual Impact Rating]]*RiskRegister[[#This Row],[Residual Likelihood Rating]],"-- Error --")</f>
        <v>-- Error --</v>
      </c>
      <c r="Z30" s="16" t="s">
        <v>100</v>
      </c>
      <c r="AB30" s="39"/>
      <c r="AD30" s="20"/>
    </row>
    <row r="31" spans="1:30" s="16" customFormat="1" hidden="1" x14ac:dyDescent="0.25">
      <c r="A31" s="16">
        <v>28</v>
      </c>
      <c r="G31" s="16" t="s">
        <v>77</v>
      </c>
      <c r="I31" s="16" t="s">
        <v>75</v>
      </c>
      <c r="L31" s="105" t="s">
        <v>99</v>
      </c>
      <c r="M31" s="17" t="str">
        <f>VLOOKUP(RiskRegister[[#This Row],[Inherent Impact LevelL3:L1020D1007L3:L1019]],'Rating factors'!$F$4:$G$9,2,FALSE)</f>
        <v>--- Error ---</v>
      </c>
      <c r="N31" s="16" t="s">
        <v>79</v>
      </c>
      <c r="O31" s="17" t="str">
        <f>VLOOKUP(RiskRegister[[#This Row],[Inherent Likelihood Level]],'Rating factors'!$F$16:$G$21,2,FALSE)</f>
        <v>--- Error ---</v>
      </c>
      <c r="P31" s="17" t="str">
        <f>IFERROR(VLOOKUP(RiskRegister[[#This Row],[Inherent Risk Rating]],'Rating factors'!$F$30:$G$44,2,FALSE),"-- Error --")</f>
        <v>-- Error --</v>
      </c>
      <c r="Q31" s="17" t="str">
        <f>IFERROR(RiskRegister[[#This Row],[Inherent Impact Rating]]*RiskRegister[[#This Row],[Inherent Likelihood Rating]],"-- Error --")</f>
        <v>-- Error --</v>
      </c>
      <c r="R31" s="16" t="s">
        <v>98</v>
      </c>
      <c r="T31" s="16" t="s">
        <v>99</v>
      </c>
      <c r="U31" s="17" t="e" cm="1">
        <f t="array" aca="1" ref="U31" ca="1">+U31:Y1019VLOOKUP(RiskRegister[[#This Row],[Residual Impact Level]],'Rating factors'!$F$4:$G$9,2,FALSE)</f>
        <v>#NAME?</v>
      </c>
      <c r="V31" s="16" t="s">
        <v>79</v>
      </c>
      <c r="W31" s="17" t="str">
        <f>VLOOKUP(RiskRegister[[#This Row],[Residual Likelihood Level]],'Rating factors'!$F$16:$G$21,2,FALSE)</f>
        <v>--- Error ---</v>
      </c>
      <c r="X31" s="17" t="str">
        <f ca="1">IFERROR(VLOOKUP(RiskRegister[[#This Row],[Residual Risk Rating]],'Rating factors'!$F$30:$G$44,2,FALSE),"-- Error --")</f>
        <v>-- Error --</v>
      </c>
      <c r="Y31" s="17" t="str">
        <f ca="1">IFERROR(RiskRegister[[#This Row],[Residual Impact Rating]]*RiskRegister[[#This Row],[Residual Likelihood Rating]],"-- Error --")</f>
        <v>-- Error --</v>
      </c>
      <c r="Z31" s="16" t="s">
        <v>100</v>
      </c>
      <c r="AB31" s="39"/>
      <c r="AD31" s="20"/>
    </row>
    <row r="32" spans="1:30" s="16" customFormat="1" hidden="1" x14ac:dyDescent="0.25">
      <c r="A32" s="16">
        <v>29</v>
      </c>
      <c r="G32" s="16" t="s">
        <v>77</v>
      </c>
      <c r="I32" s="16" t="s">
        <v>75</v>
      </c>
      <c r="L32" s="105" t="s">
        <v>99</v>
      </c>
      <c r="M32" s="17" t="str">
        <f>VLOOKUP(RiskRegister[[#This Row],[Inherent Impact LevelL3:L1020D1007L3:L1019]],'Rating factors'!$F$4:$G$9,2,FALSE)</f>
        <v>--- Error ---</v>
      </c>
      <c r="N32" s="16" t="s">
        <v>79</v>
      </c>
      <c r="O32" s="17" t="str">
        <f>VLOOKUP(RiskRegister[[#This Row],[Inherent Likelihood Level]],'Rating factors'!$F$16:$G$21,2,FALSE)</f>
        <v>--- Error ---</v>
      </c>
      <c r="P32" s="17" t="str">
        <f>IFERROR(VLOOKUP(RiskRegister[[#This Row],[Inherent Risk Rating]],'Rating factors'!$F$30:$G$44,2,FALSE),"-- Error --")</f>
        <v>-- Error --</v>
      </c>
      <c r="Q32" s="17" t="str">
        <f>IFERROR(RiskRegister[[#This Row],[Inherent Impact Rating]]*RiskRegister[[#This Row],[Inherent Likelihood Rating]],"-- Error --")</f>
        <v>-- Error --</v>
      </c>
      <c r="R32" s="16" t="s">
        <v>98</v>
      </c>
      <c r="T32" s="16" t="s">
        <v>99</v>
      </c>
      <c r="U32" s="17" t="e" cm="1">
        <f t="array" aca="1" ref="U32" ca="1">+U32:Y1019VLOOKUP(RiskRegister[[#This Row],[Residual Impact Level]],'Rating factors'!$F$4:$G$9,2,FALSE)</f>
        <v>#NAME?</v>
      </c>
      <c r="V32" s="16" t="s">
        <v>79</v>
      </c>
      <c r="W32" s="17" t="str">
        <f>VLOOKUP(RiskRegister[[#This Row],[Residual Likelihood Level]],'Rating factors'!$F$16:$G$21,2,FALSE)</f>
        <v>--- Error ---</v>
      </c>
      <c r="X32" s="17" t="str">
        <f ca="1">IFERROR(VLOOKUP(RiskRegister[[#This Row],[Residual Risk Rating]],'Rating factors'!$F$30:$G$44,2,FALSE),"-- Error --")</f>
        <v>-- Error --</v>
      </c>
      <c r="Y32" s="17" t="str">
        <f ca="1">IFERROR(RiskRegister[[#This Row],[Residual Impact Rating]]*RiskRegister[[#This Row],[Residual Likelihood Rating]],"-- Error --")</f>
        <v>-- Error --</v>
      </c>
      <c r="Z32" s="16" t="s">
        <v>100</v>
      </c>
      <c r="AB32" s="39"/>
      <c r="AD32" s="20"/>
    </row>
    <row r="33" spans="1:30" s="16" customFormat="1" hidden="1" x14ac:dyDescent="0.25">
      <c r="A33" s="16">
        <v>30</v>
      </c>
      <c r="G33" s="16" t="s">
        <v>77</v>
      </c>
      <c r="I33" s="16" t="s">
        <v>75</v>
      </c>
      <c r="L33" s="105" t="s">
        <v>99</v>
      </c>
      <c r="M33" s="17" t="str">
        <f>VLOOKUP(RiskRegister[[#This Row],[Inherent Impact LevelL3:L1020D1007L3:L1019]],'Rating factors'!$F$4:$G$9,2,FALSE)</f>
        <v>--- Error ---</v>
      </c>
      <c r="N33" s="16" t="s">
        <v>79</v>
      </c>
      <c r="O33" s="17" t="str">
        <f>VLOOKUP(RiskRegister[[#This Row],[Inherent Likelihood Level]],'Rating factors'!$F$16:$G$21,2,FALSE)</f>
        <v>--- Error ---</v>
      </c>
      <c r="P33" s="17" t="str">
        <f>IFERROR(VLOOKUP(RiskRegister[[#This Row],[Inherent Risk Rating]],'Rating factors'!$F$30:$G$44,2,FALSE),"-- Error --")</f>
        <v>-- Error --</v>
      </c>
      <c r="Q33" s="17" t="str">
        <f>IFERROR(RiskRegister[[#This Row],[Inherent Impact Rating]]*RiskRegister[[#This Row],[Inherent Likelihood Rating]],"-- Error --")</f>
        <v>-- Error --</v>
      </c>
      <c r="R33" s="16" t="s">
        <v>98</v>
      </c>
      <c r="T33" s="16" t="s">
        <v>99</v>
      </c>
      <c r="U33" s="17" t="e" cm="1">
        <f t="array" aca="1" ref="U33" ca="1">+U33:Y1019VLOOKUP(RiskRegister[[#This Row],[Residual Impact Level]],'Rating factors'!$F$4:$G$9,2,FALSE)</f>
        <v>#NAME?</v>
      </c>
      <c r="V33" s="16" t="s">
        <v>79</v>
      </c>
      <c r="W33" s="17" t="str">
        <f>VLOOKUP(RiskRegister[[#This Row],[Residual Likelihood Level]],'Rating factors'!$F$16:$G$21,2,FALSE)</f>
        <v>--- Error ---</v>
      </c>
      <c r="X33" s="17" t="str">
        <f ca="1">IFERROR(VLOOKUP(RiskRegister[[#This Row],[Residual Risk Rating]],'Rating factors'!$F$30:$G$44,2,FALSE),"-- Error --")</f>
        <v>-- Error --</v>
      </c>
      <c r="Y33" s="17" t="str">
        <f ca="1">IFERROR(RiskRegister[[#This Row],[Residual Impact Rating]]*RiskRegister[[#This Row],[Residual Likelihood Rating]],"-- Error --")</f>
        <v>-- Error --</v>
      </c>
      <c r="Z33" s="16" t="s">
        <v>100</v>
      </c>
      <c r="AB33" s="39"/>
      <c r="AD33" s="20"/>
    </row>
    <row r="34" spans="1:30" s="16" customFormat="1" hidden="1" x14ac:dyDescent="0.25">
      <c r="A34" s="16">
        <v>31</v>
      </c>
      <c r="G34" s="16" t="s">
        <v>77</v>
      </c>
      <c r="I34" s="16" t="s">
        <v>75</v>
      </c>
      <c r="L34" s="105" t="s">
        <v>99</v>
      </c>
      <c r="M34" s="17" t="str">
        <f>VLOOKUP(RiskRegister[[#This Row],[Inherent Impact LevelL3:L1020D1007L3:L1019]],'Rating factors'!$F$4:$G$9,2,FALSE)</f>
        <v>--- Error ---</v>
      </c>
      <c r="N34" s="16" t="s">
        <v>79</v>
      </c>
      <c r="O34" s="17" t="str">
        <f>VLOOKUP(RiskRegister[[#This Row],[Inherent Likelihood Level]],'Rating factors'!$F$16:$G$21,2,FALSE)</f>
        <v>--- Error ---</v>
      </c>
      <c r="P34" s="17" t="str">
        <f>IFERROR(VLOOKUP(RiskRegister[[#This Row],[Inherent Risk Rating]],'Rating factors'!$F$30:$G$44,2,FALSE),"-- Error --")</f>
        <v>-- Error --</v>
      </c>
      <c r="Q34" s="17" t="str">
        <f>IFERROR(RiskRegister[[#This Row],[Inherent Impact Rating]]*RiskRegister[[#This Row],[Inherent Likelihood Rating]],"-- Error --")</f>
        <v>-- Error --</v>
      </c>
      <c r="R34" s="16" t="s">
        <v>98</v>
      </c>
      <c r="T34" s="16" t="s">
        <v>99</v>
      </c>
      <c r="U34" s="17" t="e" cm="1">
        <f t="array" aca="1" ref="U34" ca="1">+U34:Y1019VLOOKUP(RiskRegister[[#This Row],[Residual Impact Level]],'Rating factors'!$F$4:$G$9,2,FALSE)</f>
        <v>#NAME?</v>
      </c>
      <c r="V34" s="16" t="s">
        <v>79</v>
      </c>
      <c r="W34" s="17" t="str">
        <f>VLOOKUP(RiskRegister[[#This Row],[Residual Likelihood Level]],'Rating factors'!$F$16:$G$21,2,FALSE)</f>
        <v>--- Error ---</v>
      </c>
      <c r="X34" s="17" t="str">
        <f ca="1">IFERROR(VLOOKUP(RiskRegister[[#This Row],[Residual Risk Rating]],'Rating factors'!$F$30:$G$44,2,FALSE),"-- Error --")</f>
        <v>-- Error --</v>
      </c>
      <c r="Y34" s="17" t="str">
        <f ca="1">IFERROR(RiskRegister[[#This Row],[Residual Impact Rating]]*RiskRegister[[#This Row],[Residual Likelihood Rating]],"-- Error --")</f>
        <v>-- Error --</v>
      </c>
      <c r="Z34" s="16" t="s">
        <v>100</v>
      </c>
      <c r="AB34" s="39"/>
      <c r="AD34" s="20"/>
    </row>
    <row r="35" spans="1:30" s="16" customFormat="1" hidden="1" x14ac:dyDescent="0.25">
      <c r="A35" s="16">
        <v>32</v>
      </c>
      <c r="G35" s="16" t="s">
        <v>77</v>
      </c>
      <c r="I35" s="16" t="s">
        <v>75</v>
      </c>
      <c r="L35" s="105" t="s">
        <v>99</v>
      </c>
      <c r="M35" s="17" t="str">
        <f>VLOOKUP(RiskRegister[[#This Row],[Inherent Impact LevelL3:L1020D1007L3:L1019]],'Rating factors'!$F$4:$G$9,2,FALSE)</f>
        <v>--- Error ---</v>
      </c>
      <c r="N35" s="16" t="s">
        <v>79</v>
      </c>
      <c r="O35" s="17" t="str">
        <f>VLOOKUP(RiskRegister[[#This Row],[Inherent Likelihood Level]],'Rating factors'!$F$16:$G$21,2,FALSE)</f>
        <v>--- Error ---</v>
      </c>
      <c r="P35" s="17" t="str">
        <f>IFERROR(VLOOKUP(RiskRegister[[#This Row],[Inherent Risk Rating]],'Rating factors'!$F$30:$G$44,2,FALSE),"-- Error --")</f>
        <v>-- Error --</v>
      </c>
      <c r="Q35" s="17" t="str">
        <f>IFERROR(RiskRegister[[#This Row],[Inherent Impact Rating]]*RiskRegister[[#This Row],[Inherent Likelihood Rating]],"-- Error --")</f>
        <v>-- Error --</v>
      </c>
      <c r="R35" s="16" t="s">
        <v>98</v>
      </c>
      <c r="T35" s="16" t="s">
        <v>99</v>
      </c>
      <c r="U35" s="17" t="e" cm="1">
        <f t="array" aca="1" ref="U35" ca="1">+U35:Y1019VLOOKUP(RiskRegister[[#This Row],[Residual Impact Level]],'Rating factors'!$F$4:$G$9,2,FALSE)</f>
        <v>#NAME?</v>
      </c>
      <c r="V35" s="16" t="s">
        <v>79</v>
      </c>
      <c r="W35" s="17" t="str">
        <f>VLOOKUP(RiskRegister[[#This Row],[Residual Likelihood Level]],'Rating factors'!$F$16:$G$21,2,FALSE)</f>
        <v>--- Error ---</v>
      </c>
      <c r="X35" s="17" t="str">
        <f ca="1">IFERROR(VLOOKUP(RiskRegister[[#This Row],[Residual Risk Rating]],'Rating factors'!$F$30:$G$44,2,FALSE),"-- Error --")</f>
        <v>-- Error --</v>
      </c>
      <c r="Y35" s="17" t="str">
        <f ca="1">IFERROR(RiskRegister[[#This Row],[Residual Impact Rating]]*RiskRegister[[#This Row],[Residual Likelihood Rating]],"-- Error --")</f>
        <v>-- Error --</v>
      </c>
      <c r="Z35" s="16" t="s">
        <v>100</v>
      </c>
      <c r="AB35" s="39"/>
      <c r="AD35" s="20"/>
    </row>
    <row r="36" spans="1:30" s="16" customFormat="1" hidden="1" x14ac:dyDescent="0.25">
      <c r="A36" s="16">
        <v>33</v>
      </c>
      <c r="G36" s="16" t="s">
        <v>77</v>
      </c>
      <c r="I36" s="16" t="s">
        <v>75</v>
      </c>
      <c r="L36" s="105" t="s">
        <v>99</v>
      </c>
      <c r="M36" s="17" t="str">
        <f>VLOOKUP(RiskRegister[[#This Row],[Inherent Impact LevelL3:L1020D1007L3:L1019]],'Rating factors'!$F$4:$G$9,2,FALSE)</f>
        <v>--- Error ---</v>
      </c>
      <c r="N36" s="16" t="s">
        <v>79</v>
      </c>
      <c r="O36" s="17" t="str">
        <f>VLOOKUP(RiskRegister[[#This Row],[Inherent Likelihood Level]],'Rating factors'!$F$16:$G$21,2,FALSE)</f>
        <v>--- Error ---</v>
      </c>
      <c r="P36" s="17" t="str">
        <f>IFERROR(VLOOKUP(RiskRegister[[#This Row],[Inherent Risk Rating]],'Rating factors'!$F$30:$G$44,2,FALSE),"-- Error --")</f>
        <v>-- Error --</v>
      </c>
      <c r="Q36" s="17" t="str">
        <f>IFERROR(RiskRegister[[#This Row],[Inherent Impact Rating]]*RiskRegister[[#This Row],[Inherent Likelihood Rating]],"-- Error --")</f>
        <v>-- Error --</v>
      </c>
      <c r="R36" s="16" t="s">
        <v>98</v>
      </c>
      <c r="T36" s="16" t="s">
        <v>99</v>
      </c>
      <c r="U36" s="17" t="e" cm="1">
        <f t="array" aca="1" ref="U36" ca="1">+U36:Y1019VLOOKUP(RiskRegister[[#This Row],[Residual Impact Level]],'Rating factors'!$F$4:$G$9,2,FALSE)</f>
        <v>#NAME?</v>
      </c>
      <c r="V36" s="16" t="s">
        <v>79</v>
      </c>
      <c r="W36" s="17" t="str">
        <f>VLOOKUP(RiskRegister[[#This Row],[Residual Likelihood Level]],'Rating factors'!$F$16:$G$21,2,FALSE)</f>
        <v>--- Error ---</v>
      </c>
      <c r="X36" s="17" t="str">
        <f ca="1">IFERROR(VLOOKUP(RiskRegister[[#This Row],[Residual Risk Rating]],'Rating factors'!$F$30:$G$44,2,FALSE),"-- Error --")</f>
        <v>-- Error --</v>
      </c>
      <c r="Y36" s="17" t="str">
        <f ca="1">IFERROR(RiskRegister[[#This Row],[Residual Impact Rating]]*RiskRegister[[#This Row],[Residual Likelihood Rating]],"-- Error --")</f>
        <v>-- Error --</v>
      </c>
      <c r="Z36" s="16" t="s">
        <v>100</v>
      </c>
      <c r="AB36" s="39"/>
      <c r="AD36" s="20"/>
    </row>
    <row r="37" spans="1:30" s="16" customFormat="1" hidden="1" x14ac:dyDescent="0.25">
      <c r="A37" s="16">
        <v>34</v>
      </c>
      <c r="G37" s="16" t="s">
        <v>77</v>
      </c>
      <c r="I37" s="16" t="s">
        <v>75</v>
      </c>
      <c r="L37" s="105" t="s">
        <v>99</v>
      </c>
      <c r="M37" s="17" t="str">
        <f>VLOOKUP(RiskRegister[[#This Row],[Inherent Impact LevelL3:L1020D1007L3:L1019]],'Rating factors'!$F$4:$G$9,2,FALSE)</f>
        <v>--- Error ---</v>
      </c>
      <c r="N37" s="16" t="s">
        <v>79</v>
      </c>
      <c r="O37" s="17" t="str">
        <f>VLOOKUP(RiskRegister[[#This Row],[Inherent Likelihood Level]],'Rating factors'!$F$16:$G$21,2,FALSE)</f>
        <v>--- Error ---</v>
      </c>
      <c r="P37" s="17" t="str">
        <f>IFERROR(VLOOKUP(RiskRegister[[#This Row],[Inherent Risk Rating]],'Rating factors'!$F$30:$G$44,2,FALSE),"-- Error --")</f>
        <v>-- Error --</v>
      </c>
      <c r="Q37" s="17" t="str">
        <f>IFERROR(RiskRegister[[#This Row],[Inherent Impact Rating]]*RiskRegister[[#This Row],[Inherent Likelihood Rating]],"-- Error --")</f>
        <v>-- Error --</v>
      </c>
      <c r="R37" s="16" t="s">
        <v>98</v>
      </c>
      <c r="T37" s="16" t="s">
        <v>99</v>
      </c>
      <c r="U37" s="17" t="e" cm="1">
        <f t="array" aca="1" ref="U37" ca="1">+U37:Y1019VLOOKUP(RiskRegister[[#This Row],[Residual Impact Level]],'Rating factors'!$F$4:$G$9,2,FALSE)</f>
        <v>#NAME?</v>
      </c>
      <c r="V37" s="16" t="s">
        <v>79</v>
      </c>
      <c r="W37" s="17" t="str">
        <f>VLOOKUP(RiskRegister[[#This Row],[Residual Likelihood Level]],'Rating factors'!$F$16:$G$21,2,FALSE)</f>
        <v>--- Error ---</v>
      </c>
      <c r="X37" s="17" t="str">
        <f ca="1">IFERROR(VLOOKUP(RiskRegister[[#This Row],[Residual Risk Rating]],'Rating factors'!$F$30:$G$44,2,FALSE),"-- Error --")</f>
        <v>-- Error --</v>
      </c>
      <c r="Y37" s="17" t="str">
        <f ca="1">IFERROR(RiskRegister[[#This Row],[Residual Impact Rating]]*RiskRegister[[#This Row],[Residual Likelihood Rating]],"-- Error --")</f>
        <v>-- Error --</v>
      </c>
      <c r="Z37" s="16" t="s">
        <v>100</v>
      </c>
      <c r="AB37" s="39"/>
      <c r="AD37" s="20"/>
    </row>
    <row r="38" spans="1:30" s="16" customFormat="1" hidden="1" x14ac:dyDescent="0.25">
      <c r="A38" s="16">
        <v>35</v>
      </c>
      <c r="G38" s="16" t="s">
        <v>77</v>
      </c>
      <c r="I38" s="16" t="s">
        <v>75</v>
      </c>
      <c r="L38" s="105" t="s">
        <v>99</v>
      </c>
      <c r="M38" s="17" t="str">
        <f>VLOOKUP(RiskRegister[[#This Row],[Inherent Impact LevelL3:L1020D1007L3:L1019]],'Rating factors'!$F$4:$G$9,2,FALSE)</f>
        <v>--- Error ---</v>
      </c>
      <c r="N38" s="16" t="s">
        <v>79</v>
      </c>
      <c r="O38" s="17" t="str">
        <f>VLOOKUP(RiskRegister[[#This Row],[Inherent Likelihood Level]],'Rating factors'!$F$16:$G$21,2,FALSE)</f>
        <v>--- Error ---</v>
      </c>
      <c r="P38" s="17" t="str">
        <f>IFERROR(VLOOKUP(RiskRegister[[#This Row],[Inherent Risk Rating]],'Rating factors'!$F$30:$G$44,2,FALSE),"-- Error --")</f>
        <v>-- Error --</v>
      </c>
      <c r="Q38" s="17" t="str">
        <f>IFERROR(RiskRegister[[#This Row],[Inherent Impact Rating]]*RiskRegister[[#This Row],[Inherent Likelihood Rating]],"-- Error --")</f>
        <v>-- Error --</v>
      </c>
      <c r="R38" s="16" t="s">
        <v>98</v>
      </c>
      <c r="T38" s="16" t="s">
        <v>99</v>
      </c>
      <c r="U38" s="17" t="e" cm="1">
        <f t="array" aca="1" ref="U38" ca="1">+U38:Y1019VLOOKUP(RiskRegister[[#This Row],[Residual Impact Level]],'Rating factors'!$F$4:$G$9,2,FALSE)</f>
        <v>#NAME?</v>
      </c>
      <c r="V38" s="16" t="s">
        <v>79</v>
      </c>
      <c r="W38" s="17" t="str">
        <f>VLOOKUP(RiskRegister[[#This Row],[Residual Likelihood Level]],'Rating factors'!$F$16:$G$21,2,FALSE)</f>
        <v>--- Error ---</v>
      </c>
      <c r="X38" s="17" t="str">
        <f ca="1">IFERROR(VLOOKUP(RiskRegister[[#This Row],[Residual Risk Rating]],'Rating factors'!$F$30:$G$44,2,FALSE),"-- Error --")</f>
        <v>-- Error --</v>
      </c>
      <c r="Y38" s="17" t="str">
        <f ca="1">IFERROR(RiskRegister[[#This Row],[Residual Impact Rating]]*RiskRegister[[#This Row],[Residual Likelihood Rating]],"-- Error --")</f>
        <v>-- Error --</v>
      </c>
      <c r="Z38" s="16" t="s">
        <v>100</v>
      </c>
      <c r="AB38" s="39"/>
      <c r="AD38" s="20"/>
    </row>
    <row r="39" spans="1:30" s="16" customFormat="1" hidden="1" x14ac:dyDescent="0.25">
      <c r="A39" s="16">
        <v>36</v>
      </c>
      <c r="G39" s="16" t="s">
        <v>77</v>
      </c>
      <c r="I39" s="16" t="s">
        <v>75</v>
      </c>
      <c r="L39" s="105" t="s">
        <v>99</v>
      </c>
      <c r="M39" s="17" t="str">
        <f>VLOOKUP(RiskRegister[[#This Row],[Inherent Impact LevelL3:L1020D1007L3:L1019]],'Rating factors'!$F$4:$G$9,2,FALSE)</f>
        <v>--- Error ---</v>
      </c>
      <c r="N39" s="16" t="s">
        <v>79</v>
      </c>
      <c r="O39" s="17" t="str">
        <f>VLOOKUP(RiskRegister[[#This Row],[Inherent Likelihood Level]],'Rating factors'!$F$16:$G$21,2,FALSE)</f>
        <v>--- Error ---</v>
      </c>
      <c r="P39" s="17" t="str">
        <f>IFERROR(VLOOKUP(RiskRegister[[#This Row],[Inherent Risk Rating]],'Rating factors'!$F$30:$G$44,2,FALSE),"-- Error --")</f>
        <v>-- Error --</v>
      </c>
      <c r="Q39" s="17" t="str">
        <f>IFERROR(RiskRegister[[#This Row],[Inherent Impact Rating]]*RiskRegister[[#This Row],[Inherent Likelihood Rating]],"-- Error --")</f>
        <v>-- Error --</v>
      </c>
      <c r="R39" s="16" t="s">
        <v>98</v>
      </c>
      <c r="T39" s="16" t="s">
        <v>99</v>
      </c>
      <c r="U39" s="17" t="e" cm="1">
        <f t="array" aca="1" ref="U39" ca="1">+U39:Y1019VLOOKUP(RiskRegister[[#This Row],[Residual Impact Level]],'Rating factors'!$F$4:$G$9,2,FALSE)</f>
        <v>#NAME?</v>
      </c>
      <c r="V39" s="16" t="s">
        <v>79</v>
      </c>
      <c r="W39" s="17" t="str">
        <f>VLOOKUP(RiskRegister[[#This Row],[Residual Likelihood Level]],'Rating factors'!$F$16:$G$21,2,FALSE)</f>
        <v>--- Error ---</v>
      </c>
      <c r="X39" s="17" t="str">
        <f ca="1">IFERROR(VLOOKUP(RiskRegister[[#This Row],[Residual Risk Rating]],'Rating factors'!$F$30:$G$44,2,FALSE),"-- Error --")</f>
        <v>-- Error --</v>
      </c>
      <c r="Y39" s="17" t="str">
        <f ca="1">IFERROR(RiskRegister[[#This Row],[Residual Impact Rating]]*RiskRegister[[#This Row],[Residual Likelihood Rating]],"-- Error --")</f>
        <v>-- Error --</v>
      </c>
      <c r="Z39" s="16" t="s">
        <v>100</v>
      </c>
      <c r="AB39" s="39"/>
      <c r="AD39" s="20"/>
    </row>
    <row r="40" spans="1:30" s="16" customFormat="1" hidden="1" x14ac:dyDescent="0.25">
      <c r="A40" s="16">
        <v>37</v>
      </c>
      <c r="G40" s="16" t="s">
        <v>77</v>
      </c>
      <c r="I40" s="16" t="s">
        <v>75</v>
      </c>
      <c r="L40" s="105" t="s">
        <v>99</v>
      </c>
      <c r="M40" s="17" t="str">
        <f>VLOOKUP(RiskRegister[[#This Row],[Inherent Impact LevelL3:L1020D1007L3:L1019]],'Rating factors'!$F$4:$G$9,2,FALSE)</f>
        <v>--- Error ---</v>
      </c>
      <c r="N40" s="16" t="s">
        <v>79</v>
      </c>
      <c r="O40" s="17" t="str">
        <f>VLOOKUP(RiskRegister[[#This Row],[Inherent Likelihood Level]],'Rating factors'!$F$16:$G$21,2,FALSE)</f>
        <v>--- Error ---</v>
      </c>
      <c r="P40" s="17" t="str">
        <f>IFERROR(VLOOKUP(RiskRegister[[#This Row],[Inherent Risk Rating]],'Rating factors'!$F$30:$G$44,2,FALSE),"-- Error --")</f>
        <v>-- Error --</v>
      </c>
      <c r="Q40" s="17" t="str">
        <f>IFERROR(RiskRegister[[#This Row],[Inherent Impact Rating]]*RiskRegister[[#This Row],[Inherent Likelihood Rating]],"-- Error --")</f>
        <v>-- Error --</v>
      </c>
      <c r="R40" s="16" t="s">
        <v>98</v>
      </c>
      <c r="T40" s="16" t="s">
        <v>99</v>
      </c>
      <c r="U40" s="17" t="e" cm="1">
        <f t="array" aca="1" ref="U40" ca="1">+U40:Y1019VLOOKUP(RiskRegister[[#This Row],[Residual Impact Level]],'Rating factors'!$F$4:$G$9,2,FALSE)</f>
        <v>#NAME?</v>
      </c>
      <c r="V40" s="16" t="s">
        <v>79</v>
      </c>
      <c r="W40" s="17" t="str">
        <f>VLOOKUP(RiskRegister[[#This Row],[Residual Likelihood Level]],'Rating factors'!$F$16:$G$21,2,FALSE)</f>
        <v>--- Error ---</v>
      </c>
      <c r="X40" s="17" t="str">
        <f ca="1">IFERROR(VLOOKUP(RiskRegister[[#This Row],[Residual Risk Rating]],'Rating factors'!$F$30:$G$44,2,FALSE),"-- Error --")</f>
        <v>-- Error --</v>
      </c>
      <c r="Y40" s="17" t="str">
        <f ca="1">IFERROR(RiskRegister[[#This Row],[Residual Impact Rating]]*RiskRegister[[#This Row],[Residual Likelihood Rating]],"-- Error --")</f>
        <v>-- Error --</v>
      </c>
      <c r="Z40" s="16" t="s">
        <v>100</v>
      </c>
      <c r="AB40" s="39"/>
      <c r="AD40" s="20"/>
    </row>
    <row r="41" spans="1:30" s="16" customFormat="1" hidden="1" x14ac:dyDescent="0.25">
      <c r="A41" s="16">
        <v>38</v>
      </c>
      <c r="G41" s="16" t="s">
        <v>77</v>
      </c>
      <c r="I41" s="16" t="s">
        <v>75</v>
      </c>
      <c r="L41" s="105" t="s">
        <v>99</v>
      </c>
      <c r="M41" s="17" t="str">
        <f>VLOOKUP(RiskRegister[[#This Row],[Inherent Impact LevelL3:L1020D1007L3:L1019]],'Rating factors'!$F$4:$G$9,2,FALSE)</f>
        <v>--- Error ---</v>
      </c>
      <c r="N41" s="16" t="s">
        <v>79</v>
      </c>
      <c r="O41" s="17" t="str">
        <f>VLOOKUP(RiskRegister[[#This Row],[Inherent Likelihood Level]],'Rating factors'!$F$16:$G$21,2,FALSE)</f>
        <v>--- Error ---</v>
      </c>
      <c r="P41" s="17" t="str">
        <f>IFERROR(VLOOKUP(RiskRegister[[#This Row],[Inherent Risk Rating]],'Rating factors'!$F$30:$G$44,2,FALSE),"-- Error --")</f>
        <v>-- Error --</v>
      </c>
      <c r="Q41" s="17" t="str">
        <f>IFERROR(RiskRegister[[#This Row],[Inherent Impact Rating]]*RiskRegister[[#This Row],[Inherent Likelihood Rating]],"-- Error --")</f>
        <v>-- Error --</v>
      </c>
      <c r="R41" s="16" t="s">
        <v>98</v>
      </c>
      <c r="T41" s="16" t="s">
        <v>99</v>
      </c>
      <c r="U41" s="17" t="e" cm="1">
        <f t="array" aca="1" ref="U41" ca="1">+U41:Y1019VLOOKUP(RiskRegister[[#This Row],[Residual Impact Level]],'Rating factors'!$F$4:$G$9,2,FALSE)</f>
        <v>#NAME?</v>
      </c>
      <c r="V41" s="16" t="s">
        <v>79</v>
      </c>
      <c r="W41" s="17" t="str">
        <f>VLOOKUP(RiskRegister[[#This Row],[Residual Likelihood Level]],'Rating factors'!$F$16:$G$21,2,FALSE)</f>
        <v>--- Error ---</v>
      </c>
      <c r="X41" s="17" t="str">
        <f ca="1">IFERROR(VLOOKUP(RiskRegister[[#This Row],[Residual Risk Rating]],'Rating factors'!$F$30:$G$44,2,FALSE),"-- Error --")</f>
        <v>-- Error --</v>
      </c>
      <c r="Y41" s="17" t="str">
        <f ca="1">IFERROR(RiskRegister[[#This Row],[Residual Impact Rating]]*RiskRegister[[#This Row],[Residual Likelihood Rating]],"-- Error --")</f>
        <v>-- Error --</v>
      </c>
      <c r="Z41" s="16" t="s">
        <v>100</v>
      </c>
      <c r="AB41" s="39"/>
      <c r="AD41" s="20"/>
    </row>
    <row r="42" spans="1:30" s="16" customFormat="1" hidden="1" x14ac:dyDescent="0.25">
      <c r="A42" s="16">
        <v>39</v>
      </c>
      <c r="G42" s="16" t="s">
        <v>77</v>
      </c>
      <c r="I42" s="16" t="s">
        <v>75</v>
      </c>
      <c r="L42" s="105" t="s">
        <v>99</v>
      </c>
      <c r="M42" s="17" t="str">
        <f>VLOOKUP(RiskRegister[[#This Row],[Inherent Impact LevelL3:L1020D1007L3:L1019]],'Rating factors'!$F$4:$G$9,2,FALSE)</f>
        <v>--- Error ---</v>
      </c>
      <c r="N42" s="16" t="s">
        <v>79</v>
      </c>
      <c r="O42" s="17" t="str">
        <f>VLOOKUP(RiskRegister[[#This Row],[Inherent Likelihood Level]],'Rating factors'!$F$16:$G$21,2,FALSE)</f>
        <v>--- Error ---</v>
      </c>
      <c r="P42" s="17" t="str">
        <f>IFERROR(VLOOKUP(RiskRegister[[#This Row],[Inherent Risk Rating]],'Rating factors'!$F$30:$G$44,2,FALSE),"-- Error --")</f>
        <v>-- Error --</v>
      </c>
      <c r="Q42" s="17" t="str">
        <f>IFERROR(RiskRegister[[#This Row],[Inherent Impact Rating]]*RiskRegister[[#This Row],[Inherent Likelihood Rating]],"-- Error --")</f>
        <v>-- Error --</v>
      </c>
      <c r="R42" s="16" t="s">
        <v>98</v>
      </c>
      <c r="T42" s="16" t="s">
        <v>99</v>
      </c>
      <c r="U42" s="17" t="e" cm="1">
        <f t="array" aca="1" ref="U42" ca="1">+U42:Y1019VLOOKUP(RiskRegister[[#This Row],[Residual Impact Level]],'Rating factors'!$F$4:$G$9,2,FALSE)</f>
        <v>#NAME?</v>
      </c>
      <c r="V42" s="16" t="s">
        <v>79</v>
      </c>
      <c r="W42" s="17" t="str">
        <f>VLOOKUP(RiskRegister[[#This Row],[Residual Likelihood Level]],'Rating factors'!$F$16:$G$21,2,FALSE)</f>
        <v>--- Error ---</v>
      </c>
      <c r="X42" s="17" t="str">
        <f ca="1">IFERROR(VLOOKUP(RiskRegister[[#This Row],[Residual Risk Rating]],'Rating factors'!$F$30:$G$44,2,FALSE),"-- Error --")</f>
        <v>-- Error --</v>
      </c>
      <c r="Y42" s="17" t="str">
        <f ca="1">IFERROR(RiskRegister[[#This Row],[Residual Impact Rating]]*RiskRegister[[#This Row],[Residual Likelihood Rating]],"-- Error --")</f>
        <v>-- Error --</v>
      </c>
      <c r="Z42" s="16" t="s">
        <v>100</v>
      </c>
      <c r="AB42" s="39"/>
      <c r="AD42" s="20"/>
    </row>
    <row r="43" spans="1:30" s="16" customFormat="1" hidden="1" x14ac:dyDescent="0.25">
      <c r="A43" s="16">
        <v>40</v>
      </c>
      <c r="G43" s="16" t="s">
        <v>77</v>
      </c>
      <c r="I43" s="16" t="s">
        <v>75</v>
      </c>
      <c r="L43" s="105" t="s">
        <v>99</v>
      </c>
      <c r="M43" s="17" t="str">
        <f>VLOOKUP(RiskRegister[[#This Row],[Inherent Impact LevelL3:L1020D1007L3:L1019]],'Rating factors'!$F$4:$G$9,2,FALSE)</f>
        <v>--- Error ---</v>
      </c>
      <c r="N43" s="16" t="s">
        <v>79</v>
      </c>
      <c r="O43" s="17" t="str">
        <f>VLOOKUP(RiskRegister[[#This Row],[Inherent Likelihood Level]],'Rating factors'!$F$16:$G$21,2,FALSE)</f>
        <v>--- Error ---</v>
      </c>
      <c r="P43" s="17" t="str">
        <f>IFERROR(VLOOKUP(RiskRegister[[#This Row],[Inherent Risk Rating]],'Rating factors'!$F$30:$G$44,2,FALSE),"-- Error --")</f>
        <v>-- Error --</v>
      </c>
      <c r="Q43" s="17" t="str">
        <f>IFERROR(RiskRegister[[#This Row],[Inherent Impact Rating]]*RiskRegister[[#This Row],[Inherent Likelihood Rating]],"-- Error --")</f>
        <v>-- Error --</v>
      </c>
      <c r="R43" s="16" t="s">
        <v>98</v>
      </c>
      <c r="T43" s="16" t="s">
        <v>99</v>
      </c>
      <c r="U43" s="17" t="e" cm="1">
        <f t="array" aca="1" ref="U43" ca="1">+U43:Y1019VLOOKUP(RiskRegister[[#This Row],[Residual Impact Level]],'Rating factors'!$F$4:$G$9,2,FALSE)</f>
        <v>#NAME?</v>
      </c>
      <c r="V43" s="16" t="s">
        <v>79</v>
      </c>
      <c r="W43" s="17" t="str">
        <f>VLOOKUP(RiskRegister[[#This Row],[Residual Likelihood Level]],'Rating factors'!$F$16:$G$21,2,FALSE)</f>
        <v>--- Error ---</v>
      </c>
      <c r="X43" s="17" t="str">
        <f ca="1">IFERROR(VLOOKUP(RiskRegister[[#This Row],[Residual Risk Rating]],'Rating factors'!$F$30:$G$44,2,FALSE),"-- Error --")</f>
        <v>-- Error --</v>
      </c>
      <c r="Y43" s="17" t="str">
        <f ca="1">IFERROR(RiskRegister[[#This Row],[Residual Impact Rating]]*RiskRegister[[#This Row],[Residual Likelihood Rating]],"-- Error --")</f>
        <v>-- Error --</v>
      </c>
      <c r="Z43" s="16" t="s">
        <v>100</v>
      </c>
      <c r="AB43" s="39"/>
      <c r="AD43" s="20"/>
    </row>
    <row r="44" spans="1:30" s="16" customFormat="1" hidden="1" x14ac:dyDescent="0.25">
      <c r="A44" s="16">
        <v>41</v>
      </c>
      <c r="G44" s="16" t="s">
        <v>77</v>
      </c>
      <c r="I44" s="16" t="s">
        <v>75</v>
      </c>
      <c r="L44" s="105" t="s">
        <v>99</v>
      </c>
      <c r="M44" s="17" t="str">
        <f>VLOOKUP(RiskRegister[[#This Row],[Inherent Impact LevelL3:L1020D1007L3:L1019]],'Rating factors'!$F$4:$G$9,2,FALSE)</f>
        <v>--- Error ---</v>
      </c>
      <c r="N44" s="16" t="s">
        <v>79</v>
      </c>
      <c r="O44" s="17" t="str">
        <f>VLOOKUP(RiskRegister[[#This Row],[Inherent Likelihood Level]],'Rating factors'!$F$16:$G$21,2,FALSE)</f>
        <v>--- Error ---</v>
      </c>
      <c r="P44" s="17" t="str">
        <f>IFERROR(VLOOKUP(RiskRegister[[#This Row],[Inherent Risk Rating]],'Rating factors'!$F$30:$G$44,2,FALSE),"-- Error --")</f>
        <v>-- Error --</v>
      </c>
      <c r="Q44" s="17" t="str">
        <f>IFERROR(RiskRegister[[#This Row],[Inherent Impact Rating]]*RiskRegister[[#This Row],[Inherent Likelihood Rating]],"-- Error --")</f>
        <v>-- Error --</v>
      </c>
      <c r="R44" s="16" t="s">
        <v>98</v>
      </c>
      <c r="T44" s="16" t="s">
        <v>99</v>
      </c>
      <c r="U44" s="17" t="e" cm="1">
        <f t="array" aca="1" ref="U44" ca="1">+U44:Y1019VLOOKUP(RiskRegister[[#This Row],[Residual Impact Level]],'Rating factors'!$F$4:$G$9,2,FALSE)</f>
        <v>#NAME?</v>
      </c>
      <c r="V44" s="16" t="s">
        <v>79</v>
      </c>
      <c r="W44" s="17" t="str">
        <f>VLOOKUP(RiskRegister[[#This Row],[Residual Likelihood Level]],'Rating factors'!$F$16:$G$21,2,FALSE)</f>
        <v>--- Error ---</v>
      </c>
      <c r="X44" s="17" t="str">
        <f ca="1">IFERROR(VLOOKUP(RiskRegister[[#This Row],[Residual Risk Rating]],'Rating factors'!$F$30:$G$44,2,FALSE),"-- Error --")</f>
        <v>-- Error --</v>
      </c>
      <c r="Y44" s="17" t="str">
        <f ca="1">IFERROR(RiskRegister[[#This Row],[Residual Impact Rating]]*RiskRegister[[#This Row],[Residual Likelihood Rating]],"-- Error --")</f>
        <v>-- Error --</v>
      </c>
      <c r="Z44" s="16" t="s">
        <v>100</v>
      </c>
      <c r="AB44" s="39"/>
      <c r="AD44" s="20"/>
    </row>
    <row r="45" spans="1:30" s="16" customFormat="1" hidden="1" x14ac:dyDescent="0.25">
      <c r="A45" s="16">
        <v>42</v>
      </c>
      <c r="G45" s="16" t="s">
        <v>77</v>
      </c>
      <c r="I45" s="16" t="s">
        <v>75</v>
      </c>
      <c r="L45" s="105" t="s">
        <v>99</v>
      </c>
      <c r="M45" s="17" t="str">
        <f>VLOOKUP(RiskRegister[[#This Row],[Inherent Impact LevelL3:L1020D1007L3:L1019]],'Rating factors'!$F$4:$G$9,2,FALSE)</f>
        <v>--- Error ---</v>
      </c>
      <c r="N45" s="16" t="s">
        <v>79</v>
      </c>
      <c r="O45" s="17" t="str">
        <f>VLOOKUP(RiskRegister[[#This Row],[Inherent Likelihood Level]],'Rating factors'!$F$16:$G$21,2,FALSE)</f>
        <v>--- Error ---</v>
      </c>
      <c r="P45" s="17" t="str">
        <f>IFERROR(VLOOKUP(RiskRegister[[#This Row],[Inherent Risk Rating]],'Rating factors'!$F$30:$G$44,2,FALSE),"-- Error --")</f>
        <v>-- Error --</v>
      </c>
      <c r="Q45" s="17" t="str">
        <f>IFERROR(RiskRegister[[#This Row],[Inherent Impact Rating]]*RiskRegister[[#This Row],[Inherent Likelihood Rating]],"-- Error --")</f>
        <v>-- Error --</v>
      </c>
      <c r="R45" s="16" t="s">
        <v>98</v>
      </c>
      <c r="T45" s="16" t="s">
        <v>99</v>
      </c>
      <c r="U45" s="17" t="e" cm="1">
        <f t="array" aca="1" ref="U45" ca="1">+U45:Y1019VLOOKUP(RiskRegister[[#This Row],[Residual Impact Level]],'Rating factors'!$F$4:$G$9,2,FALSE)</f>
        <v>#NAME?</v>
      </c>
      <c r="V45" s="16" t="s">
        <v>79</v>
      </c>
      <c r="W45" s="17" t="str">
        <f>VLOOKUP(RiskRegister[[#This Row],[Residual Likelihood Level]],'Rating factors'!$F$16:$G$21,2,FALSE)</f>
        <v>--- Error ---</v>
      </c>
      <c r="X45" s="17" t="str">
        <f ca="1">IFERROR(VLOOKUP(RiskRegister[[#This Row],[Residual Risk Rating]],'Rating factors'!$F$30:$G$44,2,FALSE),"-- Error --")</f>
        <v>-- Error --</v>
      </c>
      <c r="Y45" s="17" t="str">
        <f ca="1">IFERROR(RiskRegister[[#This Row],[Residual Impact Rating]]*RiskRegister[[#This Row],[Residual Likelihood Rating]],"-- Error --")</f>
        <v>-- Error --</v>
      </c>
      <c r="Z45" s="16" t="s">
        <v>100</v>
      </c>
      <c r="AB45" s="39"/>
      <c r="AD45" s="20"/>
    </row>
    <row r="46" spans="1:30" s="16" customFormat="1" hidden="1" x14ac:dyDescent="0.25">
      <c r="A46" s="16">
        <v>43</v>
      </c>
      <c r="G46" s="16" t="s">
        <v>77</v>
      </c>
      <c r="I46" s="16" t="s">
        <v>75</v>
      </c>
      <c r="L46" s="105" t="s">
        <v>99</v>
      </c>
      <c r="M46" s="17" t="str">
        <f>VLOOKUP(RiskRegister[[#This Row],[Inherent Impact LevelL3:L1020D1007L3:L1019]],'Rating factors'!$F$4:$G$9,2,FALSE)</f>
        <v>--- Error ---</v>
      </c>
      <c r="N46" s="16" t="s">
        <v>79</v>
      </c>
      <c r="O46" s="17" t="str">
        <f>VLOOKUP(RiskRegister[[#This Row],[Inherent Likelihood Level]],'Rating factors'!$F$16:$G$21,2,FALSE)</f>
        <v>--- Error ---</v>
      </c>
      <c r="P46" s="17" t="str">
        <f>IFERROR(VLOOKUP(RiskRegister[[#This Row],[Inherent Risk Rating]],'Rating factors'!$F$30:$G$44,2,FALSE),"-- Error --")</f>
        <v>-- Error --</v>
      </c>
      <c r="Q46" s="17" t="str">
        <f>IFERROR(RiskRegister[[#This Row],[Inherent Impact Rating]]*RiskRegister[[#This Row],[Inherent Likelihood Rating]],"-- Error --")</f>
        <v>-- Error --</v>
      </c>
      <c r="R46" s="16" t="s">
        <v>98</v>
      </c>
      <c r="T46" s="16" t="s">
        <v>99</v>
      </c>
      <c r="U46" s="17" t="e" cm="1">
        <f t="array" aca="1" ref="U46" ca="1">+U46:Y1019VLOOKUP(RiskRegister[[#This Row],[Residual Impact Level]],'Rating factors'!$F$4:$G$9,2,FALSE)</f>
        <v>#NAME?</v>
      </c>
      <c r="V46" s="16" t="s">
        <v>79</v>
      </c>
      <c r="W46" s="17" t="str">
        <f>VLOOKUP(RiskRegister[[#This Row],[Residual Likelihood Level]],'Rating factors'!$F$16:$G$21,2,FALSE)</f>
        <v>--- Error ---</v>
      </c>
      <c r="X46" s="17" t="str">
        <f ca="1">IFERROR(VLOOKUP(RiskRegister[[#This Row],[Residual Risk Rating]],'Rating factors'!$F$30:$G$44,2,FALSE),"-- Error --")</f>
        <v>-- Error --</v>
      </c>
      <c r="Y46" s="17" t="str">
        <f ca="1">IFERROR(RiskRegister[[#This Row],[Residual Impact Rating]]*RiskRegister[[#This Row],[Residual Likelihood Rating]],"-- Error --")</f>
        <v>-- Error --</v>
      </c>
      <c r="Z46" s="16" t="s">
        <v>100</v>
      </c>
      <c r="AB46" s="39"/>
      <c r="AD46" s="20"/>
    </row>
    <row r="47" spans="1:30" s="16" customFormat="1" hidden="1" x14ac:dyDescent="0.25">
      <c r="A47" s="16">
        <v>44</v>
      </c>
      <c r="G47" s="16" t="s">
        <v>77</v>
      </c>
      <c r="I47" s="16" t="s">
        <v>75</v>
      </c>
      <c r="L47" s="105" t="s">
        <v>99</v>
      </c>
      <c r="M47" s="17" t="str">
        <f>VLOOKUP(RiskRegister[[#This Row],[Inherent Impact LevelL3:L1020D1007L3:L1019]],'Rating factors'!$F$4:$G$9,2,FALSE)</f>
        <v>--- Error ---</v>
      </c>
      <c r="N47" s="16" t="s">
        <v>79</v>
      </c>
      <c r="O47" s="17" t="str">
        <f>VLOOKUP(RiskRegister[[#This Row],[Inherent Likelihood Level]],'Rating factors'!$F$16:$G$21,2,FALSE)</f>
        <v>--- Error ---</v>
      </c>
      <c r="P47" s="17" t="str">
        <f>IFERROR(VLOOKUP(RiskRegister[[#This Row],[Inherent Risk Rating]],'Rating factors'!$F$30:$G$44,2,FALSE),"-- Error --")</f>
        <v>-- Error --</v>
      </c>
      <c r="Q47" s="17" t="str">
        <f>IFERROR(RiskRegister[[#This Row],[Inherent Impact Rating]]*RiskRegister[[#This Row],[Inherent Likelihood Rating]],"-- Error --")</f>
        <v>-- Error --</v>
      </c>
      <c r="R47" s="16" t="s">
        <v>98</v>
      </c>
      <c r="T47" s="16" t="s">
        <v>99</v>
      </c>
      <c r="U47" s="17" t="e" cm="1">
        <f t="array" aca="1" ref="U47" ca="1">+U47:Y1019VLOOKUP(RiskRegister[[#This Row],[Residual Impact Level]],'Rating factors'!$F$4:$G$9,2,FALSE)</f>
        <v>#NAME?</v>
      </c>
      <c r="V47" s="16" t="s">
        <v>79</v>
      </c>
      <c r="W47" s="17" t="str">
        <f>VLOOKUP(RiskRegister[[#This Row],[Residual Likelihood Level]],'Rating factors'!$F$16:$G$21,2,FALSE)</f>
        <v>--- Error ---</v>
      </c>
      <c r="X47" s="17" t="str">
        <f ca="1">IFERROR(VLOOKUP(RiskRegister[[#This Row],[Residual Risk Rating]],'Rating factors'!$F$30:$G$44,2,FALSE),"-- Error --")</f>
        <v>-- Error --</v>
      </c>
      <c r="Y47" s="17" t="str">
        <f ca="1">IFERROR(RiskRegister[[#This Row],[Residual Impact Rating]]*RiskRegister[[#This Row],[Residual Likelihood Rating]],"-- Error --")</f>
        <v>-- Error --</v>
      </c>
      <c r="Z47" s="16" t="s">
        <v>100</v>
      </c>
      <c r="AB47" s="39"/>
      <c r="AD47" s="20"/>
    </row>
    <row r="48" spans="1:30" s="16" customFormat="1" hidden="1" x14ac:dyDescent="0.25">
      <c r="A48" s="16">
        <v>45</v>
      </c>
      <c r="G48" s="16" t="s">
        <v>77</v>
      </c>
      <c r="I48" s="16" t="s">
        <v>75</v>
      </c>
      <c r="L48" s="105" t="s">
        <v>99</v>
      </c>
      <c r="M48" s="17" t="str">
        <f>VLOOKUP(RiskRegister[[#This Row],[Inherent Impact LevelL3:L1020D1007L3:L1019]],'Rating factors'!$F$4:$G$9,2,FALSE)</f>
        <v>--- Error ---</v>
      </c>
      <c r="N48" s="16" t="s">
        <v>79</v>
      </c>
      <c r="O48" s="17" t="str">
        <f>VLOOKUP(RiskRegister[[#This Row],[Inherent Likelihood Level]],'Rating factors'!$F$16:$G$21,2,FALSE)</f>
        <v>--- Error ---</v>
      </c>
      <c r="P48" s="17" t="str">
        <f>IFERROR(VLOOKUP(RiskRegister[[#This Row],[Inherent Risk Rating]],'Rating factors'!$F$30:$G$44,2,FALSE),"-- Error --")</f>
        <v>-- Error --</v>
      </c>
      <c r="Q48" s="17" t="str">
        <f>IFERROR(RiskRegister[[#This Row],[Inherent Impact Rating]]*RiskRegister[[#This Row],[Inherent Likelihood Rating]],"-- Error --")</f>
        <v>-- Error --</v>
      </c>
      <c r="R48" s="16" t="s">
        <v>98</v>
      </c>
      <c r="T48" s="16" t="s">
        <v>99</v>
      </c>
      <c r="U48" s="17" t="e" cm="1">
        <f t="array" aca="1" ref="U48" ca="1">+U48:Y1019VLOOKUP(RiskRegister[[#This Row],[Residual Impact Level]],'Rating factors'!$F$4:$G$9,2,FALSE)</f>
        <v>#NAME?</v>
      </c>
      <c r="V48" s="16" t="s">
        <v>79</v>
      </c>
      <c r="W48" s="17" t="str">
        <f>VLOOKUP(RiskRegister[[#This Row],[Residual Likelihood Level]],'Rating factors'!$F$16:$G$21,2,FALSE)</f>
        <v>--- Error ---</v>
      </c>
      <c r="X48" s="17" t="str">
        <f ca="1">IFERROR(VLOOKUP(RiskRegister[[#This Row],[Residual Risk Rating]],'Rating factors'!$F$30:$G$44,2,FALSE),"-- Error --")</f>
        <v>-- Error --</v>
      </c>
      <c r="Y48" s="17" t="str">
        <f ca="1">IFERROR(RiskRegister[[#This Row],[Residual Impact Rating]]*RiskRegister[[#This Row],[Residual Likelihood Rating]],"-- Error --")</f>
        <v>-- Error --</v>
      </c>
      <c r="Z48" s="16" t="s">
        <v>100</v>
      </c>
      <c r="AB48" s="39"/>
      <c r="AD48" s="20"/>
    </row>
    <row r="49" spans="1:30" s="16" customFormat="1" hidden="1" x14ac:dyDescent="0.25">
      <c r="A49" s="16">
        <v>46</v>
      </c>
      <c r="G49" s="16" t="s">
        <v>77</v>
      </c>
      <c r="I49" s="16" t="s">
        <v>75</v>
      </c>
      <c r="L49" s="105" t="s">
        <v>99</v>
      </c>
      <c r="M49" s="17" t="str">
        <f>VLOOKUP(RiskRegister[[#This Row],[Inherent Impact LevelL3:L1020D1007L3:L1019]],'Rating factors'!$F$4:$G$9,2,FALSE)</f>
        <v>--- Error ---</v>
      </c>
      <c r="N49" s="16" t="s">
        <v>79</v>
      </c>
      <c r="O49" s="17" t="str">
        <f>VLOOKUP(RiskRegister[[#This Row],[Inherent Likelihood Level]],'Rating factors'!$F$16:$G$21,2,FALSE)</f>
        <v>--- Error ---</v>
      </c>
      <c r="P49" s="17" t="str">
        <f>IFERROR(VLOOKUP(RiskRegister[[#This Row],[Inherent Risk Rating]],'Rating factors'!$F$30:$G$44,2,FALSE),"-- Error --")</f>
        <v>-- Error --</v>
      </c>
      <c r="Q49" s="17" t="str">
        <f>IFERROR(RiskRegister[[#This Row],[Inherent Impact Rating]]*RiskRegister[[#This Row],[Inherent Likelihood Rating]],"-- Error --")</f>
        <v>-- Error --</v>
      </c>
      <c r="R49" s="16" t="s">
        <v>98</v>
      </c>
      <c r="T49" s="16" t="s">
        <v>99</v>
      </c>
      <c r="U49" s="17" t="e" cm="1">
        <f t="array" aca="1" ref="U49" ca="1">+U49:Y1019VLOOKUP(RiskRegister[[#This Row],[Residual Impact Level]],'Rating factors'!$F$4:$G$9,2,FALSE)</f>
        <v>#NAME?</v>
      </c>
      <c r="V49" s="16" t="s">
        <v>79</v>
      </c>
      <c r="W49" s="17" t="str">
        <f>VLOOKUP(RiskRegister[[#This Row],[Residual Likelihood Level]],'Rating factors'!$F$16:$G$21,2,FALSE)</f>
        <v>--- Error ---</v>
      </c>
      <c r="X49" s="17" t="str">
        <f ca="1">IFERROR(VLOOKUP(RiskRegister[[#This Row],[Residual Risk Rating]],'Rating factors'!$F$30:$G$44,2,FALSE),"-- Error --")</f>
        <v>-- Error --</v>
      </c>
      <c r="Y49" s="17" t="str">
        <f ca="1">IFERROR(RiskRegister[[#This Row],[Residual Impact Rating]]*RiskRegister[[#This Row],[Residual Likelihood Rating]],"-- Error --")</f>
        <v>-- Error --</v>
      </c>
      <c r="Z49" s="16" t="s">
        <v>100</v>
      </c>
      <c r="AB49" s="39"/>
      <c r="AD49" s="20"/>
    </row>
    <row r="50" spans="1:30" s="16" customFormat="1" hidden="1" x14ac:dyDescent="0.25">
      <c r="A50" s="16">
        <v>47</v>
      </c>
      <c r="G50" s="16" t="s">
        <v>77</v>
      </c>
      <c r="I50" s="16" t="s">
        <v>75</v>
      </c>
      <c r="L50" s="105" t="s">
        <v>99</v>
      </c>
      <c r="M50" s="17" t="str">
        <f>VLOOKUP(RiskRegister[[#This Row],[Inherent Impact LevelL3:L1020D1007L3:L1019]],'Rating factors'!$F$4:$G$9,2,FALSE)</f>
        <v>--- Error ---</v>
      </c>
      <c r="N50" s="16" t="s">
        <v>79</v>
      </c>
      <c r="O50" s="17" t="str">
        <f>VLOOKUP(RiskRegister[[#This Row],[Inherent Likelihood Level]],'Rating factors'!$F$16:$G$21,2,FALSE)</f>
        <v>--- Error ---</v>
      </c>
      <c r="P50" s="17" t="str">
        <f>IFERROR(VLOOKUP(RiskRegister[[#This Row],[Inherent Risk Rating]],'Rating factors'!$F$30:$G$44,2,FALSE),"-- Error --")</f>
        <v>-- Error --</v>
      </c>
      <c r="Q50" s="17" t="str">
        <f>IFERROR(RiskRegister[[#This Row],[Inherent Impact Rating]]*RiskRegister[[#This Row],[Inherent Likelihood Rating]],"-- Error --")</f>
        <v>-- Error --</v>
      </c>
      <c r="R50" s="16" t="s">
        <v>98</v>
      </c>
      <c r="T50" s="16" t="s">
        <v>99</v>
      </c>
      <c r="U50" s="17" t="e" cm="1">
        <f t="array" aca="1" ref="U50" ca="1">+U50:Y1019VLOOKUP(RiskRegister[[#This Row],[Residual Impact Level]],'Rating factors'!$F$4:$G$9,2,FALSE)</f>
        <v>#NAME?</v>
      </c>
      <c r="V50" s="16" t="s">
        <v>79</v>
      </c>
      <c r="W50" s="17" t="str">
        <f>VLOOKUP(RiskRegister[[#This Row],[Residual Likelihood Level]],'Rating factors'!$F$16:$G$21,2,FALSE)</f>
        <v>--- Error ---</v>
      </c>
      <c r="X50" s="17" t="str">
        <f ca="1">IFERROR(VLOOKUP(RiskRegister[[#This Row],[Residual Risk Rating]],'Rating factors'!$F$30:$G$44,2,FALSE),"-- Error --")</f>
        <v>-- Error --</v>
      </c>
      <c r="Y50" s="17" t="str">
        <f ca="1">IFERROR(RiskRegister[[#This Row],[Residual Impact Rating]]*RiskRegister[[#This Row],[Residual Likelihood Rating]],"-- Error --")</f>
        <v>-- Error --</v>
      </c>
      <c r="Z50" s="16" t="s">
        <v>100</v>
      </c>
      <c r="AB50" s="39"/>
      <c r="AD50" s="20"/>
    </row>
    <row r="51" spans="1:30" s="16" customFormat="1" hidden="1" x14ac:dyDescent="0.25">
      <c r="A51" s="16">
        <v>48</v>
      </c>
      <c r="G51" s="16" t="s">
        <v>77</v>
      </c>
      <c r="I51" s="16" t="s">
        <v>75</v>
      </c>
      <c r="L51" s="105" t="s">
        <v>99</v>
      </c>
      <c r="M51" s="17" t="str">
        <f>VLOOKUP(RiskRegister[[#This Row],[Inherent Impact LevelL3:L1020D1007L3:L1019]],'Rating factors'!$F$4:$G$9,2,FALSE)</f>
        <v>--- Error ---</v>
      </c>
      <c r="N51" s="16" t="s">
        <v>79</v>
      </c>
      <c r="O51" s="17" t="str">
        <f>VLOOKUP(RiskRegister[[#This Row],[Inherent Likelihood Level]],'Rating factors'!$F$16:$G$21,2,FALSE)</f>
        <v>--- Error ---</v>
      </c>
      <c r="P51" s="17" t="str">
        <f>IFERROR(VLOOKUP(RiskRegister[[#This Row],[Inherent Risk Rating]],'Rating factors'!$F$30:$G$44,2,FALSE),"-- Error --")</f>
        <v>-- Error --</v>
      </c>
      <c r="Q51" s="17" t="str">
        <f>IFERROR(RiskRegister[[#This Row],[Inherent Impact Rating]]*RiskRegister[[#This Row],[Inherent Likelihood Rating]],"-- Error --")</f>
        <v>-- Error --</v>
      </c>
      <c r="R51" s="16" t="s">
        <v>98</v>
      </c>
      <c r="T51" s="16" t="s">
        <v>99</v>
      </c>
      <c r="U51" s="17" t="e" cm="1">
        <f t="array" aca="1" ref="U51" ca="1">+U51:Y1019VLOOKUP(RiskRegister[[#This Row],[Residual Impact Level]],'Rating factors'!$F$4:$G$9,2,FALSE)</f>
        <v>#NAME?</v>
      </c>
      <c r="V51" s="16" t="s">
        <v>79</v>
      </c>
      <c r="W51" s="17" t="str">
        <f>VLOOKUP(RiskRegister[[#This Row],[Residual Likelihood Level]],'Rating factors'!$F$16:$G$21,2,FALSE)</f>
        <v>--- Error ---</v>
      </c>
      <c r="X51" s="17" t="str">
        <f ca="1">IFERROR(VLOOKUP(RiskRegister[[#This Row],[Residual Risk Rating]],'Rating factors'!$F$30:$G$44,2,FALSE),"-- Error --")</f>
        <v>-- Error --</v>
      </c>
      <c r="Y51" s="17" t="str">
        <f ca="1">IFERROR(RiskRegister[[#This Row],[Residual Impact Rating]]*RiskRegister[[#This Row],[Residual Likelihood Rating]],"-- Error --")</f>
        <v>-- Error --</v>
      </c>
      <c r="Z51" s="16" t="s">
        <v>100</v>
      </c>
      <c r="AB51" s="39"/>
      <c r="AD51" s="20"/>
    </row>
    <row r="52" spans="1:30" s="16" customFormat="1" hidden="1" x14ac:dyDescent="0.25">
      <c r="A52" s="16">
        <v>49</v>
      </c>
      <c r="G52" s="16" t="s">
        <v>77</v>
      </c>
      <c r="I52" s="16" t="s">
        <v>75</v>
      </c>
      <c r="L52" s="105" t="s">
        <v>99</v>
      </c>
      <c r="M52" s="17" t="str">
        <f>VLOOKUP(RiskRegister[[#This Row],[Inherent Impact LevelL3:L1020D1007L3:L1019]],'Rating factors'!$F$4:$G$9,2,FALSE)</f>
        <v>--- Error ---</v>
      </c>
      <c r="N52" s="16" t="s">
        <v>79</v>
      </c>
      <c r="O52" s="17" t="str">
        <f>VLOOKUP(RiskRegister[[#This Row],[Inherent Likelihood Level]],'Rating factors'!$F$16:$G$21,2,FALSE)</f>
        <v>--- Error ---</v>
      </c>
      <c r="P52" s="17" t="str">
        <f>IFERROR(VLOOKUP(RiskRegister[[#This Row],[Inherent Risk Rating]],'Rating factors'!$F$30:$G$44,2,FALSE),"-- Error --")</f>
        <v>-- Error --</v>
      </c>
      <c r="Q52" s="17" t="str">
        <f>IFERROR(RiskRegister[[#This Row],[Inherent Impact Rating]]*RiskRegister[[#This Row],[Inherent Likelihood Rating]],"-- Error --")</f>
        <v>-- Error --</v>
      </c>
      <c r="R52" s="16" t="s">
        <v>98</v>
      </c>
      <c r="T52" s="16" t="s">
        <v>99</v>
      </c>
      <c r="U52" s="17" t="e" cm="1">
        <f t="array" aca="1" ref="U52" ca="1">+U52:Y1019VLOOKUP(RiskRegister[[#This Row],[Residual Impact Level]],'Rating factors'!$F$4:$G$9,2,FALSE)</f>
        <v>#NAME?</v>
      </c>
      <c r="V52" s="16" t="s">
        <v>79</v>
      </c>
      <c r="W52" s="17" t="str">
        <f>VLOOKUP(RiskRegister[[#This Row],[Residual Likelihood Level]],'Rating factors'!$F$16:$G$21,2,FALSE)</f>
        <v>--- Error ---</v>
      </c>
      <c r="X52" s="17" t="str">
        <f ca="1">IFERROR(VLOOKUP(RiskRegister[[#This Row],[Residual Risk Rating]],'Rating factors'!$F$30:$G$44,2,FALSE),"-- Error --")</f>
        <v>-- Error --</v>
      </c>
      <c r="Y52" s="17" t="str">
        <f ca="1">IFERROR(RiskRegister[[#This Row],[Residual Impact Rating]]*RiskRegister[[#This Row],[Residual Likelihood Rating]],"-- Error --")</f>
        <v>-- Error --</v>
      </c>
      <c r="Z52" s="16" t="s">
        <v>100</v>
      </c>
      <c r="AB52" s="39"/>
      <c r="AD52" s="20"/>
    </row>
    <row r="53" spans="1:30" s="16" customFormat="1" hidden="1" x14ac:dyDescent="0.25">
      <c r="A53" s="16">
        <v>50</v>
      </c>
      <c r="G53" s="16" t="s">
        <v>77</v>
      </c>
      <c r="I53" s="16" t="s">
        <v>75</v>
      </c>
      <c r="L53" s="105" t="s">
        <v>99</v>
      </c>
      <c r="M53" s="17" t="str">
        <f>VLOOKUP(RiskRegister[[#This Row],[Inherent Impact LevelL3:L1020D1007L3:L1019]],'Rating factors'!$F$4:$G$9,2,FALSE)</f>
        <v>--- Error ---</v>
      </c>
      <c r="N53" s="16" t="s">
        <v>79</v>
      </c>
      <c r="O53" s="17" t="str">
        <f>VLOOKUP(RiskRegister[[#This Row],[Inherent Likelihood Level]],'Rating factors'!$F$16:$G$21,2,FALSE)</f>
        <v>--- Error ---</v>
      </c>
      <c r="P53" s="17" t="str">
        <f>IFERROR(VLOOKUP(RiskRegister[[#This Row],[Inherent Risk Rating]],'Rating factors'!$F$30:$G$44,2,FALSE),"-- Error --")</f>
        <v>-- Error --</v>
      </c>
      <c r="Q53" s="17" t="str">
        <f>IFERROR(RiskRegister[[#This Row],[Inherent Impact Rating]]*RiskRegister[[#This Row],[Inherent Likelihood Rating]],"-- Error --")</f>
        <v>-- Error --</v>
      </c>
      <c r="R53" s="16" t="s">
        <v>98</v>
      </c>
      <c r="T53" s="16" t="s">
        <v>99</v>
      </c>
      <c r="U53" s="17" t="e" cm="1">
        <f t="array" aca="1" ref="U53" ca="1">+U53:Y1019VLOOKUP(RiskRegister[[#This Row],[Residual Impact Level]],'Rating factors'!$F$4:$G$9,2,FALSE)</f>
        <v>#NAME?</v>
      </c>
      <c r="V53" s="16" t="s">
        <v>79</v>
      </c>
      <c r="W53" s="17" t="str">
        <f>VLOOKUP(RiskRegister[[#This Row],[Residual Likelihood Level]],'Rating factors'!$F$16:$G$21,2,FALSE)</f>
        <v>--- Error ---</v>
      </c>
      <c r="X53" s="17" t="str">
        <f ca="1">IFERROR(VLOOKUP(RiskRegister[[#This Row],[Residual Risk Rating]],'Rating factors'!$F$30:$G$44,2,FALSE),"-- Error --")</f>
        <v>-- Error --</v>
      </c>
      <c r="Y53" s="17" t="str">
        <f ca="1">IFERROR(RiskRegister[[#This Row],[Residual Impact Rating]]*RiskRegister[[#This Row],[Residual Likelihood Rating]],"-- Error --")</f>
        <v>-- Error --</v>
      </c>
      <c r="Z53" s="16" t="s">
        <v>100</v>
      </c>
      <c r="AB53" s="39"/>
      <c r="AD53" s="20"/>
    </row>
    <row r="54" spans="1:30" s="16" customFormat="1" hidden="1" x14ac:dyDescent="0.25">
      <c r="A54" s="16">
        <v>51</v>
      </c>
      <c r="G54" s="16" t="s">
        <v>77</v>
      </c>
      <c r="I54" s="16" t="s">
        <v>75</v>
      </c>
      <c r="L54" s="105" t="s">
        <v>99</v>
      </c>
      <c r="M54" s="17" t="str">
        <f>VLOOKUP(RiskRegister[[#This Row],[Inherent Impact LevelL3:L1020D1007L3:L1019]],'Rating factors'!$F$4:$G$9,2,FALSE)</f>
        <v>--- Error ---</v>
      </c>
      <c r="N54" s="16" t="s">
        <v>79</v>
      </c>
      <c r="O54" s="17" t="str">
        <f>VLOOKUP(RiskRegister[[#This Row],[Inherent Likelihood Level]],'Rating factors'!$F$16:$G$21,2,FALSE)</f>
        <v>--- Error ---</v>
      </c>
      <c r="P54" s="17" t="str">
        <f>IFERROR(VLOOKUP(RiskRegister[[#This Row],[Inherent Risk Rating]],'Rating factors'!$F$30:$G$44,2,FALSE),"-- Error --")</f>
        <v>-- Error --</v>
      </c>
      <c r="Q54" s="17" t="str">
        <f>IFERROR(RiskRegister[[#This Row],[Inherent Impact Rating]]*RiskRegister[[#This Row],[Inherent Likelihood Rating]],"-- Error --")</f>
        <v>-- Error --</v>
      </c>
      <c r="R54" s="16" t="s">
        <v>98</v>
      </c>
      <c r="T54" s="16" t="s">
        <v>99</v>
      </c>
      <c r="U54" s="17" t="e" cm="1">
        <f t="array" aca="1" ref="U54" ca="1">+U54:Y1019VLOOKUP(RiskRegister[[#This Row],[Residual Impact Level]],'Rating factors'!$F$4:$G$9,2,FALSE)</f>
        <v>#NAME?</v>
      </c>
      <c r="V54" s="16" t="s">
        <v>79</v>
      </c>
      <c r="W54" s="17" t="str">
        <f>VLOOKUP(RiskRegister[[#This Row],[Residual Likelihood Level]],'Rating factors'!$F$16:$G$21,2,FALSE)</f>
        <v>--- Error ---</v>
      </c>
      <c r="X54" s="17" t="str">
        <f ca="1">IFERROR(VLOOKUP(RiskRegister[[#This Row],[Residual Risk Rating]],'Rating factors'!$F$30:$G$44,2,FALSE),"-- Error --")</f>
        <v>-- Error --</v>
      </c>
      <c r="Y54" s="17" t="str">
        <f ca="1">IFERROR(RiskRegister[[#This Row],[Residual Impact Rating]]*RiskRegister[[#This Row],[Residual Likelihood Rating]],"-- Error --")</f>
        <v>-- Error --</v>
      </c>
      <c r="Z54" s="16" t="s">
        <v>100</v>
      </c>
      <c r="AB54" s="39"/>
      <c r="AD54" s="20"/>
    </row>
    <row r="55" spans="1:30" s="16" customFormat="1" hidden="1" x14ac:dyDescent="0.25">
      <c r="A55" s="16">
        <v>52</v>
      </c>
      <c r="G55" s="16" t="s">
        <v>77</v>
      </c>
      <c r="I55" s="16" t="s">
        <v>75</v>
      </c>
      <c r="L55" s="105" t="s">
        <v>99</v>
      </c>
      <c r="M55" s="17" t="str">
        <f>VLOOKUP(RiskRegister[[#This Row],[Inherent Impact LevelL3:L1020D1007L3:L1019]],'Rating factors'!$F$4:$G$9,2,FALSE)</f>
        <v>--- Error ---</v>
      </c>
      <c r="N55" s="16" t="s">
        <v>79</v>
      </c>
      <c r="O55" s="17" t="str">
        <f>VLOOKUP(RiskRegister[[#This Row],[Inherent Likelihood Level]],'Rating factors'!$F$16:$G$21,2,FALSE)</f>
        <v>--- Error ---</v>
      </c>
      <c r="P55" s="17" t="str">
        <f>IFERROR(VLOOKUP(RiskRegister[[#This Row],[Inherent Risk Rating]],'Rating factors'!$F$30:$G$44,2,FALSE),"-- Error --")</f>
        <v>-- Error --</v>
      </c>
      <c r="Q55" s="17" t="str">
        <f>IFERROR(RiskRegister[[#This Row],[Inherent Impact Rating]]*RiskRegister[[#This Row],[Inherent Likelihood Rating]],"-- Error --")</f>
        <v>-- Error --</v>
      </c>
      <c r="R55" s="16" t="s">
        <v>98</v>
      </c>
      <c r="T55" s="16" t="s">
        <v>99</v>
      </c>
      <c r="U55" s="17" t="e" cm="1">
        <f t="array" aca="1" ref="U55" ca="1">+U55:Y1019VLOOKUP(RiskRegister[[#This Row],[Residual Impact Level]],'Rating factors'!$F$4:$G$9,2,FALSE)</f>
        <v>#NAME?</v>
      </c>
      <c r="V55" s="16" t="s">
        <v>79</v>
      </c>
      <c r="W55" s="17" t="str">
        <f>VLOOKUP(RiskRegister[[#This Row],[Residual Likelihood Level]],'Rating factors'!$F$16:$G$21,2,FALSE)</f>
        <v>--- Error ---</v>
      </c>
      <c r="X55" s="17" t="str">
        <f ca="1">IFERROR(VLOOKUP(RiskRegister[[#This Row],[Residual Risk Rating]],'Rating factors'!$F$30:$G$44,2,FALSE),"-- Error --")</f>
        <v>-- Error --</v>
      </c>
      <c r="Y55" s="17" t="str">
        <f ca="1">IFERROR(RiskRegister[[#This Row],[Residual Impact Rating]]*RiskRegister[[#This Row],[Residual Likelihood Rating]],"-- Error --")</f>
        <v>-- Error --</v>
      </c>
      <c r="Z55" s="16" t="s">
        <v>100</v>
      </c>
      <c r="AB55" s="39"/>
      <c r="AD55" s="20"/>
    </row>
    <row r="56" spans="1:30" s="16" customFormat="1" hidden="1" x14ac:dyDescent="0.25">
      <c r="A56" s="16">
        <v>53</v>
      </c>
      <c r="G56" s="16" t="s">
        <v>77</v>
      </c>
      <c r="I56" s="16" t="s">
        <v>75</v>
      </c>
      <c r="L56" s="105" t="s">
        <v>99</v>
      </c>
      <c r="M56" s="17" t="str">
        <f>VLOOKUP(RiskRegister[[#This Row],[Inherent Impact LevelL3:L1020D1007L3:L1019]],'Rating factors'!$F$4:$G$9,2,FALSE)</f>
        <v>--- Error ---</v>
      </c>
      <c r="N56" s="16" t="s">
        <v>79</v>
      </c>
      <c r="O56" s="17" t="str">
        <f>VLOOKUP(RiskRegister[[#This Row],[Inherent Likelihood Level]],'Rating factors'!$F$16:$G$21,2,FALSE)</f>
        <v>--- Error ---</v>
      </c>
      <c r="P56" s="17" t="str">
        <f>IFERROR(VLOOKUP(RiskRegister[[#This Row],[Inherent Risk Rating]],'Rating factors'!$F$30:$G$44,2,FALSE),"-- Error --")</f>
        <v>-- Error --</v>
      </c>
      <c r="Q56" s="17" t="str">
        <f>IFERROR(RiskRegister[[#This Row],[Inherent Impact Rating]]*RiskRegister[[#This Row],[Inherent Likelihood Rating]],"-- Error --")</f>
        <v>-- Error --</v>
      </c>
      <c r="R56" s="16" t="s">
        <v>98</v>
      </c>
      <c r="T56" s="16" t="s">
        <v>99</v>
      </c>
      <c r="U56" s="17" t="e" cm="1">
        <f t="array" aca="1" ref="U56" ca="1">+U56:Y1019VLOOKUP(RiskRegister[[#This Row],[Residual Impact Level]],'Rating factors'!$F$4:$G$9,2,FALSE)</f>
        <v>#NAME?</v>
      </c>
      <c r="V56" s="16" t="s">
        <v>79</v>
      </c>
      <c r="W56" s="17" t="str">
        <f>VLOOKUP(RiskRegister[[#This Row],[Residual Likelihood Level]],'Rating factors'!$F$16:$G$21,2,FALSE)</f>
        <v>--- Error ---</v>
      </c>
      <c r="X56" s="17" t="str">
        <f ca="1">IFERROR(VLOOKUP(RiskRegister[[#This Row],[Residual Risk Rating]],'Rating factors'!$F$30:$G$44,2,FALSE),"-- Error --")</f>
        <v>-- Error --</v>
      </c>
      <c r="Y56" s="17" t="str">
        <f ca="1">IFERROR(RiskRegister[[#This Row],[Residual Impact Rating]]*RiskRegister[[#This Row],[Residual Likelihood Rating]],"-- Error --")</f>
        <v>-- Error --</v>
      </c>
      <c r="Z56" s="16" t="s">
        <v>100</v>
      </c>
      <c r="AB56" s="39"/>
      <c r="AD56" s="20"/>
    </row>
    <row r="57" spans="1:30" s="16" customFormat="1" hidden="1" x14ac:dyDescent="0.25">
      <c r="A57" s="16">
        <v>54</v>
      </c>
      <c r="G57" s="16" t="s">
        <v>77</v>
      </c>
      <c r="I57" s="16" t="s">
        <v>75</v>
      </c>
      <c r="L57" s="105" t="s">
        <v>99</v>
      </c>
      <c r="M57" s="17" t="str">
        <f>VLOOKUP(RiskRegister[[#This Row],[Inherent Impact LevelL3:L1020D1007L3:L1019]],'Rating factors'!$F$4:$G$9,2,FALSE)</f>
        <v>--- Error ---</v>
      </c>
      <c r="N57" s="16" t="s">
        <v>79</v>
      </c>
      <c r="O57" s="17" t="str">
        <f>VLOOKUP(RiskRegister[[#This Row],[Inherent Likelihood Level]],'Rating factors'!$F$16:$G$21,2,FALSE)</f>
        <v>--- Error ---</v>
      </c>
      <c r="P57" s="17" t="str">
        <f>IFERROR(VLOOKUP(RiskRegister[[#This Row],[Inherent Risk Rating]],'Rating factors'!$F$30:$G$44,2,FALSE),"-- Error --")</f>
        <v>-- Error --</v>
      </c>
      <c r="Q57" s="17" t="str">
        <f>IFERROR(RiskRegister[[#This Row],[Inherent Impact Rating]]*RiskRegister[[#This Row],[Inherent Likelihood Rating]],"-- Error --")</f>
        <v>-- Error --</v>
      </c>
      <c r="R57" s="16" t="s">
        <v>98</v>
      </c>
      <c r="T57" s="16" t="s">
        <v>99</v>
      </c>
      <c r="U57" s="17" t="e" cm="1">
        <f t="array" aca="1" ref="U57" ca="1">+U57:Y1019VLOOKUP(RiskRegister[[#This Row],[Residual Impact Level]],'Rating factors'!$F$4:$G$9,2,FALSE)</f>
        <v>#NAME?</v>
      </c>
      <c r="V57" s="16" t="s">
        <v>79</v>
      </c>
      <c r="W57" s="17" t="str">
        <f>VLOOKUP(RiskRegister[[#This Row],[Residual Likelihood Level]],'Rating factors'!$F$16:$G$21,2,FALSE)</f>
        <v>--- Error ---</v>
      </c>
      <c r="X57" s="17" t="str">
        <f ca="1">IFERROR(VLOOKUP(RiskRegister[[#This Row],[Residual Risk Rating]],'Rating factors'!$F$30:$G$44,2,FALSE),"-- Error --")</f>
        <v>-- Error --</v>
      </c>
      <c r="Y57" s="17" t="str">
        <f ca="1">IFERROR(RiskRegister[[#This Row],[Residual Impact Rating]]*RiskRegister[[#This Row],[Residual Likelihood Rating]],"-- Error --")</f>
        <v>-- Error --</v>
      </c>
      <c r="Z57" s="16" t="s">
        <v>100</v>
      </c>
      <c r="AB57" s="39"/>
      <c r="AD57" s="20"/>
    </row>
    <row r="58" spans="1:30" s="16" customFormat="1" hidden="1" x14ac:dyDescent="0.25">
      <c r="A58" s="16">
        <v>55</v>
      </c>
      <c r="G58" s="16" t="s">
        <v>77</v>
      </c>
      <c r="I58" s="16" t="s">
        <v>75</v>
      </c>
      <c r="L58" s="105" t="s">
        <v>99</v>
      </c>
      <c r="M58" s="17" t="str">
        <f>VLOOKUP(RiskRegister[[#This Row],[Inherent Impact LevelL3:L1020D1007L3:L1019]],'Rating factors'!$F$4:$G$9,2,FALSE)</f>
        <v>--- Error ---</v>
      </c>
      <c r="N58" s="16" t="s">
        <v>79</v>
      </c>
      <c r="O58" s="17" t="str">
        <f>VLOOKUP(RiskRegister[[#This Row],[Inherent Likelihood Level]],'Rating factors'!$F$16:$G$21,2,FALSE)</f>
        <v>--- Error ---</v>
      </c>
      <c r="P58" s="17" t="str">
        <f>IFERROR(VLOOKUP(RiskRegister[[#This Row],[Inherent Risk Rating]],'Rating factors'!$F$30:$G$44,2,FALSE),"-- Error --")</f>
        <v>-- Error --</v>
      </c>
      <c r="Q58" s="17" t="str">
        <f>IFERROR(RiskRegister[[#This Row],[Inherent Impact Rating]]*RiskRegister[[#This Row],[Inherent Likelihood Rating]],"-- Error --")</f>
        <v>-- Error --</v>
      </c>
      <c r="R58" s="16" t="s">
        <v>98</v>
      </c>
      <c r="T58" s="16" t="s">
        <v>99</v>
      </c>
      <c r="U58" s="17" t="e" cm="1">
        <f t="array" aca="1" ref="U58" ca="1">+U58:Y1019VLOOKUP(RiskRegister[[#This Row],[Residual Impact Level]],'Rating factors'!$F$4:$G$9,2,FALSE)</f>
        <v>#NAME?</v>
      </c>
      <c r="V58" s="16" t="s">
        <v>79</v>
      </c>
      <c r="W58" s="17" t="str">
        <f>VLOOKUP(RiskRegister[[#This Row],[Residual Likelihood Level]],'Rating factors'!$F$16:$G$21,2,FALSE)</f>
        <v>--- Error ---</v>
      </c>
      <c r="X58" s="17" t="str">
        <f ca="1">IFERROR(VLOOKUP(RiskRegister[[#This Row],[Residual Risk Rating]],'Rating factors'!$F$30:$G$44,2,FALSE),"-- Error --")</f>
        <v>-- Error --</v>
      </c>
      <c r="Y58" s="17" t="str">
        <f ca="1">IFERROR(RiskRegister[[#This Row],[Residual Impact Rating]]*RiskRegister[[#This Row],[Residual Likelihood Rating]],"-- Error --")</f>
        <v>-- Error --</v>
      </c>
      <c r="Z58" s="16" t="s">
        <v>100</v>
      </c>
      <c r="AB58" s="39"/>
      <c r="AD58" s="20"/>
    </row>
    <row r="59" spans="1:30" s="16" customFormat="1" hidden="1" x14ac:dyDescent="0.25">
      <c r="A59" s="16">
        <v>56</v>
      </c>
      <c r="G59" s="16" t="s">
        <v>77</v>
      </c>
      <c r="I59" s="16" t="s">
        <v>75</v>
      </c>
      <c r="L59" s="105" t="s">
        <v>99</v>
      </c>
      <c r="M59" s="17" t="str">
        <f>VLOOKUP(RiskRegister[[#This Row],[Inherent Impact LevelL3:L1020D1007L3:L1019]],'Rating factors'!$F$4:$G$9,2,FALSE)</f>
        <v>--- Error ---</v>
      </c>
      <c r="N59" s="16" t="s">
        <v>79</v>
      </c>
      <c r="O59" s="17" t="str">
        <f>VLOOKUP(RiskRegister[[#This Row],[Inherent Likelihood Level]],'Rating factors'!$F$16:$G$21,2,FALSE)</f>
        <v>--- Error ---</v>
      </c>
      <c r="P59" s="17" t="str">
        <f>IFERROR(VLOOKUP(RiskRegister[[#This Row],[Inherent Risk Rating]],'Rating factors'!$F$30:$G$44,2,FALSE),"-- Error --")</f>
        <v>-- Error --</v>
      </c>
      <c r="Q59" s="17" t="str">
        <f>IFERROR(RiskRegister[[#This Row],[Inherent Impact Rating]]*RiskRegister[[#This Row],[Inherent Likelihood Rating]],"-- Error --")</f>
        <v>-- Error --</v>
      </c>
      <c r="R59" s="16" t="s">
        <v>98</v>
      </c>
      <c r="T59" s="16" t="s">
        <v>99</v>
      </c>
      <c r="U59" s="17" t="e" cm="1">
        <f t="array" aca="1" ref="U59" ca="1">+U59:Y1019VLOOKUP(RiskRegister[[#This Row],[Residual Impact Level]],'Rating factors'!$F$4:$G$9,2,FALSE)</f>
        <v>#NAME?</v>
      </c>
      <c r="V59" s="16" t="s">
        <v>79</v>
      </c>
      <c r="W59" s="17" t="str">
        <f>VLOOKUP(RiskRegister[[#This Row],[Residual Likelihood Level]],'Rating factors'!$F$16:$G$21,2,FALSE)</f>
        <v>--- Error ---</v>
      </c>
      <c r="X59" s="17" t="str">
        <f ca="1">IFERROR(VLOOKUP(RiskRegister[[#This Row],[Residual Risk Rating]],'Rating factors'!$F$30:$G$44,2,FALSE),"-- Error --")</f>
        <v>-- Error --</v>
      </c>
      <c r="Y59" s="17" t="str">
        <f ca="1">IFERROR(RiskRegister[[#This Row],[Residual Impact Rating]]*RiskRegister[[#This Row],[Residual Likelihood Rating]],"-- Error --")</f>
        <v>-- Error --</v>
      </c>
      <c r="Z59" s="16" t="s">
        <v>100</v>
      </c>
      <c r="AB59" s="39"/>
      <c r="AD59" s="20"/>
    </row>
    <row r="60" spans="1:30" s="16" customFormat="1" hidden="1" x14ac:dyDescent="0.25">
      <c r="A60" s="16">
        <v>57</v>
      </c>
      <c r="G60" s="16" t="s">
        <v>77</v>
      </c>
      <c r="I60" s="16" t="s">
        <v>75</v>
      </c>
      <c r="L60" s="105" t="s">
        <v>99</v>
      </c>
      <c r="M60" s="17" t="str">
        <f>VLOOKUP(RiskRegister[[#This Row],[Inherent Impact LevelL3:L1020D1007L3:L1019]],'Rating factors'!$F$4:$G$9,2,FALSE)</f>
        <v>--- Error ---</v>
      </c>
      <c r="N60" s="16" t="s">
        <v>79</v>
      </c>
      <c r="O60" s="17" t="str">
        <f>VLOOKUP(RiskRegister[[#This Row],[Inherent Likelihood Level]],'Rating factors'!$F$16:$G$21,2,FALSE)</f>
        <v>--- Error ---</v>
      </c>
      <c r="P60" s="17" t="str">
        <f>IFERROR(VLOOKUP(RiskRegister[[#This Row],[Inherent Risk Rating]],'Rating factors'!$F$30:$G$44,2,FALSE),"-- Error --")</f>
        <v>-- Error --</v>
      </c>
      <c r="Q60" s="17" t="str">
        <f>IFERROR(RiskRegister[[#This Row],[Inherent Impact Rating]]*RiskRegister[[#This Row],[Inherent Likelihood Rating]],"-- Error --")</f>
        <v>-- Error --</v>
      </c>
      <c r="R60" s="16" t="s">
        <v>98</v>
      </c>
      <c r="T60" s="16" t="s">
        <v>99</v>
      </c>
      <c r="U60" s="17" t="e" cm="1">
        <f t="array" aca="1" ref="U60" ca="1">+U60:Y1019VLOOKUP(RiskRegister[[#This Row],[Residual Impact Level]],'Rating factors'!$F$4:$G$9,2,FALSE)</f>
        <v>#NAME?</v>
      </c>
      <c r="V60" s="16" t="s">
        <v>79</v>
      </c>
      <c r="W60" s="17" t="str">
        <f>VLOOKUP(RiskRegister[[#This Row],[Residual Likelihood Level]],'Rating factors'!$F$16:$G$21,2,FALSE)</f>
        <v>--- Error ---</v>
      </c>
      <c r="X60" s="17" t="str">
        <f ca="1">IFERROR(VLOOKUP(RiskRegister[[#This Row],[Residual Risk Rating]],'Rating factors'!$F$30:$G$44,2,FALSE),"-- Error --")</f>
        <v>-- Error --</v>
      </c>
      <c r="Y60" s="17" t="str">
        <f ca="1">IFERROR(RiskRegister[[#This Row],[Residual Impact Rating]]*RiskRegister[[#This Row],[Residual Likelihood Rating]],"-- Error --")</f>
        <v>-- Error --</v>
      </c>
      <c r="Z60" s="16" t="s">
        <v>100</v>
      </c>
      <c r="AB60" s="39"/>
      <c r="AD60" s="20"/>
    </row>
    <row r="61" spans="1:30" s="16" customFormat="1" hidden="1" x14ac:dyDescent="0.25">
      <c r="A61" s="16">
        <v>58</v>
      </c>
      <c r="G61" s="16" t="s">
        <v>77</v>
      </c>
      <c r="I61" s="16" t="s">
        <v>75</v>
      </c>
      <c r="L61" s="105" t="s">
        <v>99</v>
      </c>
      <c r="M61" s="17" t="str">
        <f>VLOOKUP(RiskRegister[[#This Row],[Inherent Impact LevelL3:L1020D1007L3:L1019]],'Rating factors'!$F$4:$G$9,2,FALSE)</f>
        <v>--- Error ---</v>
      </c>
      <c r="N61" s="16" t="s">
        <v>79</v>
      </c>
      <c r="O61" s="17" t="str">
        <f>VLOOKUP(RiskRegister[[#This Row],[Inherent Likelihood Level]],'Rating factors'!$F$16:$G$21,2,FALSE)</f>
        <v>--- Error ---</v>
      </c>
      <c r="P61" s="17" t="str">
        <f>IFERROR(VLOOKUP(RiskRegister[[#This Row],[Inherent Risk Rating]],'Rating factors'!$F$30:$G$44,2,FALSE),"-- Error --")</f>
        <v>-- Error --</v>
      </c>
      <c r="Q61" s="17" t="str">
        <f>IFERROR(RiskRegister[[#This Row],[Inherent Impact Rating]]*RiskRegister[[#This Row],[Inherent Likelihood Rating]],"-- Error --")</f>
        <v>-- Error --</v>
      </c>
      <c r="R61" s="16" t="s">
        <v>98</v>
      </c>
      <c r="T61" s="16" t="s">
        <v>99</v>
      </c>
      <c r="U61" s="17" t="e" cm="1">
        <f t="array" aca="1" ref="U61" ca="1">+U61:Y1019VLOOKUP(RiskRegister[[#This Row],[Residual Impact Level]],'Rating factors'!$F$4:$G$9,2,FALSE)</f>
        <v>#NAME?</v>
      </c>
      <c r="V61" s="16" t="s">
        <v>79</v>
      </c>
      <c r="W61" s="17" t="str">
        <f>VLOOKUP(RiskRegister[[#This Row],[Residual Likelihood Level]],'Rating factors'!$F$16:$G$21,2,FALSE)</f>
        <v>--- Error ---</v>
      </c>
      <c r="X61" s="17" t="str">
        <f ca="1">IFERROR(VLOOKUP(RiskRegister[[#This Row],[Residual Risk Rating]],'Rating factors'!$F$30:$G$44,2,FALSE),"-- Error --")</f>
        <v>-- Error --</v>
      </c>
      <c r="Y61" s="17" t="str">
        <f ca="1">IFERROR(RiskRegister[[#This Row],[Residual Impact Rating]]*RiskRegister[[#This Row],[Residual Likelihood Rating]],"-- Error --")</f>
        <v>-- Error --</v>
      </c>
      <c r="Z61" s="16" t="s">
        <v>100</v>
      </c>
      <c r="AB61" s="39"/>
      <c r="AD61" s="20"/>
    </row>
    <row r="62" spans="1:30" s="16" customFormat="1" hidden="1" x14ac:dyDescent="0.25">
      <c r="A62" s="16">
        <v>59</v>
      </c>
      <c r="G62" s="16" t="s">
        <v>77</v>
      </c>
      <c r="I62" s="16" t="s">
        <v>75</v>
      </c>
      <c r="L62" s="105" t="s">
        <v>99</v>
      </c>
      <c r="M62" s="17" t="str">
        <f>VLOOKUP(RiskRegister[[#This Row],[Inherent Impact LevelL3:L1020D1007L3:L1019]],'Rating factors'!$F$4:$G$9,2,FALSE)</f>
        <v>--- Error ---</v>
      </c>
      <c r="N62" s="16" t="s">
        <v>79</v>
      </c>
      <c r="O62" s="17" t="str">
        <f>VLOOKUP(RiskRegister[[#This Row],[Inherent Likelihood Level]],'Rating factors'!$F$16:$G$21,2,FALSE)</f>
        <v>--- Error ---</v>
      </c>
      <c r="P62" s="17" t="str">
        <f>IFERROR(VLOOKUP(RiskRegister[[#This Row],[Inherent Risk Rating]],'Rating factors'!$F$30:$G$44,2,FALSE),"-- Error --")</f>
        <v>-- Error --</v>
      </c>
      <c r="Q62" s="17" t="str">
        <f>IFERROR(RiskRegister[[#This Row],[Inherent Impact Rating]]*RiskRegister[[#This Row],[Inherent Likelihood Rating]],"-- Error --")</f>
        <v>-- Error --</v>
      </c>
      <c r="R62" s="16" t="s">
        <v>98</v>
      </c>
      <c r="T62" s="16" t="s">
        <v>99</v>
      </c>
      <c r="U62" s="17" t="e" cm="1">
        <f t="array" aca="1" ref="U62" ca="1">+U62:Y1019VLOOKUP(RiskRegister[[#This Row],[Residual Impact Level]],'Rating factors'!$F$4:$G$9,2,FALSE)</f>
        <v>#NAME?</v>
      </c>
      <c r="V62" s="16" t="s">
        <v>79</v>
      </c>
      <c r="W62" s="17" t="str">
        <f>VLOOKUP(RiskRegister[[#This Row],[Residual Likelihood Level]],'Rating factors'!$F$16:$G$21,2,FALSE)</f>
        <v>--- Error ---</v>
      </c>
      <c r="X62" s="17" t="str">
        <f ca="1">IFERROR(VLOOKUP(RiskRegister[[#This Row],[Residual Risk Rating]],'Rating factors'!$F$30:$G$44,2,FALSE),"-- Error --")</f>
        <v>-- Error --</v>
      </c>
      <c r="Y62" s="17" t="str">
        <f ca="1">IFERROR(RiskRegister[[#This Row],[Residual Impact Rating]]*RiskRegister[[#This Row],[Residual Likelihood Rating]],"-- Error --")</f>
        <v>-- Error --</v>
      </c>
      <c r="Z62" s="16" t="s">
        <v>100</v>
      </c>
      <c r="AB62" s="39"/>
      <c r="AD62" s="20"/>
    </row>
    <row r="63" spans="1:30" s="16" customFormat="1" hidden="1" x14ac:dyDescent="0.25">
      <c r="A63" s="16">
        <v>60</v>
      </c>
      <c r="G63" s="16" t="s">
        <v>77</v>
      </c>
      <c r="I63" s="16" t="s">
        <v>75</v>
      </c>
      <c r="L63" s="105" t="s">
        <v>99</v>
      </c>
      <c r="M63" s="17" t="str">
        <f>VLOOKUP(RiskRegister[[#This Row],[Inherent Impact LevelL3:L1020D1007L3:L1019]],'Rating factors'!$F$4:$G$9,2,FALSE)</f>
        <v>--- Error ---</v>
      </c>
      <c r="N63" s="16" t="s">
        <v>79</v>
      </c>
      <c r="O63" s="17" t="str">
        <f>VLOOKUP(RiskRegister[[#This Row],[Inherent Likelihood Level]],'Rating factors'!$F$16:$G$21,2,FALSE)</f>
        <v>--- Error ---</v>
      </c>
      <c r="P63" s="17" t="str">
        <f>IFERROR(VLOOKUP(RiskRegister[[#This Row],[Inherent Risk Rating]],'Rating factors'!$F$30:$G$44,2,FALSE),"-- Error --")</f>
        <v>-- Error --</v>
      </c>
      <c r="Q63" s="17" t="str">
        <f>IFERROR(RiskRegister[[#This Row],[Inherent Impact Rating]]*RiskRegister[[#This Row],[Inherent Likelihood Rating]],"-- Error --")</f>
        <v>-- Error --</v>
      </c>
      <c r="R63" s="16" t="s">
        <v>98</v>
      </c>
      <c r="T63" s="16" t="s">
        <v>99</v>
      </c>
      <c r="U63" s="17" t="e" cm="1">
        <f t="array" aca="1" ref="U63" ca="1">+U63:Y1019VLOOKUP(RiskRegister[[#This Row],[Residual Impact Level]],'Rating factors'!$F$4:$G$9,2,FALSE)</f>
        <v>#NAME?</v>
      </c>
      <c r="V63" s="16" t="s">
        <v>79</v>
      </c>
      <c r="W63" s="17" t="str">
        <f>VLOOKUP(RiskRegister[[#This Row],[Residual Likelihood Level]],'Rating factors'!$F$16:$G$21,2,FALSE)</f>
        <v>--- Error ---</v>
      </c>
      <c r="X63" s="17" t="str">
        <f ca="1">IFERROR(VLOOKUP(RiskRegister[[#This Row],[Residual Risk Rating]],'Rating factors'!$F$30:$G$44,2,FALSE),"-- Error --")</f>
        <v>-- Error --</v>
      </c>
      <c r="Y63" s="17" t="str">
        <f ca="1">IFERROR(RiskRegister[[#This Row],[Residual Impact Rating]]*RiskRegister[[#This Row],[Residual Likelihood Rating]],"-- Error --")</f>
        <v>-- Error --</v>
      </c>
      <c r="Z63" s="16" t="s">
        <v>100</v>
      </c>
      <c r="AB63" s="39"/>
      <c r="AD63" s="20"/>
    </row>
    <row r="64" spans="1:30" s="16" customFormat="1" hidden="1" x14ac:dyDescent="0.25">
      <c r="A64" s="16">
        <v>61</v>
      </c>
      <c r="G64" s="16" t="s">
        <v>77</v>
      </c>
      <c r="I64" s="16" t="s">
        <v>75</v>
      </c>
      <c r="L64" s="105" t="s">
        <v>99</v>
      </c>
      <c r="M64" s="17" t="str">
        <f>VLOOKUP(RiskRegister[[#This Row],[Inherent Impact LevelL3:L1020D1007L3:L1019]],'Rating factors'!$F$4:$G$9,2,FALSE)</f>
        <v>--- Error ---</v>
      </c>
      <c r="N64" s="16" t="s">
        <v>79</v>
      </c>
      <c r="O64" s="17" t="str">
        <f>VLOOKUP(RiskRegister[[#This Row],[Inherent Likelihood Level]],'Rating factors'!$F$16:$G$21,2,FALSE)</f>
        <v>--- Error ---</v>
      </c>
      <c r="P64" s="17" t="str">
        <f>IFERROR(VLOOKUP(RiskRegister[[#This Row],[Inherent Risk Rating]],'Rating factors'!$F$30:$G$44,2,FALSE),"-- Error --")</f>
        <v>-- Error --</v>
      </c>
      <c r="Q64" s="17" t="str">
        <f>IFERROR(RiskRegister[[#This Row],[Inherent Impact Rating]]*RiskRegister[[#This Row],[Inherent Likelihood Rating]],"-- Error --")</f>
        <v>-- Error --</v>
      </c>
      <c r="R64" s="16" t="s">
        <v>98</v>
      </c>
      <c r="T64" s="16" t="s">
        <v>99</v>
      </c>
      <c r="U64" s="17" t="e" cm="1">
        <f t="array" aca="1" ref="U64" ca="1">+U64:Y1019VLOOKUP(RiskRegister[[#This Row],[Residual Impact Level]],'Rating factors'!$F$4:$G$9,2,FALSE)</f>
        <v>#NAME?</v>
      </c>
      <c r="V64" s="16" t="s">
        <v>79</v>
      </c>
      <c r="W64" s="17" t="str">
        <f>VLOOKUP(RiskRegister[[#This Row],[Residual Likelihood Level]],'Rating factors'!$F$16:$G$21,2,FALSE)</f>
        <v>--- Error ---</v>
      </c>
      <c r="X64" s="17" t="str">
        <f ca="1">IFERROR(VLOOKUP(RiskRegister[[#This Row],[Residual Risk Rating]],'Rating factors'!$F$30:$G$44,2,FALSE),"-- Error --")</f>
        <v>-- Error --</v>
      </c>
      <c r="Y64" s="17" t="str">
        <f ca="1">IFERROR(RiskRegister[[#This Row],[Residual Impact Rating]]*RiskRegister[[#This Row],[Residual Likelihood Rating]],"-- Error --")</f>
        <v>-- Error --</v>
      </c>
      <c r="Z64" s="16" t="s">
        <v>100</v>
      </c>
      <c r="AB64" s="39"/>
      <c r="AD64" s="20"/>
    </row>
    <row r="65" spans="1:30" s="16" customFormat="1" hidden="1" x14ac:dyDescent="0.25">
      <c r="A65" s="16">
        <v>62</v>
      </c>
      <c r="G65" s="16" t="s">
        <v>77</v>
      </c>
      <c r="I65" s="16" t="s">
        <v>75</v>
      </c>
      <c r="L65" s="105" t="s">
        <v>99</v>
      </c>
      <c r="M65" s="17" t="str">
        <f>VLOOKUP(RiskRegister[[#This Row],[Inherent Impact LevelL3:L1020D1007L3:L1019]],'Rating factors'!$F$4:$G$9,2,FALSE)</f>
        <v>--- Error ---</v>
      </c>
      <c r="N65" s="16" t="s">
        <v>79</v>
      </c>
      <c r="O65" s="17" t="str">
        <f>VLOOKUP(RiskRegister[[#This Row],[Inherent Likelihood Level]],'Rating factors'!$F$16:$G$21,2,FALSE)</f>
        <v>--- Error ---</v>
      </c>
      <c r="P65" s="17" t="str">
        <f>IFERROR(VLOOKUP(RiskRegister[[#This Row],[Inherent Risk Rating]],'Rating factors'!$F$30:$G$44,2,FALSE),"-- Error --")</f>
        <v>-- Error --</v>
      </c>
      <c r="Q65" s="17" t="str">
        <f>IFERROR(RiskRegister[[#This Row],[Inherent Impact Rating]]*RiskRegister[[#This Row],[Inherent Likelihood Rating]],"-- Error --")</f>
        <v>-- Error --</v>
      </c>
      <c r="R65" s="16" t="s">
        <v>98</v>
      </c>
      <c r="T65" s="16" t="s">
        <v>99</v>
      </c>
      <c r="U65" s="17" t="e" cm="1">
        <f t="array" aca="1" ref="U65" ca="1">+U65:Y1019VLOOKUP(RiskRegister[[#This Row],[Residual Impact Level]],'Rating factors'!$F$4:$G$9,2,FALSE)</f>
        <v>#NAME?</v>
      </c>
      <c r="V65" s="16" t="s">
        <v>79</v>
      </c>
      <c r="W65" s="17" t="str">
        <f>VLOOKUP(RiskRegister[[#This Row],[Residual Likelihood Level]],'Rating factors'!$F$16:$G$21,2,FALSE)</f>
        <v>--- Error ---</v>
      </c>
      <c r="X65" s="17" t="str">
        <f ca="1">IFERROR(VLOOKUP(RiskRegister[[#This Row],[Residual Risk Rating]],'Rating factors'!$F$30:$G$44,2,FALSE),"-- Error --")</f>
        <v>-- Error --</v>
      </c>
      <c r="Y65" s="17" t="str">
        <f ca="1">IFERROR(RiskRegister[[#This Row],[Residual Impact Rating]]*RiskRegister[[#This Row],[Residual Likelihood Rating]],"-- Error --")</f>
        <v>-- Error --</v>
      </c>
      <c r="Z65" s="16" t="s">
        <v>100</v>
      </c>
      <c r="AB65" s="39"/>
      <c r="AD65" s="20"/>
    </row>
    <row r="66" spans="1:30" s="16" customFormat="1" hidden="1" x14ac:dyDescent="0.25">
      <c r="A66" s="16">
        <v>63</v>
      </c>
      <c r="G66" s="16" t="s">
        <v>77</v>
      </c>
      <c r="I66" s="16" t="s">
        <v>75</v>
      </c>
      <c r="L66" s="105" t="s">
        <v>99</v>
      </c>
      <c r="M66" s="17" t="str">
        <f>VLOOKUP(RiskRegister[[#This Row],[Inherent Impact LevelL3:L1020D1007L3:L1019]],'Rating factors'!$F$4:$G$9,2,FALSE)</f>
        <v>--- Error ---</v>
      </c>
      <c r="N66" s="16" t="s">
        <v>79</v>
      </c>
      <c r="O66" s="17" t="str">
        <f>VLOOKUP(RiskRegister[[#This Row],[Inherent Likelihood Level]],'Rating factors'!$F$16:$G$21,2,FALSE)</f>
        <v>--- Error ---</v>
      </c>
      <c r="P66" s="17" t="str">
        <f>IFERROR(VLOOKUP(RiskRegister[[#This Row],[Inherent Risk Rating]],'Rating factors'!$F$30:$G$44,2,FALSE),"-- Error --")</f>
        <v>-- Error --</v>
      </c>
      <c r="Q66" s="17" t="str">
        <f>IFERROR(RiskRegister[[#This Row],[Inherent Impact Rating]]*RiskRegister[[#This Row],[Inherent Likelihood Rating]],"-- Error --")</f>
        <v>-- Error --</v>
      </c>
      <c r="R66" s="16" t="s">
        <v>98</v>
      </c>
      <c r="T66" s="16" t="s">
        <v>99</v>
      </c>
      <c r="U66" s="17" t="e" cm="1">
        <f t="array" aca="1" ref="U66" ca="1">+U66:Y1019VLOOKUP(RiskRegister[[#This Row],[Residual Impact Level]],'Rating factors'!$F$4:$G$9,2,FALSE)</f>
        <v>#NAME?</v>
      </c>
      <c r="V66" s="16" t="s">
        <v>79</v>
      </c>
      <c r="W66" s="17" t="str">
        <f>VLOOKUP(RiskRegister[[#This Row],[Residual Likelihood Level]],'Rating factors'!$F$16:$G$21,2,FALSE)</f>
        <v>--- Error ---</v>
      </c>
      <c r="X66" s="17" t="str">
        <f ca="1">IFERROR(VLOOKUP(RiskRegister[[#This Row],[Residual Risk Rating]],'Rating factors'!$F$30:$G$44,2,FALSE),"-- Error --")</f>
        <v>-- Error --</v>
      </c>
      <c r="Y66" s="17" t="str">
        <f ca="1">IFERROR(RiskRegister[[#This Row],[Residual Impact Rating]]*RiskRegister[[#This Row],[Residual Likelihood Rating]],"-- Error --")</f>
        <v>-- Error --</v>
      </c>
      <c r="Z66" s="16" t="s">
        <v>100</v>
      </c>
      <c r="AB66" s="39"/>
      <c r="AD66" s="20"/>
    </row>
    <row r="67" spans="1:30" s="16" customFormat="1" hidden="1" x14ac:dyDescent="0.25">
      <c r="A67" s="16">
        <v>64</v>
      </c>
      <c r="G67" s="16" t="s">
        <v>77</v>
      </c>
      <c r="I67" s="16" t="s">
        <v>75</v>
      </c>
      <c r="L67" s="105" t="s">
        <v>99</v>
      </c>
      <c r="M67" s="17" t="str">
        <f>VLOOKUP(RiskRegister[[#This Row],[Inherent Impact LevelL3:L1020D1007L3:L1019]],'Rating factors'!$F$4:$G$9,2,FALSE)</f>
        <v>--- Error ---</v>
      </c>
      <c r="N67" s="16" t="s">
        <v>79</v>
      </c>
      <c r="O67" s="17" t="str">
        <f>VLOOKUP(RiskRegister[[#This Row],[Inherent Likelihood Level]],'Rating factors'!$F$16:$G$21,2,FALSE)</f>
        <v>--- Error ---</v>
      </c>
      <c r="P67" s="17" t="str">
        <f>IFERROR(VLOOKUP(RiskRegister[[#This Row],[Inherent Risk Rating]],'Rating factors'!$F$30:$G$44,2,FALSE),"-- Error --")</f>
        <v>-- Error --</v>
      </c>
      <c r="Q67" s="17" t="str">
        <f>IFERROR(RiskRegister[[#This Row],[Inherent Impact Rating]]*RiskRegister[[#This Row],[Inherent Likelihood Rating]],"-- Error --")</f>
        <v>-- Error --</v>
      </c>
      <c r="R67" s="16" t="s">
        <v>98</v>
      </c>
      <c r="T67" s="16" t="s">
        <v>99</v>
      </c>
      <c r="U67" s="17" t="e" cm="1">
        <f t="array" aca="1" ref="U67" ca="1">+U67:Y1019VLOOKUP(RiskRegister[[#This Row],[Residual Impact Level]],'Rating factors'!$F$4:$G$9,2,FALSE)</f>
        <v>#NAME?</v>
      </c>
      <c r="V67" s="16" t="s">
        <v>79</v>
      </c>
      <c r="W67" s="17" t="str">
        <f>VLOOKUP(RiskRegister[[#This Row],[Residual Likelihood Level]],'Rating factors'!$F$16:$G$21,2,FALSE)</f>
        <v>--- Error ---</v>
      </c>
      <c r="X67" s="17" t="str">
        <f ca="1">IFERROR(VLOOKUP(RiskRegister[[#This Row],[Residual Risk Rating]],'Rating factors'!$F$30:$G$44,2,FALSE),"-- Error --")</f>
        <v>-- Error --</v>
      </c>
      <c r="Y67" s="17" t="str">
        <f ca="1">IFERROR(RiskRegister[[#This Row],[Residual Impact Rating]]*RiskRegister[[#This Row],[Residual Likelihood Rating]],"-- Error --")</f>
        <v>-- Error --</v>
      </c>
      <c r="Z67" s="16" t="s">
        <v>100</v>
      </c>
      <c r="AB67" s="39"/>
      <c r="AD67" s="20"/>
    </row>
    <row r="68" spans="1:30" s="16" customFormat="1" hidden="1" x14ac:dyDescent="0.25">
      <c r="A68" s="16">
        <v>65</v>
      </c>
      <c r="G68" s="16" t="s">
        <v>77</v>
      </c>
      <c r="I68" s="16" t="s">
        <v>75</v>
      </c>
      <c r="L68" s="105" t="s">
        <v>99</v>
      </c>
      <c r="M68" s="17" t="str">
        <f>VLOOKUP(RiskRegister[[#This Row],[Inherent Impact LevelL3:L1020D1007L3:L1019]],'Rating factors'!$F$4:$G$9,2,FALSE)</f>
        <v>--- Error ---</v>
      </c>
      <c r="N68" s="16" t="s">
        <v>79</v>
      </c>
      <c r="O68" s="17" t="str">
        <f>VLOOKUP(RiskRegister[[#This Row],[Inherent Likelihood Level]],'Rating factors'!$F$16:$G$21,2,FALSE)</f>
        <v>--- Error ---</v>
      </c>
      <c r="P68" s="17" t="str">
        <f>IFERROR(VLOOKUP(RiskRegister[[#This Row],[Inherent Risk Rating]],'Rating factors'!$F$30:$G$44,2,FALSE),"-- Error --")</f>
        <v>-- Error --</v>
      </c>
      <c r="Q68" s="17" t="str">
        <f>IFERROR(RiskRegister[[#This Row],[Inherent Impact Rating]]*RiskRegister[[#This Row],[Inherent Likelihood Rating]],"-- Error --")</f>
        <v>-- Error --</v>
      </c>
      <c r="R68" s="16" t="s">
        <v>98</v>
      </c>
      <c r="T68" s="16" t="s">
        <v>99</v>
      </c>
      <c r="U68" s="17" t="e" cm="1">
        <f t="array" aca="1" ref="U68" ca="1">+U68:Y1019VLOOKUP(RiskRegister[[#This Row],[Residual Impact Level]],'Rating factors'!$F$4:$G$9,2,FALSE)</f>
        <v>#NAME?</v>
      </c>
      <c r="V68" s="16" t="s">
        <v>79</v>
      </c>
      <c r="W68" s="17" t="str">
        <f>VLOOKUP(RiskRegister[[#This Row],[Residual Likelihood Level]],'Rating factors'!$F$16:$G$21,2,FALSE)</f>
        <v>--- Error ---</v>
      </c>
      <c r="X68" s="17" t="str">
        <f ca="1">IFERROR(VLOOKUP(RiskRegister[[#This Row],[Residual Risk Rating]],'Rating factors'!$F$30:$G$44,2,FALSE),"-- Error --")</f>
        <v>-- Error --</v>
      </c>
      <c r="Y68" s="17" t="str">
        <f ca="1">IFERROR(RiskRegister[[#This Row],[Residual Impact Rating]]*RiskRegister[[#This Row],[Residual Likelihood Rating]],"-- Error --")</f>
        <v>-- Error --</v>
      </c>
      <c r="Z68" s="16" t="s">
        <v>100</v>
      </c>
      <c r="AB68" s="39"/>
      <c r="AD68" s="20"/>
    </row>
    <row r="69" spans="1:30" s="16" customFormat="1" hidden="1" x14ac:dyDescent="0.25">
      <c r="A69" s="16">
        <v>66</v>
      </c>
      <c r="G69" s="16" t="s">
        <v>77</v>
      </c>
      <c r="I69" s="16" t="s">
        <v>75</v>
      </c>
      <c r="L69" s="105" t="s">
        <v>99</v>
      </c>
      <c r="M69" s="17" t="str">
        <f>VLOOKUP(RiskRegister[[#This Row],[Inherent Impact LevelL3:L1020D1007L3:L1019]],'Rating factors'!$F$4:$G$9,2,FALSE)</f>
        <v>--- Error ---</v>
      </c>
      <c r="N69" s="16" t="s">
        <v>79</v>
      </c>
      <c r="O69" s="17" t="str">
        <f>VLOOKUP(RiskRegister[[#This Row],[Inherent Likelihood Level]],'Rating factors'!$F$16:$G$21,2,FALSE)</f>
        <v>--- Error ---</v>
      </c>
      <c r="P69" s="17" t="str">
        <f>IFERROR(VLOOKUP(RiskRegister[[#This Row],[Inherent Risk Rating]],'Rating factors'!$F$30:$G$44,2,FALSE),"-- Error --")</f>
        <v>-- Error --</v>
      </c>
      <c r="Q69" s="17" t="str">
        <f>IFERROR(RiskRegister[[#This Row],[Inherent Impact Rating]]*RiskRegister[[#This Row],[Inherent Likelihood Rating]],"-- Error --")</f>
        <v>-- Error --</v>
      </c>
      <c r="R69" s="16" t="s">
        <v>98</v>
      </c>
      <c r="T69" s="16" t="s">
        <v>99</v>
      </c>
      <c r="U69" s="17" t="e" cm="1">
        <f t="array" aca="1" ref="U69" ca="1">+U69:Y1019VLOOKUP(RiskRegister[[#This Row],[Residual Impact Level]],'Rating factors'!$F$4:$G$9,2,FALSE)</f>
        <v>#NAME?</v>
      </c>
      <c r="V69" s="16" t="s">
        <v>79</v>
      </c>
      <c r="W69" s="17" t="str">
        <f>VLOOKUP(RiskRegister[[#This Row],[Residual Likelihood Level]],'Rating factors'!$F$16:$G$21,2,FALSE)</f>
        <v>--- Error ---</v>
      </c>
      <c r="X69" s="17" t="str">
        <f ca="1">IFERROR(VLOOKUP(RiskRegister[[#This Row],[Residual Risk Rating]],'Rating factors'!$F$30:$G$44,2,FALSE),"-- Error --")</f>
        <v>-- Error --</v>
      </c>
      <c r="Y69" s="17" t="str">
        <f ca="1">IFERROR(RiskRegister[[#This Row],[Residual Impact Rating]]*RiskRegister[[#This Row],[Residual Likelihood Rating]],"-- Error --")</f>
        <v>-- Error --</v>
      </c>
      <c r="Z69" s="16" t="s">
        <v>100</v>
      </c>
      <c r="AB69" s="39"/>
      <c r="AD69" s="20"/>
    </row>
    <row r="70" spans="1:30" s="16" customFormat="1" hidden="1" x14ac:dyDescent="0.25">
      <c r="A70" s="16">
        <v>67</v>
      </c>
      <c r="G70" s="16" t="s">
        <v>77</v>
      </c>
      <c r="I70" s="16" t="s">
        <v>75</v>
      </c>
      <c r="L70" s="105" t="s">
        <v>99</v>
      </c>
      <c r="M70" s="17" t="str">
        <f>VLOOKUP(RiskRegister[[#This Row],[Inherent Impact LevelL3:L1020D1007L3:L1019]],'Rating factors'!$F$4:$G$9,2,FALSE)</f>
        <v>--- Error ---</v>
      </c>
      <c r="N70" s="16" t="s">
        <v>79</v>
      </c>
      <c r="O70" s="17" t="str">
        <f>VLOOKUP(RiskRegister[[#This Row],[Inherent Likelihood Level]],'Rating factors'!$F$16:$G$21,2,FALSE)</f>
        <v>--- Error ---</v>
      </c>
      <c r="P70" s="17" t="str">
        <f>IFERROR(VLOOKUP(RiskRegister[[#This Row],[Inherent Risk Rating]],'Rating factors'!$F$30:$G$44,2,FALSE),"-- Error --")</f>
        <v>-- Error --</v>
      </c>
      <c r="Q70" s="17" t="str">
        <f>IFERROR(RiskRegister[[#This Row],[Inherent Impact Rating]]*RiskRegister[[#This Row],[Inherent Likelihood Rating]],"-- Error --")</f>
        <v>-- Error --</v>
      </c>
      <c r="R70" s="16" t="s">
        <v>98</v>
      </c>
      <c r="T70" s="16" t="s">
        <v>99</v>
      </c>
      <c r="U70" s="17" t="e" cm="1">
        <f t="array" aca="1" ref="U70" ca="1">+U70:Y1019VLOOKUP(RiskRegister[[#This Row],[Residual Impact Level]],'Rating factors'!$F$4:$G$9,2,FALSE)</f>
        <v>#NAME?</v>
      </c>
      <c r="V70" s="16" t="s">
        <v>79</v>
      </c>
      <c r="W70" s="17" t="str">
        <f>VLOOKUP(RiskRegister[[#This Row],[Residual Likelihood Level]],'Rating factors'!$F$16:$G$21,2,FALSE)</f>
        <v>--- Error ---</v>
      </c>
      <c r="X70" s="17" t="str">
        <f ca="1">IFERROR(VLOOKUP(RiskRegister[[#This Row],[Residual Risk Rating]],'Rating factors'!$F$30:$G$44,2,FALSE),"-- Error --")</f>
        <v>-- Error --</v>
      </c>
      <c r="Y70" s="17" t="str">
        <f ca="1">IFERROR(RiskRegister[[#This Row],[Residual Impact Rating]]*RiskRegister[[#This Row],[Residual Likelihood Rating]],"-- Error --")</f>
        <v>-- Error --</v>
      </c>
      <c r="Z70" s="16" t="s">
        <v>100</v>
      </c>
      <c r="AB70" s="39"/>
      <c r="AD70" s="20"/>
    </row>
    <row r="71" spans="1:30" s="16" customFormat="1" hidden="1" x14ac:dyDescent="0.25">
      <c r="A71" s="16">
        <v>68</v>
      </c>
      <c r="G71" s="16" t="s">
        <v>77</v>
      </c>
      <c r="I71" s="16" t="s">
        <v>75</v>
      </c>
      <c r="L71" s="105" t="s">
        <v>99</v>
      </c>
      <c r="M71" s="17" t="str">
        <f>VLOOKUP(RiskRegister[[#This Row],[Inherent Impact LevelL3:L1020D1007L3:L1019]],'Rating factors'!$F$4:$G$9,2,FALSE)</f>
        <v>--- Error ---</v>
      </c>
      <c r="N71" s="16" t="s">
        <v>79</v>
      </c>
      <c r="O71" s="17" t="str">
        <f>VLOOKUP(RiskRegister[[#This Row],[Inherent Likelihood Level]],'Rating factors'!$F$16:$G$21,2,FALSE)</f>
        <v>--- Error ---</v>
      </c>
      <c r="P71" s="17" t="str">
        <f>IFERROR(VLOOKUP(RiskRegister[[#This Row],[Inherent Risk Rating]],'Rating factors'!$F$30:$G$44,2,FALSE),"-- Error --")</f>
        <v>-- Error --</v>
      </c>
      <c r="Q71" s="17" t="str">
        <f>IFERROR(RiskRegister[[#This Row],[Inherent Impact Rating]]*RiskRegister[[#This Row],[Inherent Likelihood Rating]],"-- Error --")</f>
        <v>-- Error --</v>
      </c>
      <c r="R71" s="16" t="s">
        <v>98</v>
      </c>
      <c r="T71" s="16" t="s">
        <v>99</v>
      </c>
      <c r="U71" s="17" t="e" cm="1">
        <f t="array" aca="1" ref="U71" ca="1">+U71:Y1019VLOOKUP(RiskRegister[[#This Row],[Residual Impact Level]],'Rating factors'!$F$4:$G$9,2,FALSE)</f>
        <v>#NAME?</v>
      </c>
      <c r="V71" s="16" t="s">
        <v>79</v>
      </c>
      <c r="W71" s="17" t="str">
        <f>VLOOKUP(RiskRegister[[#This Row],[Residual Likelihood Level]],'Rating factors'!$F$16:$G$21,2,FALSE)</f>
        <v>--- Error ---</v>
      </c>
      <c r="X71" s="17" t="str">
        <f ca="1">IFERROR(VLOOKUP(RiskRegister[[#This Row],[Residual Risk Rating]],'Rating factors'!$F$30:$G$44,2,FALSE),"-- Error --")</f>
        <v>-- Error --</v>
      </c>
      <c r="Y71" s="17" t="str">
        <f ca="1">IFERROR(RiskRegister[[#This Row],[Residual Impact Rating]]*RiskRegister[[#This Row],[Residual Likelihood Rating]],"-- Error --")</f>
        <v>-- Error --</v>
      </c>
      <c r="Z71" s="16" t="s">
        <v>100</v>
      </c>
      <c r="AB71" s="39"/>
      <c r="AD71" s="20"/>
    </row>
    <row r="72" spans="1:30" s="16" customFormat="1" hidden="1" x14ac:dyDescent="0.25">
      <c r="A72" s="16">
        <v>69</v>
      </c>
      <c r="G72" s="16" t="s">
        <v>77</v>
      </c>
      <c r="I72" s="16" t="s">
        <v>75</v>
      </c>
      <c r="L72" s="105" t="s">
        <v>99</v>
      </c>
      <c r="M72" s="17" t="str">
        <f>VLOOKUP(RiskRegister[[#This Row],[Inherent Impact LevelL3:L1020D1007L3:L1019]],'Rating factors'!$F$4:$G$9,2,FALSE)</f>
        <v>--- Error ---</v>
      </c>
      <c r="N72" s="16" t="s">
        <v>79</v>
      </c>
      <c r="O72" s="17" t="str">
        <f>VLOOKUP(RiskRegister[[#This Row],[Inherent Likelihood Level]],'Rating factors'!$F$16:$G$21,2,FALSE)</f>
        <v>--- Error ---</v>
      </c>
      <c r="P72" s="17" t="str">
        <f>IFERROR(VLOOKUP(RiskRegister[[#This Row],[Inherent Risk Rating]],'Rating factors'!$F$30:$G$44,2,FALSE),"-- Error --")</f>
        <v>-- Error --</v>
      </c>
      <c r="Q72" s="17" t="str">
        <f>IFERROR(RiskRegister[[#This Row],[Inherent Impact Rating]]*RiskRegister[[#This Row],[Inherent Likelihood Rating]],"-- Error --")</f>
        <v>-- Error --</v>
      </c>
      <c r="R72" s="16" t="s">
        <v>98</v>
      </c>
      <c r="T72" s="16" t="s">
        <v>99</v>
      </c>
      <c r="U72" s="17" t="e" cm="1">
        <f t="array" aca="1" ref="U72" ca="1">+U72:Y1019VLOOKUP(RiskRegister[[#This Row],[Residual Impact Level]],'Rating factors'!$F$4:$G$9,2,FALSE)</f>
        <v>#NAME?</v>
      </c>
      <c r="V72" s="16" t="s">
        <v>79</v>
      </c>
      <c r="W72" s="17" t="str">
        <f>VLOOKUP(RiskRegister[[#This Row],[Residual Likelihood Level]],'Rating factors'!$F$16:$G$21,2,FALSE)</f>
        <v>--- Error ---</v>
      </c>
      <c r="X72" s="17" t="str">
        <f ca="1">IFERROR(VLOOKUP(RiskRegister[[#This Row],[Residual Risk Rating]],'Rating factors'!$F$30:$G$44,2,FALSE),"-- Error --")</f>
        <v>-- Error --</v>
      </c>
      <c r="Y72" s="17" t="str">
        <f ca="1">IFERROR(RiskRegister[[#This Row],[Residual Impact Rating]]*RiskRegister[[#This Row],[Residual Likelihood Rating]],"-- Error --")</f>
        <v>-- Error --</v>
      </c>
      <c r="Z72" s="16" t="s">
        <v>100</v>
      </c>
      <c r="AB72" s="39"/>
      <c r="AD72" s="20"/>
    </row>
    <row r="73" spans="1:30" s="16" customFormat="1" hidden="1" x14ac:dyDescent="0.25">
      <c r="A73" s="16">
        <v>70</v>
      </c>
      <c r="G73" s="16" t="s">
        <v>77</v>
      </c>
      <c r="I73" s="16" t="s">
        <v>75</v>
      </c>
      <c r="L73" s="105" t="s">
        <v>99</v>
      </c>
      <c r="M73" s="17" t="str">
        <f>VLOOKUP(RiskRegister[[#This Row],[Inherent Impact LevelL3:L1020D1007L3:L1019]],'Rating factors'!$F$4:$G$9,2,FALSE)</f>
        <v>--- Error ---</v>
      </c>
      <c r="N73" s="16" t="s">
        <v>79</v>
      </c>
      <c r="O73" s="17" t="str">
        <f>VLOOKUP(RiskRegister[[#This Row],[Inherent Likelihood Level]],'Rating factors'!$F$16:$G$21,2,FALSE)</f>
        <v>--- Error ---</v>
      </c>
      <c r="P73" s="17" t="str">
        <f>IFERROR(VLOOKUP(RiskRegister[[#This Row],[Inherent Risk Rating]],'Rating factors'!$F$30:$G$44,2,FALSE),"-- Error --")</f>
        <v>-- Error --</v>
      </c>
      <c r="Q73" s="17" t="str">
        <f>IFERROR(RiskRegister[[#This Row],[Inherent Impact Rating]]*RiskRegister[[#This Row],[Inherent Likelihood Rating]],"-- Error --")</f>
        <v>-- Error --</v>
      </c>
      <c r="R73" s="16" t="s">
        <v>98</v>
      </c>
      <c r="T73" s="16" t="s">
        <v>99</v>
      </c>
      <c r="U73" s="17" t="e" cm="1">
        <f t="array" aca="1" ref="U73" ca="1">+U73:Y1019VLOOKUP(RiskRegister[[#This Row],[Residual Impact Level]],'Rating factors'!$F$4:$G$9,2,FALSE)</f>
        <v>#NAME?</v>
      </c>
      <c r="V73" s="16" t="s">
        <v>79</v>
      </c>
      <c r="W73" s="17" t="str">
        <f>VLOOKUP(RiskRegister[[#This Row],[Residual Likelihood Level]],'Rating factors'!$F$16:$G$21,2,FALSE)</f>
        <v>--- Error ---</v>
      </c>
      <c r="X73" s="17" t="str">
        <f ca="1">IFERROR(VLOOKUP(RiskRegister[[#This Row],[Residual Risk Rating]],'Rating factors'!$F$30:$G$44,2,FALSE),"-- Error --")</f>
        <v>-- Error --</v>
      </c>
      <c r="Y73" s="17" t="str">
        <f ca="1">IFERROR(RiskRegister[[#This Row],[Residual Impact Rating]]*RiskRegister[[#This Row],[Residual Likelihood Rating]],"-- Error --")</f>
        <v>-- Error --</v>
      </c>
      <c r="Z73" s="16" t="s">
        <v>100</v>
      </c>
      <c r="AB73" s="39"/>
      <c r="AD73" s="20"/>
    </row>
    <row r="74" spans="1:30" s="16" customFormat="1" hidden="1" x14ac:dyDescent="0.25">
      <c r="A74" s="16">
        <v>71</v>
      </c>
      <c r="G74" s="16" t="s">
        <v>77</v>
      </c>
      <c r="I74" s="16" t="s">
        <v>75</v>
      </c>
      <c r="L74" s="105" t="s">
        <v>99</v>
      </c>
      <c r="M74" s="17" t="str">
        <f>VLOOKUP(RiskRegister[[#This Row],[Inherent Impact LevelL3:L1020D1007L3:L1019]],'Rating factors'!$F$4:$G$9,2,FALSE)</f>
        <v>--- Error ---</v>
      </c>
      <c r="N74" s="16" t="s">
        <v>79</v>
      </c>
      <c r="O74" s="17" t="str">
        <f>VLOOKUP(RiskRegister[[#This Row],[Inherent Likelihood Level]],'Rating factors'!$F$16:$G$21,2,FALSE)</f>
        <v>--- Error ---</v>
      </c>
      <c r="P74" s="17" t="str">
        <f>IFERROR(VLOOKUP(RiskRegister[[#This Row],[Inherent Risk Rating]],'Rating factors'!$F$30:$G$44,2,FALSE),"-- Error --")</f>
        <v>-- Error --</v>
      </c>
      <c r="Q74" s="17" t="str">
        <f>IFERROR(RiskRegister[[#This Row],[Inherent Impact Rating]]*RiskRegister[[#This Row],[Inherent Likelihood Rating]],"-- Error --")</f>
        <v>-- Error --</v>
      </c>
      <c r="R74" s="16" t="s">
        <v>98</v>
      </c>
      <c r="T74" s="16" t="s">
        <v>99</v>
      </c>
      <c r="U74" s="17" t="e" cm="1">
        <f t="array" aca="1" ref="U74" ca="1">+U74:Y1019VLOOKUP(RiskRegister[[#This Row],[Residual Impact Level]],'Rating factors'!$F$4:$G$9,2,FALSE)</f>
        <v>#NAME?</v>
      </c>
      <c r="V74" s="16" t="s">
        <v>79</v>
      </c>
      <c r="W74" s="17" t="str">
        <f>VLOOKUP(RiskRegister[[#This Row],[Residual Likelihood Level]],'Rating factors'!$F$16:$G$21,2,FALSE)</f>
        <v>--- Error ---</v>
      </c>
      <c r="X74" s="17" t="str">
        <f ca="1">IFERROR(VLOOKUP(RiskRegister[[#This Row],[Residual Risk Rating]],'Rating factors'!$F$30:$G$44,2,FALSE),"-- Error --")</f>
        <v>-- Error --</v>
      </c>
      <c r="Y74" s="17" t="str">
        <f ca="1">IFERROR(RiskRegister[[#This Row],[Residual Impact Rating]]*RiskRegister[[#This Row],[Residual Likelihood Rating]],"-- Error --")</f>
        <v>-- Error --</v>
      </c>
      <c r="Z74" s="16" t="s">
        <v>100</v>
      </c>
      <c r="AB74" s="39"/>
      <c r="AD74" s="20"/>
    </row>
    <row r="75" spans="1:30" s="16" customFormat="1" hidden="1" x14ac:dyDescent="0.25">
      <c r="A75" s="16">
        <v>72</v>
      </c>
      <c r="G75" s="16" t="s">
        <v>77</v>
      </c>
      <c r="I75" s="16" t="s">
        <v>75</v>
      </c>
      <c r="L75" s="105" t="s">
        <v>99</v>
      </c>
      <c r="M75" s="17" t="str">
        <f>VLOOKUP(RiskRegister[[#This Row],[Inherent Impact LevelL3:L1020D1007L3:L1019]],'Rating factors'!$F$4:$G$9,2,FALSE)</f>
        <v>--- Error ---</v>
      </c>
      <c r="N75" s="16" t="s">
        <v>79</v>
      </c>
      <c r="O75" s="17" t="str">
        <f>VLOOKUP(RiskRegister[[#This Row],[Inherent Likelihood Level]],'Rating factors'!$F$16:$G$21,2,FALSE)</f>
        <v>--- Error ---</v>
      </c>
      <c r="P75" s="17" t="str">
        <f>IFERROR(VLOOKUP(RiskRegister[[#This Row],[Inherent Risk Rating]],'Rating factors'!$F$30:$G$44,2,FALSE),"-- Error --")</f>
        <v>-- Error --</v>
      </c>
      <c r="Q75" s="17" t="str">
        <f>IFERROR(RiskRegister[[#This Row],[Inherent Impact Rating]]*RiskRegister[[#This Row],[Inherent Likelihood Rating]],"-- Error --")</f>
        <v>-- Error --</v>
      </c>
      <c r="R75" s="16" t="s">
        <v>98</v>
      </c>
      <c r="T75" s="16" t="s">
        <v>99</v>
      </c>
      <c r="U75" s="17" t="e" cm="1">
        <f t="array" aca="1" ref="U75" ca="1">+U75:Y1019VLOOKUP(RiskRegister[[#This Row],[Residual Impact Level]],'Rating factors'!$F$4:$G$9,2,FALSE)</f>
        <v>#NAME?</v>
      </c>
      <c r="V75" s="16" t="s">
        <v>79</v>
      </c>
      <c r="W75" s="17" t="str">
        <f>VLOOKUP(RiskRegister[[#This Row],[Residual Likelihood Level]],'Rating factors'!$F$16:$G$21,2,FALSE)</f>
        <v>--- Error ---</v>
      </c>
      <c r="X75" s="17" t="str">
        <f ca="1">IFERROR(VLOOKUP(RiskRegister[[#This Row],[Residual Risk Rating]],'Rating factors'!$F$30:$G$44,2,FALSE),"-- Error --")</f>
        <v>-- Error --</v>
      </c>
      <c r="Y75" s="17" t="str">
        <f ca="1">IFERROR(RiskRegister[[#This Row],[Residual Impact Rating]]*RiskRegister[[#This Row],[Residual Likelihood Rating]],"-- Error --")</f>
        <v>-- Error --</v>
      </c>
      <c r="Z75" s="16" t="s">
        <v>100</v>
      </c>
      <c r="AB75" s="39"/>
      <c r="AD75" s="20"/>
    </row>
    <row r="76" spans="1:30" s="16" customFormat="1" hidden="1" x14ac:dyDescent="0.25">
      <c r="A76" s="16">
        <v>73</v>
      </c>
      <c r="G76" s="16" t="s">
        <v>77</v>
      </c>
      <c r="I76" s="16" t="s">
        <v>75</v>
      </c>
      <c r="L76" s="105" t="s">
        <v>99</v>
      </c>
      <c r="M76" s="17" t="str">
        <f>VLOOKUP(RiskRegister[[#This Row],[Inherent Impact LevelL3:L1020D1007L3:L1019]],'Rating factors'!$F$4:$G$9,2,FALSE)</f>
        <v>--- Error ---</v>
      </c>
      <c r="N76" s="16" t="s">
        <v>79</v>
      </c>
      <c r="O76" s="17" t="str">
        <f>VLOOKUP(RiskRegister[[#This Row],[Inherent Likelihood Level]],'Rating factors'!$F$16:$G$21,2,FALSE)</f>
        <v>--- Error ---</v>
      </c>
      <c r="P76" s="17" t="str">
        <f>IFERROR(VLOOKUP(RiskRegister[[#This Row],[Inherent Risk Rating]],'Rating factors'!$F$30:$G$44,2,FALSE),"-- Error --")</f>
        <v>-- Error --</v>
      </c>
      <c r="Q76" s="17" t="str">
        <f>IFERROR(RiskRegister[[#This Row],[Inherent Impact Rating]]*RiskRegister[[#This Row],[Inherent Likelihood Rating]],"-- Error --")</f>
        <v>-- Error --</v>
      </c>
      <c r="R76" s="16" t="s">
        <v>98</v>
      </c>
      <c r="T76" s="16" t="s">
        <v>99</v>
      </c>
      <c r="U76" s="17" t="e" cm="1">
        <f t="array" aca="1" ref="U76" ca="1">+U76:Y1019VLOOKUP(RiskRegister[[#This Row],[Residual Impact Level]],'Rating factors'!$F$4:$G$9,2,FALSE)</f>
        <v>#NAME?</v>
      </c>
      <c r="V76" s="16" t="s">
        <v>79</v>
      </c>
      <c r="W76" s="17" t="str">
        <f>VLOOKUP(RiskRegister[[#This Row],[Residual Likelihood Level]],'Rating factors'!$F$16:$G$21,2,FALSE)</f>
        <v>--- Error ---</v>
      </c>
      <c r="X76" s="17" t="str">
        <f ca="1">IFERROR(VLOOKUP(RiskRegister[[#This Row],[Residual Risk Rating]],'Rating factors'!$F$30:$G$44,2,FALSE),"-- Error --")</f>
        <v>-- Error --</v>
      </c>
      <c r="Y76" s="17" t="str">
        <f ca="1">IFERROR(RiskRegister[[#This Row],[Residual Impact Rating]]*RiskRegister[[#This Row],[Residual Likelihood Rating]],"-- Error --")</f>
        <v>-- Error --</v>
      </c>
      <c r="Z76" s="16" t="s">
        <v>100</v>
      </c>
      <c r="AB76" s="39"/>
      <c r="AD76" s="20"/>
    </row>
    <row r="77" spans="1:30" s="16" customFormat="1" hidden="1" x14ac:dyDescent="0.25">
      <c r="A77" s="16">
        <v>74</v>
      </c>
      <c r="G77" s="16" t="s">
        <v>77</v>
      </c>
      <c r="I77" s="16" t="s">
        <v>75</v>
      </c>
      <c r="L77" s="105" t="s">
        <v>99</v>
      </c>
      <c r="M77" s="17" t="str">
        <f>VLOOKUP(RiskRegister[[#This Row],[Inherent Impact LevelL3:L1020D1007L3:L1019]],'Rating factors'!$F$4:$G$9,2,FALSE)</f>
        <v>--- Error ---</v>
      </c>
      <c r="N77" s="16" t="s">
        <v>79</v>
      </c>
      <c r="O77" s="17" t="str">
        <f>VLOOKUP(RiskRegister[[#This Row],[Inherent Likelihood Level]],'Rating factors'!$F$16:$G$21,2,FALSE)</f>
        <v>--- Error ---</v>
      </c>
      <c r="P77" s="17" t="str">
        <f>IFERROR(VLOOKUP(RiskRegister[[#This Row],[Inherent Risk Rating]],'Rating factors'!$F$30:$G$44,2,FALSE),"-- Error --")</f>
        <v>-- Error --</v>
      </c>
      <c r="Q77" s="17" t="str">
        <f>IFERROR(RiskRegister[[#This Row],[Inherent Impact Rating]]*RiskRegister[[#This Row],[Inherent Likelihood Rating]],"-- Error --")</f>
        <v>-- Error --</v>
      </c>
      <c r="R77" s="16" t="s">
        <v>98</v>
      </c>
      <c r="T77" s="16" t="s">
        <v>99</v>
      </c>
      <c r="U77" s="17" t="e" cm="1">
        <f t="array" aca="1" ref="U77" ca="1">+U77:Y1019VLOOKUP(RiskRegister[[#This Row],[Residual Impact Level]],'Rating factors'!$F$4:$G$9,2,FALSE)</f>
        <v>#NAME?</v>
      </c>
      <c r="V77" s="16" t="s">
        <v>79</v>
      </c>
      <c r="W77" s="17" t="str">
        <f>VLOOKUP(RiskRegister[[#This Row],[Residual Likelihood Level]],'Rating factors'!$F$16:$G$21,2,FALSE)</f>
        <v>--- Error ---</v>
      </c>
      <c r="X77" s="17" t="str">
        <f ca="1">IFERROR(VLOOKUP(RiskRegister[[#This Row],[Residual Risk Rating]],'Rating factors'!$F$30:$G$44,2,FALSE),"-- Error --")</f>
        <v>-- Error --</v>
      </c>
      <c r="Y77" s="17" t="str">
        <f ca="1">IFERROR(RiskRegister[[#This Row],[Residual Impact Rating]]*RiskRegister[[#This Row],[Residual Likelihood Rating]],"-- Error --")</f>
        <v>-- Error --</v>
      </c>
      <c r="Z77" s="16" t="s">
        <v>100</v>
      </c>
      <c r="AB77" s="39"/>
      <c r="AD77" s="20"/>
    </row>
    <row r="78" spans="1:30" s="16" customFormat="1" hidden="1" x14ac:dyDescent="0.25">
      <c r="A78" s="16">
        <v>75</v>
      </c>
      <c r="G78" s="16" t="s">
        <v>77</v>
      </c>
      <c r="I78" s="16" t="s">
        <v>75</v>
      </c>
      <c r="L78" s="105" t="s">
        <v>99</v>
      </c>
      <c r="M78" s="17" t="str">
        <f>VLOOKUP(RiskRegister[[#This Row],[Inherent Impact LevelL3:L1020D1007L3:L1019]],'Rating factors'!$F$4:$G$9,2,FALSE)</f>
        <v>--- Error ---</v>
      </c>
      <c r="N78" s="16" t="s">
        <v>79</v>
      </c>
      <c r="O78" s="17" t="str">
        <f>VLOOKUP(RiskRegister[[#This Row],[Inherent Likelihood Level]],'Rating factors'!$F$16:$G$21,2,FALSE)</f>
        <v>--- Error ---</v>
      </c>
      <c r="P78" s="17" t="str">
        <f>IFERROR(VLOOKUP(RiskRegister[[#This Row],[Inherent Risk Rating]],'Rating factors'!$F$30:$G$44,2,FALSE),"-- Error --")</f>
        <v>-- Error --</v>
      </c>
      <c r="Q78" s="17" t="str">
        <f>IFERROR(RiskRegister[[#This Row],[Inherent Impact Rating]]*RiskRegister[[#This Row],[Inherent Likelihood Rating]],"-- Error --")</f>
        <v>-- Error --</v>
      </c>
      <c r="R78" s="16" t="s">
        <v>98</v>
      </c>
      <c r="T78" s="16" t="s">
        <v>99</v>
      </c>
      <c r="U78" s="17" t="e" cm="1">
        <f t="array" aca="1" ref="U78" ca="1">+U78:Y1019VLOOKUP(RiskRegister[[#This Row],[Residual Impact Level]],'Rating factors'!$F$4:$G$9,2,FALSE)</f>
        <v>#NAME?</v>
      </c>
      <c r="V78" s="16" t="s">
        <v>79</v>
      </c>
      <c r="W78" s="17" t="str">
        <f>VLOOKUP(RiskRegister[[#This Row],[Residual Likelihood Level]],'Rating factors'!$F$16:$G$21,2,FALSE)</f>
        <v>--- Error ---</v>
      </c>
      <c r="X78" s="17" t="str">
        <f ca="1">IFERROR(VLOOKUP(RiskRegister[[#This Row],[Residual Risk Rating]],'Rating factors'!$F$30:$G$44,2,FALSE),"-- Error --")</f>
        <v>-- Error --</v>
      </c>
      <c r="Y78" s="17" t="str">
        <f ca="1">IFERROR(RiskRegister[[#This Row],[Residual Impact Rating]]*RiskRegister[[#This Row],[Residual Likelihood Rating]],"-- Error --")</f>
        <v>-- Error --</v>
      </c>
      <c r="Z78" s="16" t="s">
        <v>100</v>
      </c>
      <c r="AB78" s="39"/>
      <c r="AD78" s="20"/>
    </row>
    <row r="79" spans="1:30" s="16" customFormat="1" hidden="1" x14ac:dyDescent="0.25">
      <c r="A79" s="16">
        <v>76</v>
      </c>
      <c r="G79" s="16" t="s">
        <v>77</v>
      </c>
      <c r="I79" s="16" t="s">
        <v>75</v>
      </c>
      <c r="L79" s="105" t="s">
        <v>99</v>
      </c>
      <c r="M79" s="17" t="str">
        <f>VLOOKUP(RiskRegister[[#This Row],[Inherent Impact LevelL3:L1020D1007L3:L1019]],'Rating factors'!$F$4:$G$9,2,FALSE)</f>
        <v>--- Error ---</v>
      </c>
      <c r="N79" s="16" t="s">
        <v>79</v>
      </c>
      <c r="O79" s="17" t="str">
        <f>VLOOKUP(RiskRegister[[#This Row],[Inherent Likelihood Level]],'Rating factors'!$F$16:$G$21,2,FALSE)</f>
        <v>--- Error ---</v>
      </c>
      <c r="P79" s="17" t="str">
        <f>IFERROR(VLOOKUP(RiskRegister[[#This Row],[Inherent Risk Rating]],'Rating factors'!$F$30:$G$44,2,FALSE),"-- Error --")</f>
        <v>-- Error --</v>
      </c>
      <c r="Q79" s="17" t="str">
        <f>IFERROR(RiskRegister[[#This Row],[Inherent Impact Rating]]*RiskRegister[[#This Row],[Inherent Likelihood Rating]],"-- Error --")</f>
        <v>-- Error --</v>
      </c>
      <c r="R79" s="16" t="s">
        <v>98</v>
      </c>
      <c r="T79" s="16" t="s">
        <v>99</v>
      </c>
      <c r="U79" s="17" t="e" cm="1">
        <f t="array" aca="1" ref="U79" ca="1">+U79:Y1019VLOOKUP(RiskRegister[[#This Row],[Residual Impact Level]],'Rating factors'!$F$4:$G$9,2,FALSE)</f>
        <v>#NAME?</v>
      </c>
      <c r="V79" s="16" t="s">
        <v>79</v>
      </c>
      <c r="W79" s="17" t="str">
        <f>VLOOKUP(RiskRegister[[#This Row],[Residual Likelihood Level]],'Rating factors'!$F$16:$G$21,2,FALSE)</f>
        <v>--- Error ---</v>
      </c>
      <c r="X79" s="17" t="str">
        <f ca="1">IFERROR(VLOOKUP(RiskRegister[[#This Row],[Residual Risk Rating]],'Rating factors'!$F$30:$G$44,2,FALSE),"-- Error --")</f>
        <v>-- Error --</v>
      </c>
      <c r="Y79" s="17" t="str">
        <f ca="1">IFERROR(RiskRegister[[#This Row],[Residual Impact Rating]]*RiskRegister[[#This Row],[Residual Likelihood Rating]],"-- Error --")</f>
        <v>-- Error --</v>
      </c>
      <c r="Z79" s="16" t="s">
        <v>100</v>
      </c>
      <c r="AB79" s="39"/>
      <c r="AD79" s="20"/>
    </row>
    <row r="80" spans="1:30" s="16" customFormat="1" hidden="1" x14ac:dyDescent="0.25">
      <c r="A80" s="16">
        <v>77</v>
      </c>
      <c r="G80" s="16" t="s">
        <v>77</v>
      </c>
      <c r="I80" s="16" t="s">
        <v>75</v>
      </c>
      <c r="L80" s="105" t="s">
        <v>99</v>
      </c>
      <c r="M80" s="17" t="str">
        <f>VLOOKUP(RiskRegister[[#This Row],[Inherent Impact LevelL3:L1020D1007L3:L1019]],'Rating factors'!$F$4:$G$9,2,FALSE)</f>
        <v>--- Error ---</v>
      </c>
      <c r="N80" s="16" t="s">
        <v>79</v>
      </c>
      <c r="O80" s="17" t="str">
        <f>VLOOKUP(RiskRegister[[#This Row],[Inherent Likelihood Level]],'Rating factors'!$F$16:$G$21,2,FALSE)</f>
        <v>--- Error ---</v>
      </c>
      <c r="P80" s="17" t="str">
        <f>IFERROR(VLOOKUP(RiskRegister[[#This Row],[Inherent Risk Rating]],'Rating factors'!$F$30:$G$44,2,FALSE),"-- Error --")</f>
        <v>-- Error --</v>
      </c>
      <c r="Q80" s="17" t="str">
        <f>IFERROR(RiskRegister[[#This Row],[Inherent Impact Rating]]*RiskRegister[[#This Row],[Inherent Likelihood Rating]],"-- Error --")</f>
        <v>-- Error --</v>
      </c>
      <c r="R80" s="16" t="s">
        <v>98</v>
      </c>
      <c r="T80" s="16" t="s">
        <v>99</v>
      </c>
      <c r="U80" s="17" t="e" cm="1">
        <f t="array" aca="1" ref="U80" ca="1">+U80:Y1019VLOOKUP(RiskRegister[[#This Row],[Residual Impact Level]],'Rating factors'!$F$4:$G$9,2,FALSE)</f>
        <v>#NAME?</v>
      </c>
      <c r="V80" s="16" t="s">
        <v>79</v>
      </c>
      <c r="W80" s="17" t="str">
        <f>VLOOKUP(RiskRegister[[#This Row],[Residual Likelihood Level]],'Rating factors'!$F$16:$G$21,2,FALSE)</f>
        <v>--- Error ---</v>
      </c>
      <c r="X80" s="17" t="str">
        <f ca="1">IFERROR(VLOOKUP(RiskRegister[[#This Row],[Residual Risk Rating]],'Rating factors'!$F$30:$G$44,2,FALSE),"-- Error --")</f>
        <v>-- Error --</v>
      </c>
      <c r="Y80" s="17" t="str">
        <f ca="1">IFERROR(RiskRegister[[#This Row],[Residual Impact Rating]]*RiskRegister[[#This Row],[Residual Likelihood Rating]],"-- Error --")</f>
        <v>-- Error --</v>
      </c>
      <c r="Z80" s="16" t="s">
        <v>100</v>
      </c>
      <c r="AB80" s="39"/>
      <c r="AD80" s="20"/>
    </row>
    <row r="81" spans="1:30" s="16" customFormat="1" hidden="1" x14ac:dyDescent="0.25">
      <c r="A81" s="16">
        <v>78</v>
      </c>
      <c r="G81" s="16" t="s">
        <v>77</v>
      </c>
      <c r="I81" s="16" t="s">
        <v>75</v>
      </c>
      <c r="L81" s="105" t="s">
        <v>99</v>
      </c>
      <c r="M81" s="17" t="str">
        <f>VLOOKUP(RiskRegister[[#This Row],[Inherent Impact LevelL3:L1020D1007L3:L1019]],'Rating factors'!$F$4:$G$9,2,FALSE)</f>
        <v>--- Error ---</v>
      </c>
      <c r="N81" s="16" t="s">
        <v>79</v>
      </c>
      <c r="O81" s="17" t="str">
        <f>VLOOKUP(RiskRegister[[#This Row],[Inherent Likelihood Level]],'Rating factors'!$F$16:$G$21,2,FALSE)</f>
        <v>--- Error ---</v>
      </c>
      <c r="P81" s="17" t="str">
        <f>IFERROR(VLOOKUP(RiskRegister[[#This Row],[Inherent Risk Rating]],'Rating factors'!$F$30:$G$44,2,FALSE),"-- Error --")</f>
        <v>-- Error --</v>
      </c>
      <c r="Q81" s="17" t="str">
        <f>IFERROR(RiskRegister[[#This Row],[Inherent Impact Rating]]*RiskRegister[[#This Row],[Inherent Likelihood Rating]],"-- Error --")</f>
        <v>-- Error --</v>
      </c>
      <c r="R81" s="16" t="s">
        <v>98</v>
      </c>
      <c r="T81" s="16" t="s">
        <v>99</v>
      </c>
      <c r="U81" s="17" t="e" cm="1">
        <f t="array" aca="1" ref="U81" ca="1">+U81:Y1019VLOOKUP(RiskRegister[[#This Row],[Residual Impact Level]],'Rating factors'!$F$4:$G$9,2,FALSE)</f>
        <v>#NAME?</v>
      </c>
      <c r="V81" s="16" t="s">
        <v>79</v>
      </c>
      <c r="W81" s="17" t="str">
        <f>VLOOKUP(RiskRegister[[#This Row],[Residual Likelihood Level]],'Rating factors'!$F$16:$G$21,2,FALSE)</f>
        <v>--- Error ---</v>
      </c>
      <c r="X81" s="17" t="str">
        <f ca="1">IFERROR(VLOOKUP(RiskRegister[[#This Row],[Residual Risk Rating]],'Rating factors'!$F$30:$G$44,2,FALSE),"-- Error --")</f>
        <v>-- Error --</v>
      </c>
      <c r="Y81" s="17" t="str">
        <f ca="1">IFERROR(RiskRegister[[#This Row],[Residual Impact Rating]]*RiskRegister[[#This Row],[Residual Likelihood Rating]],"-- Error --")</f>
        <v>-- Error --</v>
      </c>
      <c r="Z81" s="16" t="s">
        <v>100</v>
      </c>
      <c r="AB81" s="39"/>
      <c r="AD81" s="20"/>
    </row>
    <row r="82" spans="1:30" s="16" customFormat="1" hidden="1" x14ac:dyDescent="0.25">
      <c r="A82" s="16">
        <v>79</v>
      </c>
      <c r="G82" s="16" t="s">
        <v>77</v>
      </c>
      <c r="I82" s="16" t="s">
        <v>75</v>
      </c>
      <c r="L82" s="105" t="s">
        <v>99</v>
      </c>
      <c r="M82" s="17" t="str">
        <f>VLOOKUP(RiskRegister[[#This Row],[Inherent Impact LevelL3:L1020D1007L3:L1019]],'Rating factors'!$F$4:$G$9,2,FALSE)</f>
        <v>--- Error ---</v>
      </c>
      <c r="N82" s="16" t="s">
        <v>79</v>
      </c>
      <c r="O82" s="17" t="str">
        <f>VLOOKUP(RiskRegister[[#This Row],[Inherent Likelihood Level]],'Rating factors'!$F$16:$G$21,2,FALSE)</f>
        <v>--- Error ---</v>
      </c>
      <c r="P82" s="17" t="str">
        <f>IFERROR(VLOOKUP(RiskRegister[[#This Row],[Inherent Risk Rating]],'Rating factors'!$F$30:$G$44,2,FALSE),"-- Error --")</f>
        <v>-- Error --</v>
      </c>
      <c r="Q82" s="17" t="str">
        <f>IFERROR(RiskRegister[[#This Row],[Inherent Impact Rating]]*RiskRegister[[#This Row],[Inherent Likelihood Rating]],"-- Error --")</f>
        <v>-- Error --</v>
      </c>
      <c r="R82" s="16" t="s">
        <v>98</v>
      </c>
      <c r="T82" s="16" t="s">
        <v>99</v>
      </c>
      <c r="U82" s="17" t="e" cm="1">
        <f t="array" aca="1" ref="U82" ca="1">+U82:Y1019VLOOKUP(RiskRegister[[#This Row],[Residual Impact Level]],'Rating factors'!$F$4:$G$9,2,FALSE)</f>
        <v>#NAME?</v>
      </c>
      <c r="V82" s="16" t="s">
        <v>79</v>
      </c>
      <c r="W82" s="17" t="str">
        <f>VLOOKUP(RiskRegister[[#This Row],[Residual Likelihood Level]],'Rating factors'!$F$16:$G$21,2,FALSE)</f>
        <v>--- Error ---</v>
      </c>
      <c r="X82" s="17" t="str">
        <f ca="1">IFERROR(VLOOKUP(RiskRegister[[#This Row],[Residual Risk Rating]],'Rating factors'!$F$30:$G$44,2,FALSE),"-- Error --")</f>
        <v>-- Error --</v>
      </c>
      <c r="Y82" s="17" t="str">
        <f ca="1">IFERROR(RiskRegister[[#This Row],[Residual Impact Rating]]*RiskRegister[[#This Row],[Residual Likelihood Rating]],"-- Error --")</f>
        <v>-- Error --</v>
      </c>
      <c r="Z82" s="16" t="s">
        <v>100</v>
      </c>
      <c r="AB82" s="39"/>
      <c r="AD82" s="20"/>
    </row>
    <row r="83" spans="1:30" s="16" customFormat="1" hidden="1" x14ac:dyDescent="0.25">
      <c r="A83" s="16">
        <v>80</v>
      </c>
      <c r="G83" s="16" t="s">
        <v>77</v>
      </c>
      <c r="I83" s="16" t="s">
        <v>75</v>
      </c>
      <c r="L83" s="105" t="s">
        <v>99</v>
      </c>
      <c r="M83" s="17" t="str">
        <f>VLOOKUP(RiskRegister[[#This Row],[Inherent Impact LevelL3:L1020D1007L3:L1019]],'Rating factors'!$F$4:$G$9,2,FALSE)</f>
        <v>--- Error ---</v>
      </c>
      <c r="N83" s="16" t="s">
        <v>79</v>
      </c>
      <c r="O83" s="17" t="str">
        <f>VLOOKUP(RiskRegister[[#This Row],[Inherent Likelihood Level]],'Rating factors'!$F$16:$G$21,2,FALSE)</f>
        <v>--- Error ---</v>
      </c>
      <c r="P83" s="17" t="str">
        <f>IFERROR(VLOOKUP(RiskRegister[[#This Row],[Inherent Risk Rating]],'Rating factors'!$F$30:$G$44,2,FALSE),"-- Error --")</f>
        <v>-- Error --</v>
      </c>
      <c r="Q83" s="17" t="str">
        <f>IFERROR(RiskRegister[[#This Row],[Inherent Impact Rating]]*RiskRegister[[#This Row],[Inherent Likelihood Rating]],"-- Error --")</f>
        <v>-- Error --</v>
      </c>
      <c r="R83" s="16" t="s">
        <v>98</v>
      </c>
      <c r="T83" s="16" t="s">
        <v>99</v>
      </c>
      <c r="U83" s="17" t="e" cm="1">
        <f t="array" aca="1" ref="U83" ca="1">+U83:Y1019VLOOKUP(RiskRegister[[#This Row],[Residual Impact Level]],'Rating factors'!$F$4:$G$9,2,FALSE)</f>
        <v>#NAME?</v>
      </c>
      <c r="V83" s="16" t="s">
        <v>79</v>
      </c>
      <c r="W83" s="17" t="str">
        <f>VLOOKUP(RiskRegister[[#This Row],[Residual Likelihood Level]],'Rating factors'!$F$16:$G$21,2,FALSE)</f>
        <v>--- Error ---</v>
      </c>
      <c r="X83" s="17" t="str">
        <f ca="1">IFERROR(VLOOKUP(RiskRegister[[#This Row],[Residual Risk Rating]],'Rating factors'!$F$30:$G$44,2,FALSE),"-- Error --")</f>
        <v>-- Error --</v>
      </c>
      <c r="Y83" s="17" t="str">
        <f ca="1">IFERROR(RiskRegister[[#This Row],[Residual Impact Rating]]*RiskRegister[[#This Row],[Residual Likelihood Rating]],"-- Error --")</f>
        <v>-- Error --</v>
      </c>
      <c r="Z83" s="16" t="s">
        <v>100</v>
      </c>
      <c r="AB83" s="39"/>
      <c r="AD83" s="20"/>
    </row>
    <row r="84" spans="1:30" s="16" customFormat="1" hidden="1" x14ac:dyDescent="0.25">
      <c r="A84" s="16">
        <v>81</v>
      </c>
      <c r="G84" s="16" t="s">
        <v>77</v>
      </c>
      <c r="I84" s="16" t="s">
        <v>75</v>
      </c>
      <c r="L84" s="105" t="s">
        <v>99</v>
      </c>
      <c r="M84" s="17" t="str">
        <f>VLOOKUP(RiskRegister[[#This Row],[Inherent Impact LevelL3:L1020D1007L3:L1019]],'Rating factors'!$F$4:$G$9,2,FALSE)</f>
        <v>--- Error ---</v>
      </c>
      <c r="N84" s="16" t="s">
        <v>79</v>
      </c>
      <c r="O84" s="17" t="str">
        <f>VLOOKUP(RiskRegister[[#This Row],[Inherent Likelihood Level]],'Rating factors'!$F$16:$G$21,2,FALSE)</f>
        <v>--- Error ---</v>
      </c>
      <c r="P84" s="17" t="str">
        <f>IFERROR(VLOOKUP(RiskRegister[[#This Row],[Inherent Risk Rating]],'Rating factors'!$F$30:$G$44,2,FALSE),"-- Error --")</f>
        <v>-- Error --</v>
      </c>
      <c r="Q84" s="17" t="str">
        <f>IFERROR(RiskRegister[[#This Row],[Inherent Impact Rating]]*RiskRegister[[#This Row],[Inherent Likelihood Rating]],"-- Error --")</f>
        <v>-- Error --</v>
      </c>
      <c r="R84" s="16" t="s">
        <v>98</v>
      </c>
      <c r="T84" s="16" t="s">
        <v>99</v>
      </c>
      <c r="U84" s="17" t="e" cm="1">
        <f t="array" aca="1" ref="U84" ca="1">+U84:Y1019VLOOKUP(RiskRegister[[#This Row],[Residual Impact Level]],'Rating factors'!$F$4:$G$9,2,FALSE)</f>
        <v>#NAME?</v>
      </c>
      <c r="V84" s="16" t="s">
        <v>79</v>
      </c>
      <c r="W84" s="17" t="str">
        <f>VLOOKUP(RiskRegister[[#This Row],[Residual Likelihood Level]],'Rating factors'!$F$16:$G$21,2,FALSE)</f>
        <v>--- Error ---</v>
      </c>
      <c r="X84" s="17" t="str">
        <f ca="1">IFERROR(VLOOKUP(RiskRegister[[#This Row],[Residual Risk Rating]],'Rating factors'!$F$30:$G$44,2,FALSE),"-- Error --")</f>
        <v>-- Error --</v>
      </c>
      <c r="Y84" s="17" t="str">
        <f ca="1">IFERROR(RiskRegister[[#This Row],[Residual Impact Rating]]*RiskRegister[[#This Row],[Residual Likelihood Rating]],"-- Error --")</f>
        <v>-- Error --</v>
      </c>
      <c r="Z84" s="16" t="s">
        <v>100</v>
      </c>
      <c r="AB84" s="39"/>
      <c r="AD84" s="20"/>
    </row>
    <row r="85" spans="1:30" s="16" customFormat="1" hidden="1" x14ac:dyDescent="0.25">
      <c r="A85" s="16">
        <v>82</v>
      </c>
      <c r="G85" s="16" t="s">
        <v>77</v>
      </c>
      <c r="I85" s="16" t="s">
        <v>75</v>
      </c>
      <c r="L85" s="105" t="s">
        <v>99</v>
      </c>
      <c r="M85" s="17" t="str">
        <f>VLOOKUP(RiskRegister[[#This Row],[Inherent Impact LevelL3:L1020D1007L3:L1019]],'Rating factors'!$F$4:$G$9,2,FALSE)</f>
        <v>--- Error ---</v>
      </c>
      <c r="N85" s="16" t="s">
        <v>79</v>
      </c>
      <c r="O85" s="17" t="str">
        <f>VLOOKUP(RiskRegister[[#This Row],[Inherent Likelihood Level]],'Rating factors'!$F$16:$G$21,2,FALSE)</f>
        <v>--- Error ---</v>
      </c>
      <c r="P85" s="17" t="str">
        <f>IFERROR(VLOOKUP(RiskRegister[[#This Row],[Inherent Risk Rating]],'Rating factors'!$F$30:$G$44,2,FALSE),"-- Error --")</f>
        <v>-- Error --</v>
      </c>
      <c r="Q85" s="17" t="str">
        <f>IFERROR(RiskRegister[[#This Row],[Inherent Impact Rating]]*RiskRegister[[#This Row],[Inherent Likelihood Rating]],"-- Error --")</f>
        <v>-- Error --</v>
      </c>
      <c r="R85" s="16" t="s">
        <v>98</v>
      </c>
      <c r="T85" s="16" t="s">
        <v>99</v>
      </c>
      <c r="U85" s="17" t="e" cm="1">
        <f t="array" aca="1" ref="U85" ca="1">+U85:Y1019VLOOKUP(RiskRegister[[#This Row],[Residual Impact Level]],'Rating factors'!$F$4:$G$9,2,FALSE)</f>
        <v>#NAME?</v>
      </c>
      <c r="V85" s="16" t="s">
        <v>79</v>
      </c>
      <c r="W85" s="17" t="str">
        <f>VLOOKUP(RiskRegister[[#This Row],[Residual Likelihood Level]],'Rating factors'!$F$16:$G$21,2,FALSE)</f>
        <v>--- Error ---</v>
      </c>
      <c r="X85" s="17" t="str">
        <f ca="1">IFERROR(VLOOKUP(RiskRegister[[#This Row],[Residual Risk Rating]],'Rating factors'!$F$30:$G$44,2,FALSE),"-- Error --")</f>
        <v>-- Error --</v>
      </c>
      <c r="Y85" s="17" t="str">
        <f ca="1">IFERROR(RiskRegister[[#This Row],[Residual Impact Rating]]*RiskRegister[[#This Row],[Residual Likelihood Rating]],"-- Error --")</f>
        <v>-- Error --</v>
      </c>
      <c r="Z85" s="16" t="s">
        <v>100</v>
      </c>
      <c r="AB85" s="39"/>
      <c r="AD85" s="20"/>
    </row>
    <row r="86" spans="1:30" s="16" customFormat="1" hidden="1" x14ac:dyDescent="0.25">
      <c r="A86" s="16">
        <v>83</v>
      </c>
      <c r="G86" s="16" t="s">
        <v>77</v>
      </c>
      <c r="I86" s="16" t="s">
        <v>75</v>
      </c>
      <c r="L86" s="105" t="s">
        <v>99</v>
      </c>
      <c r="M86" s="17" t="str">
        <f>VLOOKUP(RiskRegister[[#This Row],[Inherent Impact LevelL3:L1020D1007L3:L1019]],'Rating factors'!$F$4:$G$9,2,FALSE)</f>
        <v>--- Error ---</v>
      </c>
      <c r="N86" s="16" t="s">
        <v>79</v>
      </c>
      <c r="O86" s="17" t="str">
        <f>VLOOKUP(RiskRegister[[#This Row],[Inherent Likelihood Level]],'Rating factors'!$F$16:$G$21,2,FALSE)</f>
        <v>--- Error ---</v>
      </c>
      <c r="P86" s="17" t="str">
        <f>IFERROR(VLOOKUP(RiskRegister[[#This Row],[Inherent Risk Rating]],'Rating factors'!$F$30:$G$44,2,FALSE),"-- Error --")</f>
        <v>-- Error --</v>
      </c>
      <c r="Q86" s="17" t="str">
        <f>IFERROR(RiskRegister[[#This Row],[Inherent Impact Rating]]*RiskRegister[[#This Row],[Inherent Likelihood Rating]],"-- Error --")</f>
        <v>-- Error --</v>
      </c>
      <c r="R86" s="16" t="s">
        <v>98</v>
      </c>
      <c r="T86" s="16" t="s">
        <v>99</v>
      </c>
      <c r="U86" s="17" t="e" cm="1">
        <f t="array" aca="1" ref="U86" ca="1">+U86:Y1019VLOOKUP(RiskRegister[[#This Row],[Residual Impact Level]],'Rating factors'!$F$4:$G$9,2,FALSE)</f>
        <v>#NAME?</v>
      </c>
      <c r="V86" s="16" t="s">
        <v>79</v>
      </c>
      <c r="W86" s="17" t="str">
        <f>VLOOKUP(RiskRegister[[#This Row],[Residual Likelihood Level]],'Rating factors'!$F$16:$G$21,2,FALSE)</f>
        <v>--- Error ---</v>
      </c>
      <c r="X86" s="17" t="str">
        <f ca="1">IFERROR(VLOOKUP(RiskRegister[[#This Row],[Residual Risk Rating]],'Rating factors'!$F$30:$G$44,2,FALSE),"-- Error --")</f>
        <v>-- Error --</v>
      </c>
      <c r="Y86" s="17" t="str">
        <f ca="1">IFERROR(RiskRegister[[#This Row],[Residual Impact Rating]]*RiskRegister[[#This Row],[Residual Likelihood Rating]],"-- Error --")</f>
        <v>-- Error --</v>
      </c>
      <c r="Z86" s="16" t="s">
        <v>100</v>
      </c>
      <c r="AB86" s="39"/>
      <c r="AD86" s="20"/>
    </row>
    <row r="87" spans="1:30" s="16" customFormat="1" hidden="1" x14ac:dyDescent="0.25">
      <c r="A87" s="16">
        <v>84</v>
      </c>
      <c r="G87" s="16" t="s">
        <v>77</v>
      </c>
      <c r="I87" s="16" t="s">
        <v>75</v>
      </c>
      <c r="L87" s="105" t="s">
        <v>99</v>
      </c>
      <c r="M87" s="17" t="str">
        <f>VLOOKUP(RiskRegister[[#This Row],[Inherent Impact LevelL3:L1020D1007L3:L1019]],'Rating factors'!$F$4:$G$9,2,FALSE)</f>
        <v>--- Error ---</v>
      </c>
      <c r="N87" s="16" t="s">
        <v>79</v>
      </c>
      <c r="O87" s="17" t="str">
        <f>VLOOKUP(RiskRegister[[#This Row],[Inherent Likelihood Level]],'Rating factors'!$F$16:$G$21,2,FALSE)</f>
        <v>--- Error ---</v>
      </c>
      <c r="P87" s="17" t="str">
        <f>IFERROR(VLOOKUP(RiskRegister[[#This Row],[Inherent Risk Rating]],'Rating factors'!$F$30:$G$44,2,FALSE),"-- Error --")</f>
        <v>-- Error --</v>
      </c>
      <c r="Q87" s="17" t="str">
        <f>IFERROR(RiskRegister[[#This Row],[Inherent Impact Rating]]*RiskRegister[[#This Row],[Inherent Likelihood Rating]],"-- Error --")</f>
        <v>-- Error --</v>
      </c>
      <c r="R87" s="16" t="s">
        <v>98</v>
      </c>
      <c r="T87" s="16" t="s">
        <v>99</v>
      </c>
      <c r="U87" s="17" t="e" cm="1">
        <f t="array" aca="1" ref="U87" ca="1">+U87:Y1019VLOOKUP(RiskRegister[[#This Row],[Residual Impact Level]],'Rating factors'!$F$4:$G$9,2,FALSE)</f>
        <v>#NAME?</v>
      </c>
      <c r="V87" s="16" t="s">
        <v>79</v>
      </c>
      <c r="W87" s="17" t="str">
        <f>VLOOKUP(RiskRegister[[#This Row],[Residual Likelihood Level]],'Rating factors'!$F$16:$G$21,2,FALSE)</f>
        <v>--- Error ---</v>
      </c>
      <c r="X87" s="17" t="str">
        <f ca="1">IFERROR(VLOOKUP(RiskRegister[[#This Row],[Residual Risk Rating]],'Rating factors'!$F$30:$G$44,2,FALSE),"-- Error --")</f>
        <v>-- Error --</v>
      </c>
      <c r="Y87" s="17" t="str">
        <f ca="1">IFERROR(RiskRegister[[#This Row],[Residual Impact Rating]]*RiskRegister[[#This Row],[Residual Likelihood Rating]],"-- Error --")</f>
        <v>-- Error --</v>
      </c>
      <c r="Z87" s="16" t="s">
        <v>100</v>
      </c>
      <c r="AB87" s="39"/>
      <c r="AD87" s="20"/>
    </row>
    <row r="88" spans="1:30" s="16" customFormat="1" hidden="1" x14ac:dyDescent="0.25">
      <c r="A88" s="16">
        <v>85</v>
      </c>
      <c r="G88" s="16" t="s">
        <v>77</v>
      </c>
      <c r="I88" s="16" t="s">
        <v>75</v>
      </c>
      <c r="L88" s="105" t="s">
        <v>99</v>
      </c>
      <c r="M88" s="17" t="str">
        <f>VLOOKUP(RiskRegister[[#This Row],[Inherent Impact LevelL3:L1020D1007L3:L1019]],'Rating factors'!$F$4:$G$9,2,FALSE)</f>
        <v>--- Error ---</v>
      </c>
      <c r="N88" s="16" t="s">
        <v>79</v>
      </c>
      <c r="O88" s="17" t="str">
        <f>VLOOKUP(RiskRegister[[#This Row],[Inherent Likelihood Level]],'Rating factors'!$F$16:$G$21,2,FALSE)</f>
        <v>--- Error ---</v>
      </c>
      <c r="P88" s="17" t="str">
        <f>IFERROR(VLOOKUP(RiskRegister[[#This Row],[Inherent Risk Rating]],'Rating factors'!$F$30:$G$44,2,FALSE),"-- Error --")</f>
        <v>-- Error --</v>
      </c>
      <c r="Q88" s="17" t="str">
        <f>IFERROR(RiskRegister[[#This Row],[Inherent Impact Rating]]*RiskRegister[[#This Row],[Inherent Likelihood Rating]],"-- Error --")</f>
        <v>-- Error --</v>
      </c>
      <c r="R88" s="16" t="s">
        <v>98</v>
      </c>
      <c r="T88" s="16" t="s">
        <v>99</v>
      </c>
      <c r="U88" s="17" t="e" cm="1">
        <f t="array" aca="1" ref="U88" ca="1">+U88:Y1019VLOOKUP(RiskRegister[[#This Row],[Residual Impact Level]],'Rating factors'!$F$4:$G$9,2,FALSE)</f>
        <v>#NAME?</v>
      </c>
      <c r="V88" s="16" t="s">
        <v>79</v>
      </c>
      <c r="W88" s="17" t="str">
        <f>VLOOKUP(RiskRegister[[#This Row],[Residual Likelihood Level]],'Rating factors'!$F$16:$G$21,2,FALSE)</f>
        <v>--- Error ---</v>
      </c>
      <c r="X88" s="17" t="str">
        <f ca="1">IFERROR(VLOOKUP(RiskRegister[[#This Row],[Residual Risk Rating]],'Rating factors'!$F$30:$G$44,2,FALSE),"-- Error --")</f>
        <v>-- Error --</v>
      </c>
      <c r="Y88" s="17" t="str">
        <f ca="1">IFERROR(RiskRegister[[#This Row],[Residual Impact Rating]]*RiskRegister[[#This Row],[Residual Likelihood Rating]],"-- Error --")</f>
        <v>-- Error --</v>
      </c>
      <c r="Z88" s="16" t="s">
        <v>100</v>
      </c>
      <c r="AB88" s="39"/>
      <c r="AD88" s="20"/>
    </row>
    <row r="89" spans="1:30" s="16" customFormat="1" hidden="1" x14ac:dyDescent="0.25">
      <c r="A89" s="16">
        <v>86</v>
      </c>
      <c r="G89" s="16" t="s">
        <v>77</v>
      </c>
      <c r="I89" s="16" t="s">
        <v>75</v>
      </c>
      <c r="L89" s="105" t="s">
        <v>99</v>
      </c>
      <c r="M89" s="17" t="str">
        <f>VLOOKUP(RiskRegister[[#This Row],[Inherent Impact LevelL3:L1020D1007L3:L1019]],'Rating factors'!$F$4:$G$9,2,FALSE)</f>
        <v>--- Error ---</v>
      </c>
      <c r="N89" s="16" t="s">
        <v>79</v>
      </c>
      <c r="O89" s="17" t="str">
        <f>VLOOKUP(RiskRegister[[#This Row],[Inherent Likelihood Level]],'Rating factors'!$F$16:$G$21,2,FALSE)</f>
        <v>--- Error ---</v>
      </c>
      <c r="P89" s="17" t="str">
        <f>IFERROR(VLOOKUP(RiskRegister[[#This Row],[Inherent Risk Rating]],'Rating factors'!$F$30:$G$44,2,FALSE),"-- Error --")</f>
        <v>-- Error --</v>
      </c>
      <c r="Q89" s="17" t="str">
        <f>IFERROR(RiskRegister[[#This Row],[Inherent Impact Rating]]*RiskRegister[[#This Row],[Inherent Likelihood Rating]],"-- Error --")</f>
        <v>-- Error --</v>
      </c>
      <c r="R89" s="16" t="s">
        <v>98</v>
      </c>
      <c r="T89" s="16" t="s">
        <v>99</v>
      </c>
      <c r="U89" s="17" t="e" cm="1">
        <f t="array" aca="1" ref="U89" ca="1">+U89:Y1019VLOOKUP(RiskRegister[[#This Row],[Residual Impact Level]],'Rating factors'!$F$4:$G$9,2,FALSE)</f>
        <v>#NAME?</v>
      </c>
      <c r="V89" s="16" t="s">
        <v>79</v>
      </c>
      <c r="W89" s="17" t="str">
        <f>VLOOKUP(RiskRegister[[#This Row],[Residual Likelihood Level]],'Rating factors'!$F$16:$G$21,2,FALSE)</f>
        <v>--- Error ---</v>
      </c>
      <c r="X89" s="17" t="str">
        <f ca="1">IFERROR(VLOOKUP(RiskRegister[[#This Row],[Residual Risk Rating]],'Rating factors'!$F$30:$G$44,2,FALSE),"-- Error --")</f>
        <v>-- Error --</v>
      </c>
      <c r="Y89" s="17" t="str">
        <f ca="1">IFERROR(RiskRegister[[#This Row],[Residual Impact Rating]]*RiskRegister[[#This Row],[Residual Likelihood Rating]],"-- Error --")</f>
        <v>-- Error --</v>
      </c>
      <c r="Z89" s="16" t="s">
        <v>100</v>
      </c>
      <c r="AB89" s="39"/>
      <c r="AD89" s="20"/>
    </row>
    <row r="90" spans="1:30" s="16" customFormat="1" hidden="1" x14ac:dyDescent="0.25">
      <c r="A90" s="16">
        <v>87</v>
      </c>
      <c r="G90" s="16" t="s">
        <v>77</v>
      </c>
      <c r="I90" s="16" t="s">
        <v>75</v>
      </c>
      <c r="L90" s="105" t="s">
        <v>99</v>
      </c>
      <c r="M90" s="17" t="str">
        <f>VLOOKUP(RiskRegister[[#This Row],[Inherent Impact LevelL3:L1020D1007L3:L1019]],'Rating factors'!$F$4:$G$9,2,FALSE)</f>
        <v>--- Error ---</v>
      </c>
      <c r="N90" s="16" t="s">
        <v>79</v>
      </c>
      <c r="O90" s="17" t="str">
        <f>VLOOKUP(RiskRegister[[#This Row],[Inherent Likelihood Level]],'Rating factors'!$F$16:$G$21,2,FALSE)</f>
        <v>--- Error ---</v>
      </c>
      <c r="P90" s="17" t="str">
        <f>IFERROR(VLOOKUP(RiskRegister[[#This Row],[Inherent Risk Rating]],'Rating factors'!$F$30:$G$44,2,FALSE),"-- Error --")</f>
        <v>-- Error --</v>
      </c>
      <c r="Q90" s="17" t="str">
        <f>IFERROR(RiskRegister[[#This Row],[Inherent Impact Rating]]*RiskRegister[[#This Row],[Inherent Likelihood Rating]],"-- Error --")</f>
        <v>-- Error --</v>
      </c>
      <c r="R90" s="16" t="s">
        <v>98</v>
      </c>
      <c r="T90" s="16" t="s">
        <v>99</v>
      </c>
      <c r="U90" s="17" t="e" cm="1">
        <f t="array" aca="1" ref="U90" ca="1">+U90:Y1019VLOOKUP(RiskRegister[[#This Row],[Residual Impact Level]],'Rating factors'!$F$4:$G$9,2,FALSE)</f>
        <v>#NAME?</v>
      </c>
      <c r="V90" s="16" t="s">
        <v>79</v>
      </c>
      <c r="W90" s="17" t="str">
        <f>VLOOKUP(RiskRegister[[#This Row],[Residual Likelihood Level]],'Rating factors'!$F$16:$G$21,2,FALSE)</f>
        <v>--- Error ---</v>
      </c>
      <c r="X90" s="17" t="str">
        <f ca="1">IFERROR(VLOOKUP(RiskRegister[[#This Row],[Residual Risk Rating]],'Rating factors'!$F$30:$G$44,2,FALSE),"-- Error --")</f>
        <v>-- Error --</v>
      </c>
      <c r="Y90" s="17" t="str">
        <f ca="1">IFERROR(RiskRegister[[#This Row],[Residual Impact Rating]]*RiskRegister[[#This Row],[Residual Likelihood Rating]],"-- Error --")</f>
        <v>-- Error --</v>
      </c>
      <c r="Z90" s="16" t="s">
        <v>100</v>
      </c>
      <c r="AB90" s="39"/>
      <c r="AD90" s="20"/>
    </row>
    <row r="91" spans="1:30" s="16" customFormat="1" hidden="1" x14ac:dyDescent="0.25">
      <c r="A91" s="16">
        <v>88</v>
      </c>
      <c r="G91" s="16" t="s">
        <v>77</v>
      </c>
      <c r="I91" s="16" t="s">
        <v>75</v>
      </c>
      <c r="L91" s="105" t="s">
        <v>99</v>
      </c>
      <c r="M91" s="17" t="str">
        <f>VLOOKUP(RiskRegister[[#This Row],[Inherent Impact LevelL3:L1020D1007L3:L1019]],'Rating factors'!$F$4:$G$9,2,FALSE)</f>
        <v>--- Error ---</v>
      </c>
      <c r="N91" s="16" t="s">
        <v>79</v>
      </c>
      <c r="O91" s="17" t="str">
        <f>VLOOKUP(RiskRegister[[#This Row],[Inherent Likelihood Level]],'Rating factors'!$F$16:$G$21,2,FALSE)</f>
        <v>--- Error ---</v>
      </c>
      <c r="P91" s="17" t="str">
        <f>IFERROR(VLOOKUP(RiskRegister[[#This Row],[Inherent Risk Rating]],'Rating factors'!$F$30:$G$44,2,FALSE),"-- Error --")</f>
        <v>-- Error --</v>
      </c>
      <c r="Q91" s="17" t="str">
        <f>IFERROR(RiskRegister[[#This Row],[Inherent Impact Rating]]*RiskRegister[[#This Row],[Inherent Likelihood Rating]],"-- Error --")</f>
        <v>-- Error --</v>
      </c>
      <c r="R91" s="16" t="s">
        <v>98</v>
      </c>
      <c r="T91" s="16" t="s">
        <v>99</v>
      </c>
      <c r="U91" s="17" t="e" cm="1">
        <f t="array" aca="1" ref="U91" ca="1">+U91:Y1019VLOOKUP(RiskRegister[[#This Row],[Residual Impact Level]],'Rating factors'!$F$4:$G$9,2,FALSE)</f>
        <v>#NAME?</v>
      </c>
      <c r="V91" s="16" t="s">
        <v>79</v>
      </c>
      <c r="W91" s="17" t="str">
        <f>VLOOKUP(RiskRegister[[#This Row],[Residual Likelihood Level]],'Rating factors'!$F$16:$G$21,2,FALSE)</f>
        <v>--- Error ---</v>
      </c>
      <c r="X91" s="17" t="str">
        <f ca="1">IFERROR(VLOOKUP(RiskRegister[[#This Row],[Residual Risk Rating]],'Rating factors'!$F$30:$G$44,2,FALSE),"-- Error --")</f>
        <v>-- Error --</v>
      </c>
      <c r="Y91" s="17" t="str">
        <f ca="1">IFERROR(RiskRegister[[#This Row],[Residual Impact Rating]]*RiskRegister[[#This Row],[Residual Likelihood Rating]],"-- Error --")</f>
        <v>-- Error --</v>
      </c>
      <c r="Z91" s="16" t="s">
        <v>100</v>
      </c>
      <c r="AB91" s="39"/>
      <c r="AD91" s="20"/>
    </row>
    <row r="92" spans="1:30" s="16" customFormat="1" hidden="1" x14ac:dyDescent="0.25">
      <c r="A92" s="16">
        <v>89</v>
      </c>
      <c r="G92" s="16" t="s">
        <v>77</v>
      </c>
      <c r="I92" s="16" t="s">
        <v>75</v>
      </c>
      <c r="L92" s="105" t="s">
        <v>99</v>
      </c>
      <c r="M92" s="17" t="str">
        <f>VLOOKUP(RiskRegister[[#This Row],[Inherent Impact LevelL3:L1020D1007L3:L1019]],'Rating factors'!$F$4:$G$9,2,FALSE)</f>
        <v>--- Error ---</v>
      </c>
      <c r="N92" s="16" t="s">
        <v>79</v>
      </c>
      <c r="O92" s="17" t="str">
        <f>VLOOKUP(RiskRegister[[#This Row],[Inherent Likelihood Level]],'Rating factors'!$F$16:$G$21,2,FALSE)</f>
        <v>--- Error ---</v>
      </c>
      <c r="P92" s="17" t="str">
        <f>IFERROR(VLOOKUP(RiskRegister[[#This Row],[Inherent Risk Rating]],'Rating factors'!$F$30:$G$44,2,FALSE),"-- Error --")</f>
        <v>-- Error --</v>
      </c>
      <c r="Q92" s="17" t="str">
        <f>IFERROR(RiskRegister[[#This Row],[Inherent Impact Rating]]*RiskRegister[[#This Row],[Inherent Likelihood Rating]],"-- Error --")</f>
        <v>-- Error --</v>
      </c>
      <c r="R92" s="16" t="s">
        <v>98</v>
      </c>
      <c r="T92" s="16" t="s">
        <v>99</v>
      </c>
      <c r="U92" s="17" t="e" cm="1">
        <f t="array" aca="1" ref="U92" ca="1">+U92:Y1019VLOOKUP(RiskRegister[[#This Row],[Residual Impact Level]],'Rating factors'!$F$4:$G$9,2,FALSE)</f>
        <v>#NAME?</v>
      </c>
      <c r="V92" s="16" t="s">
        <v>79</v>
      </c>
      <c r="W92" s="17" t="str">
        <f>VLOOKUP(RiskRegister[[#This Row],[Residual Likelihood Level]],'Rating factors'!$F$16:$G$21,2,FALSE)</f>
        <v>--- Error ---</v>
      </c>
      <c r="X92" s="17" t="str">
        <f ca="1">IFERROR(VLOOKUP(RiskRegister[[#This Row],[Residual Risk Rating]],'Rating factors'!$F$30:$G$44,2,FALSE),"-- Error --")</f>
        <v>-- Error --</v>
      </c>
      <c r="Y92" s="17" t="str">
        <f ca="1">IFERROR(RiskRegister[[#This Row],[Residual Impact Rating]]*RiskRegister[[#This Row],[Residual Likelihood Rating]],"-- Error --")</f>
        <v>-- Error --</v>
      </c>
      <c r="Z92" s="16" t="s">
        <v>100</v>
      </c>
      <c r="AB92" s="39"/>
      <c r="AD92" s="20"/>
    </row>
    <row r="93" spans="1:30" s="16" customFormat="1" hidden="1" x14ac:dyDescent="0.25">
      <c r="A93" s="16">
        <v>90</v>
      </c>
      <c r="G93" s="16" t="s">
        <v>77</v>
      </c>
      <c r="I93" s="16" t="s">
        <v>75</v>
      </c>
      <c r="L93" s="105" t="s">
        <v>99</v>
      </c>
      <c r="M93" s="17" t="str">
        <f>VLOOKUP(RiskRegister[[#This Row],[Inherent Impact LevelL3:L1020D1007L3:L1019]],'Rating factors'!$F$4:$G$9,2,FALSE)</f>
        <v>--- Error ---</v>
      </c>
      <c r="N93" s="16" t="s">
        <v>79</v>
      </c>
      <c r="O93" s="17" t="str">
        <f>VLOOKUP(RiskRegister[[#This Row],[Inherent Likelihood Level]],'Rating factors'!$F$16:$G$21,2,FALSE)</f>
        <v>--- Error ---</v>
      </c>
      <c r="P93" s="17" t="str">
        <f>IFERROR(VLOOKUP(RiskRegister[[#This Row],[Inherent Risk Rating]],'Rating factors'!$F$30:$G$44,2,FALSE),"-- Error --")</f>
        <v>-- Error --</v>
      </c>
      <c r="Q93" s="17" t="str">
        <f>IFERROR(RiskRegister[[#This Row],[Inherent Impact Rating]]*RiskRegister[[#This Row],[Inherent Likelihood Rating]],"-- Error --")</f>
        <v>-- Error --</v>
      </c>
      <c r="R93" s="16" t="s">
        <v>98</v>
      </c>
      <c r="T93" s="16" t="s">
        <v>99</v>
      </c>
      <c r="U93" s="17" t="e" cm="1">
        <f t="array" aca="1" ref="U93" ca="1">+U93:Y1019VLOOKUP(RiskRegister[[#This Row],[Residual Impact Level]],'Rating factors'!$F$4:$G$9,2,FALSE)</f>
        <v>#NAME?</v>
      </c>
      <c r="V93" s="16" t="s">
        <v>79</v>
      </c>
      <c r="W93" s="17" t="str">
        <f>VLOOKUP(RiskRegister[[#This Row],[Residual Likelihood Level]],'Rating factors'!$F$16:$G$21,2,FALSE)</f>
        <v>--- Error ---</v>
      </c>
      <c r="X93" s="17" t="str">
        <f ca="1">IFERROR(VLOOKUP(RiskRegister[[#This Row],[Residual Risk Rating]],'Rating factors'!$F$30:$G$44,2,FALSE),"-- Error --")</f>
        <v>-- Error --</v>
      </c>
      <c r="Y93" s="17" t="str">
        <f ca="1">IFERROR(RiskRegister[[#This Row],[Residual Impact Rating]]*RiskRegister[[#This Row],[Residual Likelihood Rating]],"-- Error --")</f>
        <v>-- Error --</v>
      </c>
      <c r="Z93" s="16" t="s">
        <v>100</v>
      </c>
      <c r="AB93" s="39"/>
      <c r="AD93" s="20"/>
    </row>
    <row r="94" spans="1:30" s="16" customFormat="1" hidden="1" x14ac:dyDescent="0.25">
      <c r="A94" s="16">
        <v>91</v>
      </c>
      <c r="G94" s="16" t="s">
        <v>77</v>
      </c>
      <c r="I94" s="16" t="s">
        <v>75</v>
      </c>
      <c r="L94" s="105" t="s">
        <v>99</v>
      </c>
      <c r="M94" s="17" t="str">
        <f>VLOOKUP(RiskRegister[[#This Row],[Inherent Impact LevelL3:L1020D1007L3:L1019]],'Rating factors'!$F$4:$G$9,2,FALSE)</f>
        <v>--- Error ---</v>
      </c>
      <c r="N94" s="16" t="s">
        <v>79</v>
      </c>
      <c r="O94" s="17" t="str">
        <f>VLOOKUP(RiskRegister[[#This Row],[Inherent Likelihood Level]],'Rating factors'!$F$16:$G$21,2,FALSE)</f>
        <v>--- Error ---</v>
      </c>
      <c r="P94" s="17" t="str">
        <f>IFERROR(VLOOKUP(RiskRegister[[#This Row],[Inherent Risk Rating]],'Rating factors'!$F$30:$G$44,2,FALSE),"-- Error --")</f>
        <v>-- Error --</v>
      </c>
      <c r="Q94" s="17" t="str">
        <f>IFERROR(RiskRegister[[#This Row],[Inherent Impact Rating]]*RiskRegister[[#This Row],[Inherent Likelihood Rating]],"-- Error --")</f>
        <v>-- Error --</v>
      </c>
      <c r="R94" s="16" t="s">
        <v>98</v>
      </c>
      <c r="T94" s="16" t="s">
        <v>99</v>
      </c>
      <c r="U94" s="17" t="e" cm="1">
        <f t="array" aca="1" ref="U94" ca="1">+U94:Y1019VLOOKUP(RiskRegister[[#This Row],[Residual Impact Level]],'Rating factors'!$F$4:$G$9,2,FALSE)</f>
        <v>#NAME?</v>
      </c>
      <c r="V94" s="16" t="s">
        <v>79</v>
      </c>
      <c r="W94" s="17" t="str">
        <f>VLOOKUP(RiskRegister[[#This Row],[Residual Likelihood Level]],'Rating factors'!$F$16:$G$21,2,FALSE)</f>
        <v>--- Error ---</v>
      </c>
      <c r="X94" s="17" t="str">
        <f ca="1">IFERROR(VLOOKUP(RiskRegister[[#This Row],[Residual Risk Rating]],'Rating factors'!$F$30:$G$44,2,FALSE),"-- Error --")</f>
        <v>-- Error --</v>
      </c>
      <c r="Y94" s="17" t="str">
        <f ca="1">IFERROR(RiskRegister[[#This Row],[Residual Impact Rating]]*RiskRegister[[#This Row],[Residual Likelihood Rating]],"-- Error --")</f>
        <v>-- Error --</v>
      </c>
      <c r="Z94" s="16" t="s">
        <v>100</v>
      </c>
      <c r="AB94" s="39"/>
      <c r="AD94" s="20"/>
    </row>
    <row r="95" spans="1:30" s="16" customFormat="1" hidden="1" x14ac:dyDescent="0.25">
      <c r="A95" s="16">
        <v>92</v>
      </c>
      <c r="G95" s="16" t="s">
        <v>77</v>
      </c>
      <c r="I95" s="16" t="s">
        <v>75</v>
      </c>
      <c r="L95" s="105" t="s">
        <v>99</v>
      </c>
      <c r="M95" s="17" t="str">
        <f>VLOOKUP(RiskRegister[[#This Row],[Inherent Impact LevelL3:L1020D1007L3:L1019]],'Rating factors'!$F$4:$G$9,2,FALSE)</f>
        <v>--- Error ---</v>
      </c>
      <c r="N95" s="16" t="s">
        <v>79</v>
      </c>
      <c r="O95" s="17" t="str">
        <f>VLOOKUP(RiskRegister[[#This Row],[Inherent Likelihood Level]],'Rating factors'!$F$16:$G$21,2,FALSE)</f>
        <v>--- Error ---</v>
      </c>
      <c r="P95" s="17" t="str">
        <f>IFERROR(VLOOKUP(RiskRegister[[#This Row],[Inherent Risk Rating]],'Rating factors'!$F$30:$G$44,2,FALSE),"-- Error --")</f>
        <v>-- Error --</v>
      </c>
      <c r="Q95" s="17" t="str">
        <f>IFERROR(RiskRegister[[#This Row],[Inherent Impact Rating]]*RiskRegister[[#This Row],[Inherent Likelihood Rating]],"-- Error --")</f>
        <v>-- Error --</v>
      </c>
      <c r="R95" s="16" t="s">
        <v>98</v>
      </c>
      <c r="T95" s="16" t="s">
        <v>99</v>
      </c>
      <c r="U95" s="17" t="e" cm="1">
        <f t="array" aca="1" ref="U95" ca="1">+U95:Y1019VLOOKUP(RiskRegister[[#This Row],[Residual Impact Level]],'Rating factors'!$F$4:$G$9,2,FALSE)</f>
        <v>#NAME?</v>
      </c>
      <c r="V95" s="16" t="s">
        <v>79</v>
      </c>
      <c r="W95" s="17" t="str">
        <f>VLOOKUP(RiskRegister[[#This Row],[Residual Likelihood Level]],'Rating factors'!$F$16:$G$21,2,FALSE)</f>
        <v>--- Error ---</v>
      </c>
      <c r="X95" s="17" t="str">
        <f ca="1">IFERROR(VLOOKUP(RiskRegister[[#This Row],[Residual Risk Rating]],'Rating factors'!$F$30:$G$44,2,FALSE),"-- Error --")</f>
        <v>-- Error --</v>
      </c>
      <c r="Y95" s="17" t="str">
        <f ca="1">IFERROR(RiskRegister[[#This Row],[Residual Impact Rating]]*RiskRegister[[#This Row],[Residual Likelihood Rating]],"-- Error --")</f>
        <v>-- Error --</v>
      </c>
      <c r="Z95" s="16" t="s">
        <v>100</v>
      </c>
      <c r="AB95" s="39"/>
      <c r="AD95" s="20"/>
    </row>
    <row r="96" spans="1:30" s="16" customFormat="1" hidden="1" x14ac:dyDescent="0.25">
      <c r="A96" s="16">
        <v>93</v>
      </c>
      <c r="G96" s="16" t="s">
        <v>77</v>
      </c>
      <c r="I96" s="16" t="s">
        <v>75</v>
      </c>
      <c r="L96" s="105" t="s">
        <v>99</v>
      </c>
      <c r="M96" s="17" t="str">
        <f>VLOOKUP(RiskRegister[[#This Row],[Inherent Impact LevelL3:L1020D1007L3:L1019]],'Rating factors'!$F$4:$G$9,2,FALSE)</f>
        <v>--- Error ---</v>
      </c>
      <c r="N96" s="16" t="s">
        <v>79</v>
      </c>
      <c r="O96" s="17" t="str">
        <f>VLOOKUP(RiskRegister[[#This Row],[Inherent Likelihood Level]],'Rating factors'!$F$16:$G$21,2,FALSE)</f>
        <v>--- Error ---</v>
      </c>
      <c r="P96" s="17" t="str">
        <f>IFERROR(VLOOKUP(RiskRegister[[#This Row],[Inherent Risk Rating]],'Rating factors'!$F$30:$G$44,2,FALSE),"-- Error --")</f>
        <v>-- Error --</v>
      </c>
      <c r="Q96" s="17" t="str">
        <f>IFERROR(RiskRegister[[#This Row],[Inherent Impact Rating]]*RiskRegister[[#This Row],[Inherent Likelihood Rating]],"-- Error --")</f>
        <v>-- Error --</v>
      </c>
      <c r="R96" s="16" t="s">
        <v>98</v>
      </c>
      <c r="T96" s="16" t="s">
        <v>99</v>
      </c>
      <c r="U96" s="17" t="e" cm="1">
        <f t="array" aca="1" ref="U96" ca="1">+U96:Y1019VLOOKUP(RiskRegister[[#This Row],[Residual Impact Level]],'Rating factors'!$F$4:$G$9,2,FALSE)</f>
        <v>#NAME?</v>
      </c>
      <c r="V96" s="16" t="s">
        <v>79</v>
      </c>
      <c r="W96" s="17" t="str">
        <f>VLOOKUP(RiskRegister[[#This Row],[Residual Likelihood Level]],'Rating factors'!$F$16:$G$21,2,FALSE)</f>
        <v>--- Error ---</v>
      </c>
      <c r="X96" s="17" t="str">
        <f ca="1">IFERROR(VLOOKUP(RiskRegister[[#This Row],[Residual Risk Rating]],'Rating factors'!$F$30:$G$44,2,FALSE),"-- Error --")</f>
        <v>-- Error --</v>
      </c>
      <c r="Y96" s="17" t="str">
        <f ca="1">IFERROR(RiskRegister[[#This Row],[Residual Impact Rating]]*RiskRegister[[#This Row],[Residual Likelihood Rating]],"-- Error --")</f>
        <v>-- Error --</v>
      </c>
      <c r="Z96" s="16" t="s">
        <v>100</v>
      </c>
      <c r="AB96" s="39"/>
      <c r="AD96" s="20"/>
    </row>
    <row r="97" spans="1:30" s="16" customFormat="1" hidden="1" x14ac:dyDescent="0.25">
      <c r="A97" s="16">
        <v>94</v>
      </c>
      <c r="G97" s="16" t="s">
        <v>77</v>
      </c>
      <c r="I97" s="16" t="s">
        <v>75</v>
      </c>
      <c r="L97" s="105" t="s">
        <v>99</v>
      </c>
      <c r="M97" s="17" t="str">
        <f>VLOOKUP(RiskRegister[[#This Row],[Inherent Impact LevelL3:L1020D1007L3:L1019]],'Rating factors'!$F$4:$G$9,2,FALSE)</f>
        <v>--- Error ---</v>
      </c>
      <c r="N97" s="16" t="s">
        <v>79</v>
      </c>
      <c r="O97" s="17" t="str">
        <f>VLOOKUP(RiskRegister[[#This Row],[Inherent Likelihood Level]],'Rating factors'!$F$16:$G$21,2,FALSE)</f>
        <v>--- Error ---</v>
      </c>
      <c r="P97" s="17" t="str">
        <f>IFERROR(VLOOKUP(RiskRegister[[#This Row],[Inherent Risk Rating]],'Rating factors'!$F$30:$G$44,2,FALSE),"-- Error --")</f>
        <v>-- Error --</v>
      </c>
      <c r="Q97" s="17" t="str">
        <f>IFERROR(RiskRegister[[#This Row],[Inherent Impact Rating]]*RiskRegister[[#This Row],[Inherent Likelihood Rating]],"-- Error --")</f>
        <v>-- Error --</v>
      </c>
      <c r="R97" s="16" t="s">
        <v>98</v>
      </c>
      <c r="T97" s="16" t="s">
        <v>99</v>
      </c>
      <c r="U97" s="17" t="e" cm="1">
        <f t="array" aca="1" ref="U97" ca="1">+U97:Y1019VLOOKUP(RiskRegister[[#This Row],[Residual Impact Level]],'Rating factors'!$F$4:$G$9,2,FALSE)</f>
        <v>#NAME?</v>
      </c>
      <c r="V97" s="16" t="s">
        <v>79</v>
      </c>
      <c r="W97" s="17" t="str">
        <f>VLOOKUP(RiskRegister[[#This Row],[Residual Likelihood Level]],'Rating factors'!$F$16:$G$21,2,FALSE)</f>
        <v>--- Error ---</v>
      </c>
      <c r="X97" s="17" t="str">
        <f ca="1">IFERROR(VLOOKUP(RiskRegister[[#This Row],[Residual Risk Rating]],'Rating factors'!$F$30:$G$44,2,FALSE),"-- Error --")</f>
        <v>-- Error --</v>
      </c>
      <c r="Y97" s="17" t="str">
        <f ca="1">IFERROR(RiskRegister[[#This Row],[Residual Impact Rating]]*RiskRegister[[#This Row],[Residual Likelihood Rating]],"-- Error --")</f>
        <v>-- Error --</v>
      </c>
      <c r="Z97" s="16" t="s">
        <v>100</v>
      </c>
      <c r="AB97" s="39"/>
      <c r="AD97" s="20"/>
    </row>
    <row r="98" spans="1:30" s="16" customFormat="1" hidden="1" x14ac:dyDescent="0.25">
      <c r="A98" s="16">
        <v>95</v>
      </c>
      <c r="G98" s="16" t="s">
        <v>77</v>
      </c>
      <c r="I98" s="16" t="s">
        <v>75</v>
      </c>
      <c r="L98" s="105" t="s">
        <v>99</v>
      </c>
      <c r="M98" s="17" t="str">
        <f>VLOOKUP(RiskRegister[[#This Row],[Inherent Impact LevelL3:L1020D1007L3:L1019]],'Rating factors'!$F$4:$G$9,2,FALSE)</f>
        <v>--- Error ---</v>
      </c>
      <c r="N98" s="16" t="s">
        <v>79</v>
      </c>
      <c r="O98" s="17" t="str">
        <f>VLOOKUP(RiskRegister[[#This Row],[Inherent Likelihood Level]],'Rating factors'!$F$16:$G$21,2,FALSE)</f>
        <v>--- Error ---</v>
      </c>
      <c r="P98" s="17" t="str">
        <f>IFERROR(VLOOKUP(RiskRegister[[#This Row],[Inherent Risk Rating]],'Rating factors'!$F$30:$G$44,2,FALSE),"-- Error --")</f>
        <v>-- Error --</v>
      </c>
      <c r="Q98" s="17" t="str">
        <f>IFERROR(RiskRegister[[#This Row],[Inherent Impact Rating]]*RiskRegister[[#This Row],[Inherent Likelihood Rating]],"-- Error --")</f>
        <v>-- Error --</v>
      </c>
      <c r="R98" s="16" t="s">
        <v>98</v>
      </c>
      <c r="T98" s="16" t="s">
        <v>99</v>
      </c>
      <c r="U98" s="17" t="e" cm="1">
        <f t="array" aca="1" ref="U98" ca="1">+U98:Y1019VLOOKUP(RiskRegister[[#This Row],[Residual Impact Level]],'Rating factors'!$F$4:$G$9,2,FALSE)</f>
        <v>#NAME?</v>
      </c>
      <c r="V98" s="16" t="s">
        <v>79</v>
      </c>
      <c r="W98" s="17" t="str">
        <f>VLOOKUP(RiskRegister[[#This Row],[Residual Likelihood Level]],'Rating factors'!$F$16:$G$21,2,FALSE)</f>
        <v>--- Error ---</v>
      </c>
      <c r="X98" s="17" t="str">
        <f ca="1">IFERROR(VLOOKUP(RiskRegister[[#This Row],[Residual Risk Rating]],'Rating factors'!$F$30:$G$44,2,FALSE),"-- Error --")</f>
        <v>-- Error --</v>
      </c>
      <c r="Y98" s="17" t="str">
        <f ca="1">IFERROR(RiskRegister[[#This Row],[Residual Impact Rating]]*RiskRegister[[#This Row],[Residual Likelihood Rating]],"-- Error --")</f>
        <v>-- Error --</v>
      </c>
      <c r="Z98" s="16" t="s">
        <v>100</v>
      </c>
      <c r="AB98" s="39"/>
      <c r="AD98" s="20"/>
    </row>
    <row r="99" spans="1:30" s="16" customFormat="1" hidden="1" x14ac:dyDescent="0.25">
      <c r="A99" s="16">
        <v>96</v>
      </c>
      <c r="G99" s="16" t="s">
        <v>77</v>
      </c>
      <c r="I99" s="16" t="s">
        <v>75</v>
      </c>
      <c r="L99" s="105" t="s">
        <v>99</v>
      </c>
      <c r="M99" s="17" t="str">
        <f>VLOOKUP(RiskRegister[[#This Row],[Inherent Impact LevelL3:L1020D1007L3:L1019]],'Rating factors'!$F$4:$G$9,2,FALSE)</f>
        <v>--- Error ---</v>
      </c>
      <c r="N99" s="16" t="s">
        <v>79</v>
      </c>
      <c r="O99" s="17" t="str">
        <f>VLOOKUP(RiskRegister[[#This Row],[Inherent Likelihood Level]],'Rating factors'!$F$16:$G$21,2,FALSE)</f>
        <v>--- Error ---</v>
      </c>
      <c r="P99" s="17" t="str">
        <f>IFERROR(VLOOKUP(RiskRegister[[#This Row],[Inherent Risk Rating]],'Rating factors'!$F$30:$G$44,2,FALSE),"-- Error --")</f>
        <v>-- Error --</v>
      </c>
      <c r="Q99" s="17" t="str">
        <f>IFERROR(RiskRegister[[#This Row],[Inherent Impact Rating]]*RiskRegister[[#This Row],[Inherent Likelihood Rating]],"-- Error --")</f>
        <v>-- Error --</v>
      </c>
      <c r="R99" s="16" t="s">
        <v>98</v>
      </c>
      <c r="T99" s="16" t="s">
        <v>99</v>
      </c>
      <c r="U99" s="17" t="e" cm="1">
        <f t="array" aca="1" ref="U99" ca="1">+U99:Y1019VLOOKUP(RiskRegister[[#This Row],[Residual Impact Level]],'Rating factors'!$F$4:$G$9,2,FALSE)</f>
        <v>#NAME?</v>
      </c>
      <c r="V99" s="16" t="s">
        <v>79</v>
      </c>
      <c r="W99" s="17" t="str">
        <f>VLOOKUP(RiskRegister[[#This Row],[Residual Likelihood Level]],'Rating factors'!$F$16:$G$21,2,FALSE)</f>
        <v>--- Error ---</v>
      </c>
      <c r="X99" s="17" t="str">
        <f ca="1">IFERROR(VLOOKUP(RiskRegister[[#This Row],[Residual Risk Rating]],'Rating factors'!$F$30:$G$44,2,FALSE),"-- Error --")</f>
        <v>-- Error --</v>
      </c>
      <c r="Y99" s="17" t="str">
        <f ca="1">IFERROR(RiskRegister[[#This Row],[Residual Impact Rating]]*RiskRegister[[#This Row],[Residual Likelihood Rating]],"-- Error --")</f>
        <v>-- Error --</v>
      </c>
      <c r="Z99" s="16" t="s">
        <v>100</v>
      </c>
      <c r="AB99" s="39"/>
      <c r="AD99" s="20"/>
    </row>
    <row r="100" spans="1:30" s="16" customFormat="1" hidden="1" x14ac:dyDescent="0.25">
      <c r="A100" s="16">
        <v>97</v>
      </c>
      <c r="G100" s="16" t="s">
        <v>77</v>
      </c>
      <c r="I100" s="16" t="s">
        <v>75</v>
      </c>
      <c r="L100" s="105" t="s">
        <v>99</v>
      </c>
      <c r="M100" s="17" t="str">
        <f>VLOOKUP(RiskRegister[[#This Row],[Inherent Impact LevelL3:L1020D1007L3:L1019]],'Rating factors'!$F$4:$G$9,2,FALSE)</f>
        <v>--- Error ---</v>
      </c>
      <c r="N100" s="16" t="s">
        <v>79</v>
      </c>
      <c r="O100" s="17" t="str">
        <f>VLOOKUP(RiskRegister[[#This Row],[Inherent Likelihood Level]],'Rating factors'!$F$16:$G$21,2,FALSE)</f>
        <v>--- Error ---</v>
      </c>
      <c r="P100" s="17" t="str">
        <f>IFERROR(VLOOKUP(RiskRegister[[#This Row],[Inherent Risk Rating]],'Rating factors'!$F$30:$G$44,2,FALSE),"-- Error --")</f>
        <v>-- Error --</v>
      </c>
      <c r="Q100" s="17" t="str">
        <f>IFERROR(RiskRegister[[#This Row],[Inherent Impact Rating]]*RiskRegister[[#This Row],[Inherent Likelihood Rating]],"-- Error --")</f>
        <v>-- Error --</v>
      </c>
      <c r="R100" s="16" t="s">
        <v>98</v>
      </c>
      <c r="T100" s="16" t="s">
        <v>99</v>
      </c>
      <c r="U100" s="17" t="e" cm="1">
        <f t="array" aca="1" ref="U100" ca="1">+U100:Y1019VLOOKUP(RiskRegister[[#This Row],[Residual Impact Level]],'Rating factors'!$F$4:$G$9,2,FALSE)</f>
        <v>#NAME?</v>
      </c>
      <c r="V100" s="16" t="s">
        <v>79</v>
      </c>
      <c r="W100" s="17" t="str">
        <f>VLOOKUP(RiskRegister[[#This Row],[Residual Likelihood Level]],'Rating factors'!$F$16:$G$21,2,FALSE)</f>
        <v>--- Error ---</v>
      </c>
      <c r="X100" s="17" t="str">
        <f ca="1">IFERROR(VLOOKUP(RiskRegister[[#This Row],[Residual Risk Rating]],'Rating factors'!$F$30:$G$44,2,FALSE),"-- Error --")</f>
        <v>-- Error --</v>
      </c>
      <c r="Y100" s="17" t="str">
        <f ca="1">IFERROR(RiskRegister[[#This Row],[Residual Impact Rating]]*RiskRegister[[#This Row],[Residual Likelihood Rating]],"-- Error --")</f>
        <v>-- Error --</v>
      </c>
      <c r="Z100" s="16" t="s">
        <v>100</v>
      </c>
      <c r="AB100" s="39"/>
      <c r="AD100" s="20"/>
    </row>
    <row r="101" spans="1:30" s="16" customFormat="1" hidden="1" x14ac:dyDescent="0.25">
      <c r="A101" s="16">
        <v>98</v>
      </c>
      <c r="G101" s="16" t="s">
        <v>77</v>
      </c>
      <c r="I101" s="16" t="s">
        <v>75</v>
      </c>
      <c r="L101" s="105" t="s">
        <v>99</v>
      </c>
      <c r="M101" s="17" t="str">
        <f>VLOOKUP(RiskRegister[[#This Row],[Inherent Impact LevelL3:L1020D1007L3:L1019]],'Rating factors'!$F$4:$G$9,2,FALSE)</f>
        <v>--- Error ---</v>
      </c>
      <c r="N101" s="16" t="s">
        <v>79</v>
      </c>
      <c r="O101" s="17" t="str">
        <f>VLOOKUP(RiskRegister[[#This Row],[Inherent Likelihood Level]],'Rating factors'!$F$16:$G$21,2,FALSE)</f>
        <v>--- Error ---</v>
      </c>
      <c r="P101" s="17" t="str">
        <f>IFERROR(VLOOKUP(RiskRegister[[#This Row],[Inherent Risk Rating]],'Rating factors'!$F$30:$G$44,2,FALSE),"-- Error --")</f>
        <v>-- Error --</v>
      </c>
      <c r="Q101" s="17" t="str">
        <f>IFERROR(RiskRegister[[#This Row],[Inherent Impact Rating]]*RiskRegister[[#This Row],[Inherent Likelihood Rating]],"-- Error --")</f>
        <v>-- Error --</v>
      </c>
      <c r="R101" s="16" t="s">
        <v>98</v>
      </c>
      <c r="T101" s="16" t="s">
        <v>99</v>
      </c>
      <c r="U101" s="17" t="e" cm="1">
        <f t="array" aca="1" ref="U101" ca="1">+U101:Y1019VLOOKUP(RiskRegister[[#This Row],[Residual Impact Level]],'Rating factors'!$F$4:$G$9,2,FALSE)</f>
        <v>#NAME?</v>
      </c>
      <c r="V101" s="16" t="s">
        <v>79</v>
      </c>
      <c r="W101" s="17" t="str">
        <f>VLOOKUP(RiskRegister[[#This Row],[Residual Likelihood Level]],'Rating factors'!$F$16:$G$21,2,FALSE)</f>
        <v>--- Error ---</v>
      </c>
      <c r="X101" s="17" t="str">
        <f ca="1">IFERROR(VLOOKUP(RiskRegister[[#This Row],[Residual Risk Rating]],'Rating factors'!$F$30:$G$44,2,FALSE),"-- Error --")</f>
        <v>-- Error --</v>
      </c>
      <c r="Y101" s="17" t="str">
        <f ca="1">IFERROR(RiskRegister[[#This Row],[Residual Impact Rating]]*RiskRegister[[#This Row],[Residual Likelihood Rating]],"-- Error --")</f>
        <v>-- Error --</v>
      </c>
      <c r="Z101" s="16" t="s">
        <v>100</v>
      </c>
      <c r="AB101" s="39"/>
      <c r="AD101" s="20"/>
    </row>
    <row r="102" spans="1:30" s="16" customFormat="1" hidden="1" x14ac:dyDescent="0.25">
      <c r="A102" s="16">
        <v>99</v>
      </c>
      <c r="G102" s="16" t="s">
        <v>77</v>
      </c>
      <c r="I102" s="16" t="s">
        <v>75</v>
      </c>
      <c r="L102" s="105" t="s">
        <v>99</v>
      </c>
      <c r="M102" s="17" t="str">
        <f>VLOOKUP(RiskRegister[[#This Row],[Inherent Impact LevelL3:L1020D1007L3:L1019]],'Rating factors'!$F$4:$G$9,2,FALSE)</f>
        <v>--- Error ---</v>
      </c>
      <c r="N102" s="16" t="s">
        <v>79</v>
      </c>
      <c r="O102" s="17" t="str">
        <f>VLOOKUP(RiskRegister[[#This Row],[Inherent Likelihood Level]],'Rating factors'!$F$16:$G$21,2,FALSE)</f>
        <v>--- Error ---</v>
      </c>
      <c r="P102" s="17" t="str">
        <f>IFERROR(VLOOKUP(RiskRegister[[#This Row],[Inherent Risk Rating]],'Rating factors'!$F$30:$G$44,2,FALSE),"-- Error --")</f>
        <v>-- Error --</v>
      </c>
      <c r="Q102" s="17" t="str">
        <f>IFERROR(RiskRegister[[#This Row],[Inherent Impact Rating]]*RiskRegister[[#This Row],[Inherent Likelihood Rating]],"-- Error --")</f>
        <v>-- Error --</v>
      </c>
      <c r="R102" s="16" t="s">
        <v>98</v>
      </c>
      <c r="T102" s="16" t="s">
        <v>99</v>
      </c>
      <c r="U102" s="17" t="e" cm="1">
        <f t="array" aca="1" ref="U102" ca="1">+U102:Y1019VLOOKUP(RiskRegister[[#This Row],[Residual Impact Level]],'Rating factors'!$F$4:$G$9,2,FALSE)</f>
        <v>#NAME?</v>
      </c>
      <c r="V102" s="16" t="s">
        <v>79</v>
      </c>
      <c r="W102" s="17" t="str">
        <f>VLOOKUP(RiskRegister[[#This Row],[Residual Likelihood Level]],'Rating factors'!$F$16:$G$21,2,FALSE)</f>
        <v>--- Error ---</v>
      </c>
      <c r="X102" s="17" t="str">
        <f ca="1">IFERROR(VLOOKUP(RiskRegister[[#This Row],[Residual Risk Rating]],'Rating factors'!$F$30:$G$44,2,FALSE),"-- Error --")</f>
        <v>-- Error --</v>
      </c>
      <c r="Y102" s="17" t="str">
        <f ca="1">IFERROR(RiskRegister[[#This Row],[Residual Impact Rating]]*RiskRegister[[#This Row],[Residual Likelihood Rating]],"-- Error --")</f>
        <v>-- Error --</v>
      </c>
      <c r="Z102" s="16" t="s">
        <v>100</v>
      </c>
      <c r="AB102" s="39"/>
      <c r="AD102" s="20"/>
    </row>
    <row r="103" spans="1:30" s="16" customFormat="1" hidden="1" x14ac:dyDescent="0.25">
      <c r="A103" s="16">
        <v>100</v>
      </c>
      <c r="G103" s="16" t="s">
        <v>77</v>
      </c>
      <c r="I103" s="16" t="s">
        <v>75</v>
      </c>
      <c r="L103" s="105" t="s">
        <v>99</v>
      </c>
      <c r="M103" s="17" t="str">
        <f>VLOOKUP(RiskRegister[[#This Row],[Inherent Impact LevelL3:L1020D1007L3:L1019]],'Rating factors'!$F$4:$G$9,2,FALSE)</f>
        <v>--- Error ---</v>
      </c>
      <c r="N103" s="16" t="s">
        <v>79</v>
      </c>
      <c r="O103" s="17" t="str">
        <f>VLOOKUP(RiskRegister[[#This Row],[Inherent Likelihood Level]],'Rating factors'!$F$16:$G$21,2,FALSE)</f>
        <v>--- Error ---</v>
      </c>
      <c r="P103" s="17" t="str">
        <f>IFERROR(VLOOKUP(RiskRegister[[#This Row],[Inherent Risk Rating]],'Rating factors'!$F$30:$G$44,2,FALSE),"-- Error --")</f>
        <v>-- Error --</v>
      </c>
      <c r="Q103" s="17" t="str">
        <f>IFERROR(RiskRegister[[#This Row],[Inherent Impact Rating]]*RiskRegister[[#This Row],[Inherent Likelihood Rating]],"-- Error --")</f>
        <v>-- Error --</v>
      </c>
      <c r="R103" s="16" t="s">
        <v>98</v>
      </c>
      <c r="T103" s="16" t="s">
        <v>99</v>
      </c>
      <c r="U103" s="17" t="e" cm="1">
        <f t="array" aca="1" ref="U103" ca="1">+U103:Y1019VLOOKUP(RiskRegister[[#This Row],[Residual Impact Level]],'Rating factors'!$F$4:$G$9,2,FALSE)</f>
        <v>#NAME?</v>
      </c>
      <c r="V103" s="16" t="s">
        <v>79</v>
      </c>
      <c r="W103" s="17" t="str">
        <f>VLOOKUP(RiskRegister[[#This Row],[Residual Likelihood Level]],'Rating factors'!$F$16:$G$21,2,FALSE)</f>
        <v>--- Error ---</v>
      </c>
      <c r="X103" s="17" t="str">
        <f ca="1">IFERROR(VLOOKUP(RiskRegister[[#This Row],[Residual Risk Rating]],'Rating factors'!$F$30:$G$44,2,FALSE),"-- Error --")</f>
        <v>-- Error --</v>
      </c>
      <c r="Y103" s="17" t="str">
        <f ca="1">IFERROR(RiskRegister[[#This Row],[Residual Impact Rating]]*RiskRegister[[#This Row],[Residual Likelihood Rating]],"-- Error --")</f>
        <v>-- Error --</v>
      </c>
      <c r="Z103" s="16" t="s">
        <v>100</v>
      </c>
      <c r="AB103" s="39"/>
      <c r="AD103" s="20"/>
    </row>
    <row r="104" spans="1:30" s="16" customFormat="1" hidden="1" x14ac:dyDescent="0.25">
      <c r="A104" s="16">
        <v>101</v>
      </c>
      <c r="G104" s="16" t="s">
        <v>77</v>
      </c>
      <c r="I104" s="16" t="s">
        <v>75</v>
      </c>
      <c r="L104" s="105" t="s">
        <v>99</v>
      </c>
      <c r="M104" s="17" t="str">
        <f>VLOOKUP(RiskRegister[[#This Row],[Inherent Impact LevelL3:L1020D1007L3:L1019]],'Rating factors'!$F$4:$G$9,2,FALSE)</f>
        <v>--- Error ---</v>
      </c>
      <c r="N104" s="16" t="s">
        <v>79</v>
      </c>
      <c r="O104" s="17" t="str">
        <f>VLOOKUP(RiskRegister[[#This Row],[Inherent Likelihood Level]],'Rating factors'!$F$16:$G$21,2,FALSE)</f>
        <v>--- Error ---</v>
      </c>
      <c r="P104" s="17" t="str">
        <f>IFERROR(VLOOKUP(RiskRegister[[#This Row],[Inherent Risk Rating]],'Rating factors'!$F$30:$G$44,2,FALSE),"-- Error --")</f>
        <v>-- Error --</v>
      </c>
      <c r="Q104" s="17" t="str">
        <f>IFERROR(RiskRegister[[#This Row],[Inherent Impact Rating]]*RiskRegister[[#This Row],[Inherent Likelihood Rating]],"-- Error --")</f>
        <v>-- Error --</v>
      </c>
      <c r="R104" s="16" t="s">
        <v>98</v>
      </c>
      <c r="T104" s="16" t="s">
        <v>99</v>
      </c>
      <c r="U104" s="17" t="e" cm="1">
        <f t="array" aca="1" ref="U104" ca="1">+U104:Y1019VLOOKUP(RiskRegister[[#This Row],[Residual Impact Level]],'Rating factors'!$F$4:$G$9,2,FALSE)</f>
        <v>#NAME?</v>
      </c>
      <c r="V104" s="16" t="s">
        <v>79</v>
      </c>
      <c r="W104" s="17" t="str">
        <f>VLOOKUP(RiskRegister[[#This Row],[Residual Likelihood Level]],'Rating factors'!$F$16:$G$21,2,FALSE)</f>
        <v>--- Error ---</v>
      </c>
      <c r="X104" s="17" t="str">
        <f ca="1">IFERROR(VLOOKUP(RiskRegister[[#This Row],[Residual Risk Rating]],'Rating factors'!$F$30:$G$44,2,FALSE),"-- Error --")</f>
        <v>-- Error --</v>
      </c>
      <c r="Y104" s="17" t="str">
        <f ca="1">IFERROR(RiskRegister[[#This Row],[Residual Impact Rating]]*RiskRegister[[#This Row],[Residual Likelihood Rating]],"-- Error --")</f>
        <v>-- Error --</v>
      </c>
      <c r="Z104" s="16" t="s">
        <v>100</v>
      </c>
      <c r="AB104" s="39"/>
      <c r="AD104" s="20"/>
    </row>
    <row r="105" spans="1:30" s="16" customFormat="1" hidden="1" x14ac:dyDescent="0.25">
      <c r="A105" s="16">
        <v>102</v>
      </c>
      <c r="G105" s="16" t="s">
        <v>77</v>
      </c>
      <c r="I105" s="16" t="s">
        <v>75</v>
      </c>
      <c r="L105" s="105" t="s">
        <v>99</v>
      </c>
      <c r="M105" s="17" t="str">
        <f>VLOOKUP(RiskRegister[[#This Row],[Inherent Impact LevelL3:L1020D1007L3:L1019]],'Rating factors'!$F$4:$G$9,2,FALSE)</f>
        <v>--- Error ---</v>
      </c>
      <c r="N105" s="16" t="s">
        <v>79</v>
      </c>
      <c r="O105" s="17" t="str">
        <f>VLOOKUP(RiskRegister[[#This Row],[Inherent Likelihood Level]],'Rating factors'!$F$16:$G$21,2,FALSE)</f>
        <v>--- Error ---</v>
      </c>
      <c r="P105" s="17" t="str">
        <f>IFERROR(VLOOKUP(RiskRegister[[#This Row],[Inherent Risk Rating]],'Rating factors'!$F$30:$G$44,2,FALSE),"-- Error --")</f>
        <v>-- Error --</v>
      </c>
      <c r="Q105" s="17" t="str">
        <f>IFERROR(RiskRegister[[#This Row],[Inherent Impact Rating]]*RiskRegister[[#This Row],[Inherent Likelihood Rating]],"-- Error --")</f>
        <v>-- Error --</v>
      </c>
      <c r="R105" s="16" t="s">
        <v>98</v>
      </c>
      <c r="T105" s="16" t="s">
        <v>99</v>
      </c>
      <c r="U105" s="17" t="e" cm="1">
        <f t="array" aca="1" ref="U105" ca="1">+U105:Y1019VLOOKUP(RiskRegister[[#This Row],[Residual Impact Level]],'Rating factors'!$F$4:$G$9,2,FALSE)</f>
        <v>#NAME?</v>
      </c>
      <c r="V105" s="16" t="s">
        <v>79</v>
      </c>
      <c r="W105" s="17" t="str">
        <f>VLOOKUP(RiskRegister[[#This Row],[Residual Likelihood Level]],'Rating factors'!$F$16:$G$21,2,FALSE)</f>
        <v>--- Error ---</v>
      </c>
      <c r="X105" s="17" t="str">
        <f ca="1">IFERROR(VLOOKUP(RiskRegister[[#This Row],[Residual Risk Rating]],'Rating factors'!$F$30:$G$44,2,FALSE),"-- Error --")</f>
        <v>-- Error --</v>
      </c>
      <c r="Y105" s="17" t="str">
        <f ca="1">IFERROR(RiskRegister[[#This Row],[Residual Impact Rating]]*RiskRegister[[#This Row],[Residual Likelihood Rating]],"-- Error --")</f>
        <v>-- Error --</v>
      </c>
      <c r="Z105" s="16" t="s">
        <v>100</v>
      </c>
      <c r="AB105" s="39"/>
      <c r="AD105" s="20"/>
    </row>
    <row r="106" spans="1:30" s="16" customFormat="1" hidden="1" x14ac:dyDescent="0.25">
      <c r="A106" s="16">
        <v>103</v>
      </c>
      <c r="G106" s="16" t="s">
        <v>77</v>
      </c>
      <c r="I106" s="16" t="s">
        <v>75</v>
      </c>
      <c r="L106" s="105" t="s">
        <v>99</v>
      </c>
      <c r="M106" s="17" t="str">
        <f>VLOOKUP(RiskRegister[[#This Row],[Inherent Impact LevelL3:L1020D1007L3:L1019]],'Rating factors'!$F$4:$G$9,2,FALSE)</f>
        <v>--- Error ---</v>
      </c>
      <c r="N106" s="16" t="s">
        <v>79</v>
      </c>
      <c r="O106" s="17" t="str">
        <f>VLOOKUP(RiskRegister[[#This Row],[Inherent Likelihood Level]],'Rating factors'!$F$16:$G$21,2,FALSE)</f>
        <v>--- Error ---</v>
      </c>
      <c r="P106" s="17" t="str">
        <f>IFERROR(VLOOKUP(RiskRegister[[#This Row],[Inherent Risk Rating]],'Rating factors'!$F$30:$G$44,2,FALSE),"-- Error --")</f>
        <v>-- Error --</v>
      </c>
      <c r="Q106" s="17" t="str">
        <f>IFERROR(RiskRegister[[#This Row],[Inherent Impact Rating]]*RiskRegister[[#This Row],[Inherent Likelihood Rating]],"-- Error --")</f>
        <v>-- Error --</v>
      </c>
      <c r="R106" s="16" t="s">
        <v>98</v>
      </c>
      <c r="T106" s="16" t="s">
        <v>99</v>
      </c>
      <c r="U106" s="17" t="e" cm="1">
        <f t="array" aca="1" ref="U106" ca="1">+U106:Y1019VLOOKUP(RiskRegister[[#This Row],[Residual Impact Level]],'Rating factors'!$F$4:$G$9,2,FALSE)</f>
        <v>#NAME?</v>
      </c>
      <c r="V106" s="16" t="s">
        <v>79</v>
      </c>
      <c r="W106" s="17" t="str">
        <f>VLOOKUP(RiskRegister[[#This Row],[Residual Likelihood Level]],'Rating factors'!$F$16:$G$21,2,FALSE)</f>
        <v>--- Error ---</v>
      </c>
      <c r="X106" s="17" t="str">
        <f ca="1">IFERROR(VLOOKUP(RiskRegister[[#This Row],[Residual Risk Rating]],'Rating factors'!$F$30:$G$44,2,FALSE),"-- Error --")</f>
        <v>-- Error --</v>
      </c>
      <c r="Y106" s="17" t="str">
        <f ca="1">IFERROR(RiskRegister[[#This Row],[Residual Impact Rating]]*RiskRegister[[#This Row],[Residual Likelihood Rating]],"-- Error --")</f>
        <v>-- Error --</v>
      </c>
      <c r="Z106" s="16" t="s">
        <v>100</v>
      </c>
      <c r="AB106" s="39"/>
      <c r="AD106" s="20"/>
    </row>
    <row r="107" spans="1:30" s="16" customFormat="1" hidden="1" x14ac:dyDescent="0.25">
      <c r="A107" s="16">
        <v>104</v>
      </c>
      <c r="G107" s="16" t="s">
        <v>77</v>
      </c>
      <c r="I107" s="16" t="s">
        <v>75</v>
      </c>
      <c r="L107" s="105" t="s">
        <v>99</v>
      </c>
      <c r="M107" s="17" t="str">
        <f>VLOOKUP(RiskRegister[[#This Row],[Inherent Impact LevelL3:L1020D1007L3:L1019]],'Rating factors'!$F$4:$G$9,2,FALSE)</f>
        <v>--- Error ---</v>
      </c>
      <c r="N107" s="16" t="s">
        <v>79</v>
      </c>
      <c r="O107" s="17" t="str">
        <f>VLOOKUP(RiskRegister[[#This Row],[Inherent Likelihood Level]],'Rating factors'!$F$16:$G$21,2,FALSE)</f>
        <v>--- Error ---</v>
      </c>
      <c r="P107" s="17" t="str">
        <f>IFERROR(VLOOKUP(RiskRegister[[#This Row],[Inherent Risk Rating]],'Rating factors'!$F$30:$G$44,2,FALSE),"-- Error --")</f>
        <v>-- Error --</v>
      </c>
      <c r="Q107" s="17" t="str">
        <f>IFERROR(RiskRegister[[#This Row],[Inherent Impact Rating]]*RiskRegister[[#This Row],[Inherent Likelihood Rating]],"-- Error --")</f>
        <v>-- Error --</v>
      </c>
      <c r="R107" s="16" t="s">
        <v>98</v>
      </c>
      <c r="T107" s="16" t="s">
        <v>99</v>
      </c>
      <c r="U107" s="17" t="e" cm="1">
        <f t="array" aca="1" ref="U107" ca="1">+U107:Y1019VLOOKUP(RiskRegister[[#This Row],[Residual Impact Level]],'Rating factors'!$F$4:$G$9,2,FALSE)</f>
        <v>#NAME?</v>
      </c>
      <c r="V107" s="16" t="s">
        <v>79</v>
      </c>
      <c r="W107" s="17" t="str">
        <f>VLOOKUP(RiskRegister[[#This Row],[Residual Likelihood Level]],'Rating factors'!$F$16:$G$21,2,FALSE)</f>
        <v>--- Error ---</v>
      </c>
      <c r="X107" s="17" t="str">
        <f ca="1">IFERROR(VLOOKUP(RiskRegister[[#This Row],[Residual Risk Rating]],'Rating factors'!$F$30:$G$44,2,FALSE),"-- Error --")</f>
        <v>-- Error --</v>
      </c>
      <c r="Y107" s="17" t="str">
        <f ca="1">IFERROR(RiskRegister[[#This Row],[Residual Impact Rating]]*RiskRegister[[#This Row],[Residual Likelihood Rating]],"-- Error --")</f>
        <v>-- Error --</v>
      </c>
      <c r="Z107" s="16" t="s">
        <v>100</v>
      </c>
      <c r="AB107" s="39"/>
      <c r="AD107" s="20"/>
    </row>
    <row r="108" spans="1:30" s="16" customFormat="1" hidden="1" x14ac:dyDescent="0.25">
      <c r="A108" s="16">
        <v>105</v>
      </c>
      <c r="G108" s="16" t="s">
        <v>77</v>
      </c>
      <c r="I108" s="16" t="s">
        <v>75</v>
      </c>
      <c r="L108" s="105" t="s">
        <v>99</v>
      </c>
      <c r="M108" s="17" t="str">
        <f>VLOOKUP(RiskRegister[[#This Row],[Inherent Impact LevelL3:L1020D1007L3:L1019]],'Rating factors'!$F$4:$G$9,2,FALSE)</f>
        <v>--- Error ---</v>
      </c>
      <c r="N108" s="16" t="s">
        <v>79</v>
      </c>
      <c r="O108" s="17" t="str">
        <f>VLOOKUP(RiskRegister[[#This Row],[Inherent Likelihood Level]],'Rating factors'!$F$16:$G$21,2,FALSE)</f>
        <v>--- Error ---</v>
      </c>
      <c r="P108" s="17" t="str">
        <f>IFERROR(VLOOKUP(RiskRegister[[#This Row],[Inherent Risk Rating]],'Rating factors'!$F$30:$G$44,2,FALSE),"-- Error --")</f>
        <v>-- Error --</v>
      </c>
      <c r="Q108" s="17" t="str">
        <f>IFERROR(RiskRegister[[#This Row],[Inherent Impact Rating]]*RiskRegister[[#This Row],[Inherent Likelihood Rating]],"-- Error --")</f>
        <v>-- Error --</v>
      </c>
      <c r="R108" s="16" t="s">
        <v>98</v>
      </c>
      <c r="T108" s="16" t="s">
        <v>99</v>
      </c>
      <c r="U108" s="17" t="e" cm="1">
        <f t="array" aca="1" ref="U108" ca="1">+U108:Y1019VLOOKUP(RiskRegister[[#This Row],[Residual Impact Level]],'Rating factors'!$F$4:$G$9,2,FALSE)</f>
        <v>#NAME?</v>
      </c>
      <c r="V108" s="16" t="s">
        <v>79</v>
      </c>
      <c r="W108" s="17" t="str">
        <f>VLOOKUP(RiskRegister[[#This Row],[Residual Likelihood Level]],'Rating factors'!$F$16:$G$21,2,FALSE)</f>
        <v>--- Error ---</v>
      </c>
      <c r="X108" s="17" t="str">
        <f ca="1">IFERROR(VLOOKUP(RiskRegister[[#This Row],[Residual Risk Rating]],'Rating factors'!$F$30:$G$44,2,FALSE),"-- Error --")</f>
        <v>-- Error --</v>
      </c>
      <c r="Y108" s="17" t="str">
        <f ca="1">IFERROR(RiskRegister[[#This Row],[Residual Impact Rating]]*RiskRegister[[#This Row],[Residual Likelihood Rating]],"-- Error --")</f>
        <v>-- Error --</v>
      </c>
      <c r="Z108" s="16" t="s">
        <v>100</v>
      </c>
      <c r="AB108" s="39"/>
      <c r="AD108" s="20"/>
    </row>
    <row r="109" spans="1:30" s="16" customFormat="1" hidden="1" x14ac:dyDescent="0.25">
      <c r="A109" s="16">
        <v>106</v>
      </c>
      <c r="G109" s="16" t="s">
        <v>77</v>
      </c>
      <c r="I109" s="16" t="s">
        <v>75</v>
      </c>
      <c r="L109" s="105" t="s">
        <v>99</v>
      </c>
      <c r="M109" s="17" t="str">
        <f>VLOOKUP(RiskRegister[[#This Row],[Inherent Impact LevelL3:L1020D1007L3:L1019]],'Rating factors'!$F$4:$G$9,2,FALSE)</f>
        <v>--- Error ---</v>
      </c>
      <c r="N109" s="16" t="s">
        <v>79</v>
      </c>
      <c r="O109" s="17" t="str">
        <f>VLOOKUP(RiskRegister[[#This Row],[Inherent Likelihood Level]],'Rating factors'!$F$16:$G$21,2,FALSE)</f>
        <v>--- Error ---</v>
      </c>
      <c r="P109" s="17" t="str">
        <f>IFERROR(VLOOKUP(RiskRegister[[#This Row],[Inherent Risk Rating]],'Rating factors'!$F$30:$G$44,2,FALSE),"-- Error --")</f>
        <v>-- Error --</v>
      </c>
      <c r="Q109" s="17" t="str">
        <f>IFERROR(RiskRegister[[#This Row],[Inherent Impact Rating]]*RiskRegister[[#This Row],[Inherent Likelihood Rating]],"-- Error --")</f>
        <v>-- Error --</v>
      </c>
      <c r="R109" s="16" t="s">
        <v>98</v>
      </c>
      <c r="T109" s="16" t="s">
        <v>99</v>
      </c>
      <c r="U109" s="17" t="e" cm="1">
        <f t="array" aca="1" ref="U109" ca="1">+U109:Y1019VLOOKUP(RiskRegister[[#This Row],[Residual Impact Level]],'Rating factors'!$F$4:$G$9,2,FALSE)</f>
        <v>#NAME?</v>
      </c>
      <c r="V109" s="16" t="s">
        <v>79</v>
      </c>
      <c r="W109" s="17" t="str">
        <f>VLOOKUP(RiskRegister[[#This Row],[Residual Likelihood Level]],'Rating factors'!$F$16:$G$21,2,FALSE)</f>
        <v>--- Error ---</v>
      </c>
      <c r="X109" s="17" t="str">
        <f ca="1">IFERROR(VLOOKUP(RiskRegister[[#This Row],[Residual Risk Rating]],'Rating factors'!$F$30:$G$44,2,FALSE),"-- Error --")</f>
        <v>-- Error --</v>
      </c>
      <c r="Y109" s="17" t="str">
        <f ca="1">IFERROR(RiskRegister[[#This Row],[Residual Impact Rating]]*RiskRegister[[#This Row],[Residual Likelihood Rating]],"-- Error --")</f>
        <v>-- Error --</v>
      </c>
      <c r="Z109" s="16" t="s">
        <v>100</v>
      </c>
      <c r="AB109" s="39"/>
      <c r="AD109" s="20"/>
    </row>
    <row r="110" spans="1:30" s="16" customFormat="1" hidden="1" x14ac:dyDescent="0.25">
      <c r="A110" s="16">
        <v>107</v>
      </c>
      <c r="G110" s="16" t="s">
        <v>77</v>
      </c>
      <c r="I110" s="16" t="s">
        <v>75</v>
      </c>
      <c r="L110" s="105" t="s">
        <v>99</v>
      </c>
      <c r="M110" s="17" t="str">
        <f>VLOOKUP(RiskRegister[[#This Row],[Inherent Impact LevelL3:L1020D1007L3:L1019]],'Rating factors'!$F$4:$G$9,2,FALSE)</f>
        <v>--- Error ---</v>
      </c>
      <c r="N110" s="16" t="s">
        <v>79</v>
      </c>
      <c r="O110" s="17" t="str">
        <f>VLOOKUP(RiskRegister[[#This Row],[Inherent Likelihood Level]],'Rating factors'!$F$16:$G$21,2,FALSE)</f>
        <v>--- Error ---</v>
      </c>
      <c r="P110" s="17" t="str">
        <f>IFERROR(VLOOKUP(RiskRegister[[#This Row],[Inherent Risk Rating]],'Rating factors'!$F$30:$G$44,2,FALSE),"-- Error --")</f>
        <v>-- Error --</v>
      </c>
      <c r="Q110" s="17" t="str">
        <f>IFERROR(RiskRegister[[#This Row],[Inherent Impact Rating]]*RiskRegister[[#This Row],[Inherent Likelihood Rating]],"-- Error --")</f>
        <v>-- Error --</v>
      </c>
      <c r="R110" s="16" t="s">
        <v>98</v>
      </c>
      <c r="T110" s="16" t="s">
        <v>99</v>
      </c>
      <c r="U110" s="17" t="e" cm="1">
        <f t="array" aca="1" ref="U110" ca="1">+U110:Y1019VLOOKUP(RiskRegister[[#This Row],[Residual Impact Level]],'Rating factors'!$F$4:$G$9,2,FALSE)</f>
        <v>#NAME?</v>
      </c>
      <c r="V110" s="16" t="s">
        <v>79</v>
      </c>
      <c r="W110" s="17" t="str">
        <f>VLOOKUP(RiskRegister[[#This Row],[Residual Likelihood Level]],'Rating factors'!$F$16:$G$21,2,FALSE)</f>
        <v>--- Error ---</v>
      </c>
      <c r="X110" s="17" t="str">
        <f ca="1">IFERROR(VLOOKUP(RiskRegister[[#This Row],[Residual Risk Rating]],'Rating factors'!$F$30:$G$44,2,FALSE),"-- Error --")</f>
        <v>-- Error --</v>
      </c>
      <c r="Y110" s="17" t="str">
        <f ca="1">IFERROR(RiskRegister[[#This Row],[Residual Impact Rating]]*RiskRegister[[#This Row],[Residual Likelihood Rating]],"-- Error --")</f>
        <v>-- Error --</v>
      </c>
      <c r="Z110" s="16" t="s">
        <v>100</v>
      </c>
      <c r="AB110" s="39"/>
      <c r="AD110" s="20"/>
    </row>
    <row r="111" spans="1:30" s="16" customFormat="1" hidden="1" x14ac:dyDescent="0.25">
      <c r="A111" s="16">
        <v>108</v>
      </c>
      <c r="G111" s="16" t="s">
        <v>77</v>
      </c>
      <c r="I111" s="16" t="s">
        <v>75</v>
      </c>
      <c r="L111" s="105" t="s">
        <v>99</v>
      </c>
      <c r="M111" s="17" t="str">
        <f>VLOOKUP(RiskRegister[[#This Row],[Inherent Impact LevelL3:L1020D1007L3:L1019]],'Rating factors'!$F$4:$G$9,2,FALSE)</f>
        <v>--- Error ---</v>
      </c>
      <c r="N111" s="16" t="s">
        <v>79</v>
      </c>
      <c r="O111" s="17" t="str">
        <f>VLOOKUP(RiskRegister[[#This Row],[Inherent Likelihood Level]],'Rating factors'!$F$16:$G$21,2,FALSE)</f>
        <v>--- Error ---</v>
      </c>
      <c r="P111" s="17" t="str">
        <f>IFERROR(VLOOKUP(RiskRegister[[#This Row],[Inherent Risk Rating]],'Rating factors'!$F$30:$G$44,2,FALSE),"-- Error --")</f>
        <v>-- Error --</v>
      </c>
      <c r="Q111" s="17" t="str">
        <f>IFERROR(RiskRegister[[#This Row],[Inherent Impact Rating]]*RiskRegister[[#This Row],[Inherent Likelihood Rating]],"-- Error --")</f>
        <v>-- Error --</v>
      </c>
      <c r="R111" s="16" t="s">
        <v>98</v>
      </c>
      <c r="T111" s="16" t="s">
        <v>99</v>
      </c>
      <c r="U111" s="17" t="e" cm="1">
        <f t="array" aca="1" ref="U111" ca="1">+U111:Y1019VLOOKUP(RiskRegister[[#This Row],[Residual Impact Level]],'Rating factors'!$F$4:$G$9,2,FALSE)</f>
        <v>#NAME?</v>
      </c>
      <c r="V111" s="16" t="s">
        <v>79</v>
      </c>
      <c r="W111" s="17" t="str">
        <f>VLOOKUP(RiskRegister[[#This Row],[Residual Likelihood Level]],'Rating factors'!$F$16:$G$21,2,FALSE)</f>
        <v>--- Error ---</v>
      </c>
      <c r="X111" s="17" t="str">
        <f ca="1">IFERROR(VLOOKUP(RiskRegister[[#This Row],[Residual Risk Rating]],'Rating factors'!$F$30:$G$44,2,FALSE),"-- Error --")</f>
        <v>-- Error --</v>
      </c>
      <c r="Y111" s="17" t="str">
        <f ca="1">IFERROR(RiskRegister[[#This Row],[Residual Impact Rating]]*RiskRegister[[#This Row],[Residual Likelihood Rating]],"-- Error --")</f>
        <v>-- Error --</v>
      </c>
      <c r="Z111" s="16" t="s">
        <v>100</v>
      </c>
      <c r="AB111" s="39"/>
      <c r="AD111" s="20"/>
    </row>
    <row r="112" spans="1:30" s="16" customFormat="1" hidden="1" x14ac:dyDescent="0.25">
      <c r="A112" s="16">
        <v>109</v>
      </c>
      <c r="G112" s="16" t="s">
        <v>77</v>
      </c>
      <c r="I112" s="16" t="s">
        <v>75</v>
      </c>
      <c r="L112" s="105" t="s">
        <v>99</v>
      </c>
      <c r="M112" s="17" t="str">
        <f>VLOOKUP(RiskRegister[[#This Row],[Inherent Impact LevelL3:L1020D1007L3:L1019]],'Rating factors'!$F$4:$G$9,2,FALSE)</f>
        <v>--- Error ---</v>
      </c>
      <c r="N112" s="16" t="s">
        <v>79</v>
      </c>
      <c r="O112" s="17" t="str">
        <f>VLOOKUP(RiskRegister[[#This Row],[Inherent Likelihood Level]],'Rating factors'!$F$16:$G$21,2,FALSE)</f>
        <v>--- Error ---</v>
      </c>
      <c r="P112" s="17" t="str">
        <f>IFERROR(VLOOKUP(RiskRegister[[#This Row],[Inherent Risk Rating]],'Rating factors'!$F$30:$G$44,2,FALSE),"-- Error --")</f>
        <v>-- Error --</v>
      </c>
      <c r="Q112" s="17" t="str">
        <f>IFERROR(RiskRegister[[#This Row],[Inherent Impact Rating]]*RiskRegister[[#This Row],[Inherent Likelihood Rating]],"-- Error --")</f>
        <v>-- Error --</v>
      </c>
      <c r="R112" s="16" t="s">
        <v>98</v>
      </c>
      <c r="T112" s="16" t="s">
        <v>99</v>
      </c>
      <c r="U112" s="17" t="e" cm="1">
        <f t="array" aca="1" ref="U112" ca="1">+U112:Y1019VLOOKUP(RiskRegister[[#This Row],[Residual Impact Level]],'Rating factors'!$F$4:$G$9,2,FALSE)</f>
        <v>#NAME?</v>
      </c>
      <c r="V112" s="16" t="s">
        <v>79</v>
      </c>
      <c r="W112" s="17" t="str">
        <f>VLOOKUP(RiskRegister[[#This Row],[Residual Likelihood Level]],'Rating factors'!$F$16:$G$21,2,FALSE)</f>
        <v>--- Error ---</v>
      </c>
      <c r="X112" s="17" t="str">
        <f ca="1">IFERROR(VLOOKUP(RiskRegister[[#This Row],[Residual Risk Rating]],'Rating factors'!$F$30:$G$44,2,FALSE),"-- Error --")</f>
        <v>-- Error --</v>
      </c>
      <c r="Y112" s="17" t="str">
        <f ca="1">IFERROR(RiskRegister[[#This Row],[Residual Impact Rating]]*RiskRegister[[#This Row],[Residual Likelihood Rating]],"-- Error --")</f>
        <v>-- Error --</v>
      </c>
      <c r="Z112" s="16" t="s">
        <v>100</v>
      </c>
      <c r="AB112" s="39"/>
      <c r="AD112" s="20"/>
    </row>
    <row r="113" spans="1:30" s="16" customFormat="1" hidden="1" x14ac:dyDescent="0.25">
      <c r="A113" s="16">
        <v>110</v>
      </c>
      <c r="G113" s="16" t="s">
        <v>77</v>
      </c>
      <c r="I113" s="16" t="s">
        <v>75</v>
      </c>
      <c r="L113" s="105" t="s">
        <v>99</v>
      </c>
      <c r="M113" s="17" t="str">
        <f>VLOOKUP(RiskRegister[[#This Row],[Inherent Impact LevelL3:L1020D1007L3:L1019]],'Rating factors'!$F$4:$G$9,2,FALSE)</f>
        <v>--- Error ---</v>
      </c>
      <c r="N113" s="16" t="s">
        <v>79</v>
      </c>
      <c r="O113" s="17" t="str">
        <f>VLOOKUP(RiskRegister[[#This Row],[Inherent Likelihood Level]],'Rating factors'!$F$16:$G$21,2,FALSE)</f>
        <v>--- Error ---</v>
      </c>
      <c r="P113" s="17" t="str">
        <f>IFERROR(VLOOKUP(RiskRegister[[#This Row],[Inherent Risk Rating]],'Rating factors'!$F$30:$G$44,2,FALSE),"-- Error --")</f>
        <v>-- Error --</v>
      </c>
      <c r="Q113" s="17" t="str">
        <f>IFERROR(RiskRegister[[#This Row],[Inherent Impact Rating]]*RiskRegister[[#This Row],[Inherent Likelihood Rating]],"-- Error --")</f>
        <v>-- Error --</v>
      </c>
      <c r="R113" s="16" t="s">
        <v>98</v>
      </c>
      <c r="T113" s="16" t="s">
        <v>99</v>
      </c>
      <c r="U113" s="17" t="e" cm="1">
        <f t="array" aca="1" ref="U113" ca="1">+U113:Y1019VLOOKUP(RiskRegister[[#This Row],[Residual Impact Level]],'Rating factors'!$F$4:$G$9,2,FALSE)</f>
        <v>#NAME?</v>
      </c>
      <c r="V113" s="16" t="s">
        <v>79</v>
      </c>
      <c r="W113" s="17" t="str">
        <f>VLOOKUP(RiskRegister[[#This Row],[Residual Likelihood Level]],'Rating factors'!$F$16:$G$21,2,FALSE)</f>
        <v>--- Error ---</v>
      </c>
      <c r="X113" s="17" t="str">
        <f ca="1">IFERROR(VLOOKUP(RiskRegister[[#This Row],[Residual Risk Rating]],'Rating factors'!$F$30:$G$44,2,FALSE),"-- Error --")</f>
        <v>-- Error --</v>
      </c>
      <c r="Y113" s="17" t="str">
        <f ca="1">IFERROR(RiskRegister[[#This Row],[Residual Impact Rating]]*RiskRegister[[#This Row],[Residual Likelihood Rating]],"-- Error --")</f>
        <v>-- Error --</v>
      </c>
      <c r="Z113" s="16" t="s">
        <v>100</v>
      </c>
      <c r="AB113" s="39"/>
      <c r="AD113" s="20"/>
    </row>
    <row r="114" spans="1:30" s="16" customFormat="1" hidden="1" x14ac:dyDescent="0.25">
      <c r="A114" s="16">
        <v>111</v>
      </c>
      <c r="G114" s="16" t="s">
        <v>77</v>
      </c>
      <c r="I114" s="16" t="s">
        <v>75</v>
      </c>
      <c r="L114" s="105" t="s">
        <v>99</v>
      </c>
      <c r="M114" s="17" t="str">
        <f>VLOOKUP(RiskRegister[[#This Row],[Inherent Impact LevelL3:L1020D1007L3:L1019]],'Rating factors'!$F$4:$G$9,2,FALSE)</f>
        <v>--- Error ---</v>
      </c>
      <c r="N114" s="16" t="s">
        <v>79</v>
      </c>
      <c r="O114" s="17" t="str">
        <f>VLOOKUP(RiskRegister[[#This Row],[Inherent Likelihood Level]],'Rating factors'!$F$16:$G$21,2,FALSE)</f>
        <v>--- Error ---</v>
      </c>
      <c r="P114" s="17" t="str">
        <f>IFERROR(VLOOKUP(RiskRegister[[#This Row],[Inherent Risk Rating]],'Rating factors'!$F$30:$G$44,2,FALSE),"-- Error --")</f>
        <v>-- Error --</v>
      </c>
      <c r="Q114" s="17" t="str">
        <f>IFERROR(RiskRegister[[#This Row],[Inherent Impact Rating]]*RiskRegister[[#This Row],[Inherent Likelihood Rating]],"-- Error --")</f>
        <v>-- Error --</v>
      </c>
      <c r="R114" s="16" t="s">
        <v>98</v>
      </c>
      <c r="T114" s="16" t="s">
        <v>99</v>
      </c>
      <c r="U114" s="17" t="e" cm="1">
        <f t="array" aca="1" ref="U114" ca="1">+U114:Y1019VLOOKUP(RiskRegister[[#This Row],[Residual Impact Level]],'Rating factors'!$F$4:$G$9,2,FALSE)</f>
        <v>#NAME?</v>
      </c>
      <c r="V114" s="16" t="s">
        <v>79</v>
      </c>
      <c r="W114" s="17" t="str">
        <f>VLOOKUP(RiskRegister[[#This Row],[Residual Likelihood Level]],'Rating factors'!$F$16:$G$21,2,FALSE)</f>
        <v>--- Error ---</v>
      </c>
      <c r="X114" s="17" t="str">
        <f ca="1">IFERROR(VLOOKUP(RiskRegister[[#This Row],[Residual Risk Rating]],'Rating factors'!$F$30:$G$44,2,FALSE),"-- Error --")</f>
        <v>-- Error --</v>
      </c>
      <c r="Y114" s="17" t="str">
        <f ca="1">IFERROR(RiskRegister[[#This Row],[Residual Impact Rating]]*RiskRegister[[#This Row],[Residual Likelihood Rating]],"-- Error --")</f>
        <v>-- Error --</v>
      </c>
      <c r="Z114" s="16" t="s">
        <v>100</v>
      </c>
      <c r="AB114" s="39"/>
      <c r="AD114" s="20"/>
    </row>
    <row r="115" spans="1:30" s="16" customFormat="1" hidden="1" x14ac:dyDescent="0.25">
      <c r="A115" s="16">
        <v>112</v>
      </c>
      <c r="G115" s="16" t="s">
        <v>77</v>
      </c>
      <c r="I115" s="16" t="s">
        <v>75</v>
      </c>
      <c r="L115" s="105" t="s">
        <v>99</v>
      </c>
      <c r="M115" s="17" t="str">
        <f>VLOOKUP(RiskRegister[[#This Row],[Inherent Impact LevelL3:L1020D1007L3:L1019]],'Rating factors'!$F$4:$G$9,2,FALSE)</f>
        <v>--- Error ---</v>
      </c>
      <c r="N115" s="16" t="s">
        <v>79</v>
      </c>
      <c r="O115" s="17" t="str">
        <f>VLOOKUP(RiskRegister[[#This Row],[Inherent Likelihood Level]],'Rating factors'!$F$16:$G$21,2,FALSE)</f>
        <v>--- Error ---</v>
      </c>
      <c r="P115" s="17" t="str">
        <f>IFERROR(VLOOKUP(RiskRegister[[#This Row],[Inherent Risk Rating]],'Rating factors'!$F$30:$G$44,2,FALSE),"-- Error --")</f>
        <v>-- Error --</v>
      </c>
      <c r="Q115" s="17" t="str">
        <f>IFERROR(RiskRegister[[#This Row],[Inherent Impact Rating]]*RiskRegister[[#This Row],[Inherent Likelihood Rating]],"-- Error --")</f>
        <v>-- Error --</v>
      </c>
      <c r="R115" s="16" t="s">
        <v>98</v>
      </c>
      <c r="T115" s="16" t="s">
        <v>99</v>
      </c>
      <c r="U115" s="17" t="e" cm="1">
        <f t="array" aca="1" ref="U115" ca="1">+U115:Y1019VLOOKUP(RiskRegister[[#This Row],[Residual Impact Level]],'Rating factors'!$F$4:$G$9,2,FALSE)</f>
        <v>#NAME?</v>
      </c>
      <c r="V115" s="16" t="s">
        <v>79</v>
      </c>
      <c r="W115" s="17" t="str">
        <f>VLOOKUP(RiskRegister[[#This Row],[Residual Likelihood Level]],'Rating factors'!$F$16:$G$21,2,FALSE)</f>
        <v>--- Error ---</v>
      </c>
      <c r="X115" s="17" t="str">
        <f ca="1">IFERROR(VLOOKUP(RiskRegister[[#This Row],[Residual Risk Rating]],'Rating factors'!$F$30:$G$44,2,FALSE),"-- Error --")</f>
        <v>-- Error --</v>
      </c>
      <c r="Y115" s="17" t="str">
        <f ca="1">IFERROR(RiskRegister[[#This Row],[Residual Impact Rating]]*RiskRegister[[#This Row],[Residual Likelihood Rating]],"-- Error --")</f>
        <v>-- Error --</v>
      </c>
      <c r="Z115" s="16" t="s">
        <v>100</v>
      </c>
      <c r="AB115" s="39"/>
      <c r="AD115" s="20"/>
    </row>
    <row r="116" spans="1:30" s="16" customFormat="1" hidden="1" x14ac:dyDescent="0.25">
      <c r="A116" s="16">
        <v>113</v>
      </c>
      <c r="G116" s="16" t="s">
        <v>77</v>
      </c>
      <c r="I116" s="16" t="s">
        <v>75</v>
      </c>
      <c r="L116" s="105" t="s">
        <v>99</v>
      </c>
      <c r="M116" s="17" t="str">
        <f>VLOOKUP(RiskRegister[[#This Row],[Inherent Impact LevelL3:L1020D1007L3:L1019]],'Rating factors'!$F$4:$G$9,2,FALSE)</f>
        <v>--- Error ---</v>
      </c>
      <c r="N116" s="16" t="s">
        <v>79</v>
      </c>
      <c r="O116" s="17" t="str">
        <f>VLOOKUP(RiskRegister[[#This Row],[Inherent Likelihood Level]],'Rating factors'!$F$16:$G$21,2,FALSE)</f>
        <v>--- Error ---</v>
      </c>
      <c r="P116" s="17" t="str">
        <f>IFERROR(VLOOKUP(RiskRegister[[#This Row],[Inherent Risk Rating]],'Rating factors'!$F$30:$G$44,2,FALSE),"-- Error --")</f>
        <v>-- Error --</v>
      </c>
      <c r="Q116" s="17" t="str">
        <f>IFERROR(RiskRegister[[#This Row],[Inherent Impact Rating]]*RiskRegister[[#This Row],[Inherent Likelihood Rating]],"-- Error --")</f>
        <v>-- Error --</v>
      </c>
      <c r="R116" s="16" t="s">
        <v>98</v>
      </c>
      <c r="T116" s="16" t="s">
        <v>99</v>
      </c>
      <c r="U116" s="17" t="e" cm="1">
        <f t="array" aca="1" ref="U116" ca="1">+U116:Y1019VLOOKUP(RiskRegister[[#This Row],[Residual Impact Level]],'Rating factors'!$F$4:$G$9,2,FALSE)</f>
        <v>#NAME?</v>
      </c>
      <c r="V116" s="16" t="s">
        <v>79</v>
      </c>
      <c r="W116" s="17" t="str">
        <f>VLOOKUP(RiskRegister[[#This Row],[Residual Likelihood Level]],'Rating factors'!$F$16:$G$21,2,FALSE)</f>
        <v>--- Error ---</v>
      </c>
      <c r="X116" s="17" t="str">
        <f ca="1">IFERROR(VLOOKUP(RiskRegister[[#This Row],[Residual Risk Rating]],'Rating factors'!$F$30:$G$44,2,FALSE),"-- Error --")</f>
        <v>-- Error --</v>
      </c>
      <c r="Y116" s="17" t="str">
        <f ca="1">IFERROR(RiskRegister[[#This Row],[Residual Impact Rating]]*RiskRegister[[#This Row],[Residual Likelihood Rating]],"-- Error --")</f>
        <v>-- Error --</v>
      </c>
      <c r="Z116" s="16" t="s">
        <v>100</v>
      </c>
      <c r="AB116" s="39"/>
      <c r="AD116" s="20"/>
    </row>
    <row r="117" spans="1:30" s="16" customFormat="1" hidden="1" x14ac:dyDescent="0.25">
      <c r="A117" s="16">
        <v>114</v>
      </c>
      <c r="G117" s="16" t="s">
        <v>77</v>
      </c>
      <c r="I117" s="16" t="s">
        <v>75</v>
      </c>
      <c r="L117" s="105" t="s">
        <v>99</v>
      </c>
      <c r="M117" s="17" t="str">
        <f>VLOOKUP(RiskRegister[[#This Row],[Inherent Impact LevelL3:L1020D1007L3:L1019]],'Rating factors'!$F$4:$G$9,2,FALSE)</f>
        <v>--- Error ---</v>
      </c>
      <c r="N117" s="16" t="s">
        <v>79</v>
      </c>
      <c r="O117" s="17" t="str">
        <f>VLOOKUP(RiskRegister[[#This Row],[Inherent Likelihood Level]],'Rating factors'!$F$16:$G$21,2,FALSE)</f>
        <v>--- Error ---</v>
      </c>
      <c r="P117" s="17" t="str">
        <f>IFERROR(VLOOKUP(RiskRegister[[#This Row],[Inherent Risk Rating]],'Rating factors'!$F$30:$G$44,2,FALSE),"-- Error --")</f>
        <v>-- Error --</v>
      </c>
      <c r="Q117" s="17" t="str">
        <f>IFERROR(RiskRegister[[#This Row],[Inherent Impact Rating]]*RiskRegister[[#This Row],[Inherent Likelihood Rating]],"-- Error --")</f>
        <v>-- Error --</v>
      </c>
      <c r="R117" s="16" t="s">
        <v>98</v>
      </c>
      <c r="T117" s="16" t="s">
        <v>99</v>
      </c>
      <c r="U117" s="17" t="e" cm="1">
        <f t="array" aca="1" ref="U117" ca="1">+U117:Y1019VLOOKUP(RiskRegister[[#This Row],[Residual Impact Level]],'Rating factors'!$F$4:$G$9,2,FALSE)</f>
        <v>#NAME?</v>
      </c>
      <c r="V117" s="16" t="s">
        <v>79</v>
      </c>
      <c r="W117" s="17" t="str">
        <f>VLOOKUP(RiskRegister[[#This Row],[Residual Likelihood Level]],'Rating factors'!$F$16:$G$21,2,FALSE)</f>
        <v>--- Error ---</v>
      </c>
      <c r="X117" s="17" t="str">
        <f ca="1">IFERROR(VLOOKUP(RiskRegister[[#This Row],[Residual Risk Rating]],'Rating factors'!$F$30:$G$44,2,FALSE),"-- Error --")</f>
        <v>-- Error --</v>
      </c>
      <c r="Y117" s="17" t="str">
        <f ca="1">IFERROR(RiskRegister[[#This Row],[Residual Impact Rating]]*RiskRegister[[#This Row],[Residual Likelihood Rating]],"-- Error --")</f>
        <v>-- Error --</v>
      </c>
      <c r="Z117" s="16" t="s">
        <v>100</v>
      </c>
      <c r="AB117" s="39"/>
      <c r="AD117" s="20"/>
    </row>
    <row r="118" spans="1:30" s="16" customFormat="1" hidden="1" x14ac:dyDescent="0.25">
      <c r="A118" s="16">
        <v>115</v>
      </c>
      <c r="G118" s="16" t="s">
        <v>77</v>
      </c>
      <c r="I118" s="16" t="s">
        <v>75</v>
      </c>
      <c r="L118" s="105" t="s">
        <v>99</v>
      </c>
      <c r="M118" s="17" t="str">
        <f>VLOOKUP(RiskRegister[[#This Row],[Inherent Impact LevelL3:L1020D1007L3:L1019]],'Rating factors'!$F$4:$G$9,2,FALSE)</f>
        <v>--- Error ---</v>
      </c>
      <c r="N118" s="16" t="s">
        <v>79</v>
      </c>
      <c r="O118" s="17" t="str">
        <f>VLOOKUP(RiskRegister[[#This Row],[Inherent Likelihood Level]],'Rating factors'!$F$16:$G$21,2,FALSE)</f>
        <v>--- Error ---</v>
      </c>
      <c r="P118" s="17" t="str">
        <f>IFERROR(VLOOKUP(RiskRegister[[#This Row],[Inherent Risk Rating]],'Rating factors'!$F$30:$G$44,2,FALSE),"-- Error --")</f>
        <v>-- Error --</v>
      </c>
      <c r="Q118" s="17" t="str">
        <f>IFERROR(RiskRegister[[#This Row],[Inherent Impact Rating]]*RiskRegister[[#This Row],[Inherent Likelihood Rating]],"-- Error --")</f>
        <v>-- Error --</v>
      </c>
      <c r="R118" s="16" t="s">
        <v>98</v>
      </c>
      <c r="T118" s="16" t="s">
        <v>99</v>
      </c>
      <c r="U118" s="17" t="e" cm="1">
        <f t="array" aca="1" ref="U118" ca="1">+U118:Y1019VLOOKUP(RiskRegister[[#This Row],[Residual Impact Level]],'Rating factors'!$F$4:$G$9,2,FALSE)</f>
        <v>#NAME?</v>
      </c>
      <c r="V118" s="16" t="s">
        <v>79</v>
      </c>
      <c r="W118" s="17" t="str">
        <f>VLOOKUP(RiskRegister[[#This Row],[Residual Likelihood Level]],'Rating factors'!$F$16:$G$21,2,FALSE)</f>
        <v>--- Error ---</v>
      </c>
      <c r="X118" s="17" t="str">
        <f ca="1">IFERROR(VLOOKUP(RiskRegister[[#This Row],[Residual Risk Rating]],'Rating factors'!$F$30:$G$44,2,FALSE),"-- Error --")</f>
        <v>-- Error --</v>
      </c>
      <c r="Y118" s="17" t="str">
        <f ca="1">IFERROR(RiskRegister[[#This Row],[Residual Impact Rating]]*RiskRegister[[#This Row],[Residual Likelihood Rating]],"-- Error --")</f>
        <v>-- Error --</v>
      </c>
      <c r="Z118" s="16" t="s">
        <v>100</v>
      </c>
      <c r="AB118" s="39"/>
      <c r="AD118" s="20"/>
    </row>
    <row r="119" spans="1:30" s="16" customFormat="1" hidden="1" x14ac:dyDescent="0.25">
      <c r="A119" s="16">
        <v>116</v>
      </c>
      <c r="G119" s="16" t="s">
        <v>77</v>
      </c>
      <c r="I119" s="16" t="s">
        <v>75</v>
      </c>
      <c r="L119" s="105" t="s">
        <v>99</v>
      </c>
      <c r="M119" s="17" t="str">
        <f>VLOOKUP(RiskRegister[[#This Row],[Inherent Impact LevelL3:L1020D1007L3:L1019]],'Rating factors'!$F$4:$G$9,2,FALSE)</f>
        <v>--- Error ---</v>
      </c>
      <c r="N119" s="16" t="s">
        <v>79</v>
      </c>
      <c r="O119" s="17" t="str">
        <f>VLOOKUP(RiskRegister[[#This Row],[Inherent Likelihood Level]],'Rating factors'!$F$16:$G$21,2,FALSE)</f>
        <v>--- Error ---</v>
      </c>
      <c r="P119" s="17" t="str">
        <f>IFERROR(VLOOKUP(RiskRegister[[#This Row],[Inherent Risk Rating]],'Rating factors'!$F$30:$G$44,2,FALSE),"-- Error --")</f>
        <v>-- Error --</v>
      </c>
      <c r="Q119" s="17" t="str">
        <f>IFERROR(RiskRegister[[#This Row],[Inherent Impact Rating]]*RiskRegister[[#This Row],[Inherent Likelihood Rating]],"-- Error --")</f>
        <v>-- Error --</v>
      </c>
      <c r="R119" s="16" t="s">
        <v>98</v>
      </c>
      <c r="T119" s="16" t="s">
        <v>99</v>
      </c>
      <c r="U119" s="17" t="e" cm="1">
        <f t="array" aca="1" ref="U119" ca="1">+U119:Y1019VLOOKUP(RiskRegister[[#This Row],[Residual Impact Level]],'Rating factors'!$F$4:$G$9,2,FALSE)</f>
        <v>#NAME?</v>
      </c>
      <c r="V119" s="16" t="s">
        <v>79</v>
      </c>
      <c r="W119" s="17" t="str">
        <f>VLOOKUP(RiskRegister[[#This Row],[Residual Likelihood Level]],'Rating factors'!$F$16:$G$21,2,FALSE)</f>
        <v>--- Error ---</v>
      </c>
      <c r="X119" s="17" t="str">
        <f ca="1">IFERROR(VLOOKUP(RiskRegister[[#This Row],[Residual Risk Rating]],'Rating factors'!$F$30:$G$44,2,FALSE),"-- Error --")</f>
        <v>-- Error --</v>
      </c>
      <c r="Y119" s="17" t="str">
        <f ca="1">IFERROR(RiskRegister[[#This Row],[Residual Impact Rating]]*RiskRegister[[#This Row],[Residual Likelihood Rating]],"-- Error --")</f>
        <v>-- Error --</v>
      </c>
      <c r="Z119" s="16" t="s">
        <v>100</v>
      </c>
      <c r="AB119" s="39"/>
      <c r="AD119" s="20"/>
    </row>
    <row r="120" spans="1:30" s="16" customFormat="1" hidden="1" x14ac:dyDescent="0.25">
      <c r="A120" s="16">
        <v>117</v>
      </c>
      <c r="G120" s="16" t="s">
        <v>77</v>
      </c>
      <c r="I120" s="16" t="s">
        <v>75</v>
      </c>
      <c r="L120" s="105" t="s">
        <v>99</v>
      </c>
      <c r="M120" s="17" t="str">
        <f>VLOOKUP(RiskRegister[[#This Row],[Inherent Impact LevelL3:L1020D1007L3:L1019]],'Rating factors'!$F$4:$G$9,2,FALSE)</f>
        <v>--- Error ---</v>
      </c>
      <c r="N120" s="16" t="s">
        <v>79</v>
      </c>
      <c r="O120" s="17" t="str">
        <f>VLOOKUP(RiskRegister[[#This Row],[Inherent Likelihood Level]],'Rating factors'!$F$16:$G$21,2,FALSE)</f>
        <v>--- Error ---</v>
      </c>
      <c r="P120" s="17" t="str">
        <f>IFERROR(VLOOKUP(RiskRegister[[#This Row],[Inherent Risk Rating]],'Rating factors'!$F$30:$G$44,2,FALSE),"-- Error --")</f>
        <v>-- Error --</v>
      </c>
      <c r="Q120" s="17" t="str">
        <f>IFERROR(RiskRegister[[#This Row],[Inherent Impact Rating]]*RiskRegister[[#This Row],[Inherent Likelihood Rating]],"-- Error --")</f>
        <v>-- Error --</v>
      </c>
      <c r="R120" s="16" t="s">
        <v>98</v>
      </c>
      <c r="T120" s="16" t="s">
        <v>99</v>
      </c>
      <c r="U120" s="17" t="e" cm="1">
        <f t="array" aca="1" ref="U120" ca="1">+U120:Y1019VLOOKUP(RiskRegister[[#This Row],[Residual Impact Level]],'Rating factors'!$F$4:$G$9,2,FALSE)</f>
        <v>#NAME?</v>
      </c>
      <c r="V120" s="16" t="s">
        <v>79</v>
      </c>
      <c r="W120" s="17" t="str">
        <f>VLOOKUP(RiskRegister[[#This Row],[Residual Likelihood Level]],'Rating factors'!$F$16:$G$21,2,FALSE)</f>
        <v>--- Error ---</v>
      </c>
      <c r="X120" s="17" t="str">
        <f ca="1">IFERROR(VLOOKUP(RiskRegister[[#This Row],[Residual Risk Rating]],'Rating factors'!$F$30:$G$44,2,FALSE),"-- Error --")</f>
        <v>-- Error --</v>
      </c>
      <c r="Y120" s="17" t="str">
        <f ca="1">IFERROR(RiskRegister[[#This Row],[Residual Impact Rating]]*RiskRegister[[#This Row],[Residual Likelihood Rating]],"-- Error --")</f>
        <v>-- Error --</v>
      </c>
      <c r="Z120" s="16" t="s">
        <v>100</v>
      </c>
      <c r="AB120" s="39"/>
      <c r="AD120" s="20"/>
    </row>
    <row r="121" spans="1:30" s="16" customFormat="1" hidden="1" x14ac:dyDescent="0.25">
      <c r="A121" s="16">
        <v>118</v>
      </c>
      <c r="G121" s="16" t="s">
        <v>77</v>
      </c>
      <c r="I121" s="16" t="s">
        <v>75</v>
      </c>
      <c r="L121" s="105" t="s">
        <v>99</v>
      </c>
      <c r="M121" s="17" t="str">
        <f>VLOOKUP(RiskRegister[[#This Row],[Inherent Impact LevelL3:L1020D1007L3:L1019]],'Rating factors'!$F$4:$G$9,2,FALSE)</f>
        <v>--- Error ---</v>
      </c>
      <c r="N121" s="16" t="s">
        <v>79</v>
      </c>
      <c r="O121" s="17" t="str">
        <f>VLOOKUP(RiskRegister[[#This Row],[Inherent Likelihood Level]],'Rating factors'!$F$16:$G$21,2,FALSE)</f>
        <v>--- Error ---</v>
      </c>
      <c r="P121" s="17" t="str">
        <f>IFERROR(VLOOKUP(RiskRegister[[#This Row],[Inherent Risk Rating]],'Rating factors'!$F$30:$G$44,2,FALSE),"-- Error --")</f>
        <v>-- Error --</v>
      </c>
      <c r="Q121" s="17" t="str">
        <f>IFERROR(RiskRegister[[#This Row],[Inherent Impact Rating]]*RiskRegister[[#This Row],[Inherent Likelihood Rating]],"-- Error --")</f>
        <v>-- Error --</v>
      </c>
      <c r="R121" s="16" t="s">
        <v>98</v>
      </c>
      <c r="T121" s="16" t="s">
        <v>99</v>
      </c>
      <c r="U121" s="17" t="e" cm="1">
        <f t="array" aca="1" ref="U121" ca="1">+U121:Y1019VLOOKUP(RiskRegister[[#This Row],[Residual Impact Level]],'Rating factors'!$F$4:$G$9,2,FALSE)</f>
        <v>#NAME?</v>
      </c>
      <c r="V121" s="16" t="s">
        <v>79</v>
      </c>
      <c r="W121" s="17" t="str">
        <f>VLOOKUP(RiskRegister[[#This Row],[Residual Likelihood Level]],'Rating factors'!$F$16:$G$21,2,FALSE)</f>
        <v>--- Error ---</v>
      </c>
      <c r="X121" s="17" t="str">
        <f ca="1">IFERROR(VLOOKUP(RiskRegister[[#This Row],[Residual Risk Rating]],'Rating factors'!$F$30:$G$44,2,FALSE),"-- Error --")</f>
        <v>-- Error --</v>
      </c>
      <c r="Y121" s="17" t="str">
        <f ca="1">IFERROR(RiskRegister[[#This Row],[Residual Impact Rating]]*RiskRegister[[#This Row],[Residual Likelihood Rating]],"-- Error --")</f>
        <v>-- Error --</v>
      </c>
      <c r="Z121" s="16" t="s">
        <v>100</v>
      </c>
      <c r="AB121" s="39"/>
      <c r="AD121" s="20"/>
    </row>
    <row r="122" spans="1:30" s="16" customFormat="1" hidden="1" x14ac:dyDescent="0.25">
      <c r="A122" s="16">
        <v>119</v>
      </c>
      <c r="G122" s="16" t="s">
        <v>77</v>
      </c>
      <c r="I122" s="16" t="s">
        <v>75</v>
      </c>
      <c r="L122" s="105" t="s">
        <v>99</v>
      </c>
      <c r="M122" s="17" t="str">
        <f>VLOOKUP(RiskRegister[[#This Row],[Inherent Impact LevelL3:L1020D1007L3:L1019]],'Rating factors'!$F$4:$G$9,2,FALSE)</f>
        <v>--- Error ---</v>
      </c>
      <c r="N122" s="16" t="s">
        <v>79</v>
      </c>
      <c r="O122" s="17" t="str">
        <f>VLOOKUP(RiskRegister[[#This Row],[Inherent Likelihood Level]],'Rating factors'!$F$16:$G$21,2,FALSE)</f>
        <v>--- Error ---</v>
      </c>
      <c r="P122" s="17" t="str">
        <f>IFERROR(VLOOKUP(RiskRegister[[#This Row],[Inherent Risk Rating]],'Rating factors'!$F$30:$G$44,2,FALSE),"-- Error --")</f>
        <v>-- Error --</v>
      </c>
      <c r="Q122" s="17" t="str">
        <f>IFERROR(RiskRegister[[#This Row],[Inherent Impact Rating]]*RiskRegister[[#This Row],[Inherent Likelihood Rating]],"-- Error --")</f>
        <v>-- Error --</v>
      </c>
      <c r="R122" s="16" t="s">
        <v>98</v>
      </c>
      <c r="T122" s="16" t="s">
        <v>99</v>
      </c>
      <c r="U122" s="17" t="e" cm="1">
        <f t="array" aca="1" ref="U122" ca="1">+U122:Y1019VLOOKUP(RiskRegister[[#This Row],[Residual Impact Level]],'Rating factors'!$F$4:$G$9,2,FALSE)</f>
        <v>#NAME?</v>
      </c>
      <c r="V122" s="16" t="s">
        <v>79</v>
      </c>
      <c r="W122" s="17" t="str">
        <f>VLOOKUP(RiskRegister[[#This Row],[Residual Likelihood Level]],'Rating factors'!$F$16:$G$21,2,FALSE)</f>
        <v>--- Error ---</v>
      </c>
      <c r="X122" s="17" t="str">
        <f ca="1">IFERROR(VLOOKUP(RiskRegister[[#This Row],[Residual Risk Rating]],'Rating factors'!$F$30:$G$44,2,FALSE),"-- Error --")</f>
        <v>-- Error --</v>
      </c>
      <c r="Y122" s="17" t="str">
        <f ca="1">IFERROR(RiskRegister[[#This Row],[Residual Impact Rating]]*RiskRegister[[#This Row],[Residual Likelihood Rating]],"-- Error --")</f>
        <v>-- Error --</v>
      </c>
      <c r="Z122" s="16" t="s">
        <v>100</v>
      </c>
      <c r="AB122" s="39"/>
      <c r="AD122" s="20"/>
    </row>
    <row r="123" spans="1:30" s="16" customFormat="1" hidden="1" x14ac:dyDescent="0.25">
      <c r="A123" s="16">
        <v>120</v>
      </c>
      <c r="G123" s="16" t="s">
        <v>77</v>
      </c>
      <c r="I123" s="16" t="s">
        <v>75</v>
      </c>
      <c r="L123" s="105" t="s">
        <v>99</v>
      </c>
      <c r="M123" s="17" t="str">
        <f>VLOOKUP(RiskRegister[[#This Row],[Inherent Impact LevelL3:L1020D1007L3:L1019]],'Rating factors'!$F$4:$G$9,2,FALSE)</f>
        <v>--- Error ---</v>
      </c>
      <c r="N123" s="16" t="s">
        <v>79</v>
      </c>
      <c r="O123" s="17" t="str">
        <f>VLOOKUP(RiskRegister[[#This Row],[Inherent Likelihood Level]],'Rating factors'!$F$16:$G$21,2,FALSE)</f>
        <v>--- Error ---</v>
      </c>
      <c r="P123" s="17" t="str">
        <f>IFERROR(VLOOKUP(RiskRegister[[#This Row],[Inherent Risk Rating]],'Rating factors'!$F$30:$G$44,2,FALSE),"-- Error --")</f>
        <v>-- Error --</v>
      </c>
      <c r="Q123" s="17" t="str">
        <f>IFERROR(RiskRegister[[#This Row],[Inherent Impact Rating]]*RiskRegister[[#This Row],[Inherent Likelihood Rating]],"-- Error --")</f>
        <v>-- Error --</v>
      </c>
      <c r="R123" s="16" t="s">
        <v>98</v>
      </c>
      <c r="T123" s="16" t="s">
        <v>99</v>
      </c>
      <c r="U123" s="17" t="e" cm="1">
        <f t="array" aca="1" ref="U123" ca="1">+U123:Y1019VLOOKUP(RiskRegister[[#This Row],[Residual Impact Level]],'Rating factors'!$F$4:$G$9,2,FALSE)</f>
        <v>#NAME?</v>
      </c>
      <c r="V123" s="16" t="s">
        <v>79</v>
      </c>
      <c r="W123" s="17" t="str">
        <f>VLOOKUP(RiskRegister[[#This Row],[Residual Likelihood Level]],'Rating factors'!$F$16:$G$21,2,FALSE)</f>
        <v>--- Error ---</v>
      </c>
      <c r="X123" s="17" t="str">
        <f ca="1">IFERROR(VLOOKUP(RiskRegister[[#This Row],[Residual Risk Rating]],'Rating factors'!$F$30:$G$44,2,FALSE),"-- Error --")</f>
        <v>-- Error --</v>
      </c>
      <c r="Y123" s="17" t="str">
        <f ca="1">IFERROR(RiskRegister[[#This Row],[Residual Impact Rating]]*RiskRegister[[#This Row],[Residual Likelihood Rating]],"-- Error --")</f>
        <v>-- Error --</v>
      </c>
      <c r="Z123" s="16" t="s">
        <v>100</v>
      </c>
      <c r="AB123" s="39"/>
      <c r="AD123" s="20"/>
    </row>
    <row r="124" spans="1:30" s="16" customFormat="1" hidden="1" x14ac:dyDescent="0.25">
      <c r="A124" s="16">
        <v>121</v>
      </c>
      <c r="G124" s="16" t="s">
        <v>77</v>
      </c>
      <c r="I124" s="16" t="s">
        <v>75</v>
      </c>
      <c r="L124" s="105" t="s">
        <v>99</v>
      </c>
      <c r="M124" s="17" t="str">
        <f>VLOOKUP(RiskRegister[[#This Row],[Inherent Impact LevelL3:L1020D1007L3:L1019]],'Rating factors'!$F$4:$G$9,2,FALSE)</f>
        <v>--- Error ---</v>
      </c>
      <c r="N124" s="16" t="s">
        <v>79</v>
      </c>
      <c r="O124" s="17" t="str">
        <f>VLOOKUP(RiskRegister[[#This Row],[Inherent Likelihood Level]],'Rating factors'!$F$16:$G$21,2,FALSE)</f>
        <v>--- Error ---</v>
      </c>
      <c r="P124" s="17" t="str">
        <f>IFERROR(VLOOKUP(RiskRegister[[#This Row],[Inherent Risk Rating]],'Rating factors'!$F$30:$G$44,2,FALSE),"-- Error --")</f>
        <v>-- Error --</v>
      </c>
      <c r="Q124" s="17" t="str">
        <f>IFERROR(RiskRegister[[#This Row],[Inherent Impact Rating]]*RiskRegister[[#This Row],[Inherent Likelihood Rating]],"-- Error --")</f>
        <v>-- Error --</v>
      </c>
      <c r="R124" s="16" t="s">
        <v>98</v>
      </c>
      <c r="T124" s="16" t="s">
        <v>99</v>
      </c>
      <c r="U124" s="17" t="e" cm="1">
        <f t="array" aca="1" ref="U124" ca="1">+U124:Y1019VLOOKUP(RiskRegister[[#This Row],[Residual Impact Level]],'Rating factors'!$F$4:$G$9,2,FALSE)</f>
        <v>#NAME?</v>
      </c>
      <c r="V124" s="16" t="s">
        <v>79</v>
      </c>
      <c r="W124" s="17" t="str">
        <f>VLOOKUP(RiskRegister[[#This Row],[Residual Likelihood Level]],'Rating factors'!$F$16:$G$21,2,FALSE)</f>
        <v>--- Error ---</v>
      </c>
      <c r="X124" s="17" t="str">
        <f ca="1">IFERROR(VLOOKUP(RiskRegister[[#This Row],[Residual Risk Rating]],'Rating factors'!$F$30:$G$44,2,FALSE),"-- Error --")</f>
        <v>-- Error --</v>
      </c>
      <c r="Y124" s="17" t="str">
        <f ca="1">IFERROR(RiskRegister[[#This Row],[Residual Impact Rating]]*RiskRegister[[#This Row],[Residual Likelihood Rating]],"-- Error --")</f>
        <v>-- Error --</v>
      </c>
      <c r="Z124" s="16" t="s">
        <v>100</v>
      </c>
      <c r="AB124" s="39"/>
      <c r="AD124" s="20"/>
    </row>
    <row r="125" spans="1:30" s="16" customFormat="1" hidden="1" x14ac:dyDescent="0.25">
      <c r="A125" s="16">
        <v>122</v>
      </c>
      <c r="G125" s="16" t="s">
        <v>77</v>
      </c>
      <c r="I125" s="16" t="s">
        <v>75</v>
      </c>
      <c r="L125" s="105" t="s">
        <v>99</v>
      </c>
      <c r="M125" s="17" t="str">
        <f>VLOOKUP(RiskRegister[[#This Row],[Inherent Impact LevelL3:L1020D1007L3:L1019]],'Rating factors'!$F$4:$G$9,2,FALSE)</f>
        <v>--- Error ---</v>
      </c>
      <c r="N125" s="16" t="s">
        <v>79</v>
      </c>
      <c r="O125" s="17" t="str">
        <f>VLOOKUP(RiskRegister[[#This Row],[Inherent Likelihood Level]],'Rating factors'!$F$16:$G$21,2,FALSE)</f>
        <v>--- Error ---</v>
      </c>
      <c r="P125" s="17" t="str">
        <f>IFERROR(VLOOKUP(RiskRegister[[#This Row],[Inherent Risk Rating]],'Rating factors'!$F$30:$G$44,2,FALSE),"-- Error --")</f>
        <v>-- Error --</v>
      </c>
      <c r="Q125" s="17" t="str">
        <f>IFERROR(RiskRegister[[#This Row],[Inherent Impact Rating]]*RiskRegister[[#This Row],[Inherent Likelihood Rating]],"-- Error --")</f>
        <v>-- Error --</v>
      </c>
      <c r="R125" s="16" t="s">
        <v>98</v>
      </c>
      <c r="T125" s="16" t="s">
        <v>99</v>
      </c>
      <c r="U125" s="17" t="e" cm="1">
        <f t="array" aca="1" ref="U125" ca="1">+U125:Y1019VLOOKUP(RiskRegister[[#This Row],[Residual Impact Level]],'Rating factors'!$F$4:$G$9,2,FALSE)</f>
        <v>#NAME?</v>
      </c>
      <c r="V125" s="16" t="s">
        <v>79</v>
      </c>
      <c r="W125" s="17" t="str">
        <f>VLOOKUP(RiskRegister[[#This Row],[Residual Likelihood Level]],'Rating factors'!$F$16:$G$21,2,FALSE)</f>
        <v>--- Error ---</v>
      </c>
      <c r="X125" s="17" t="str">
        <f ca="1">IFERROR(VLOOKUP(RiskRegister[[#This Row],[Residual Risk Rating]],'Rating factors'!$F$30:$G$44,2,FALSE),"-- Error --")</f>
        <v>-- Error --</v>
      </c>
      <c r="Y125" s="17" t="str">
        <f ca="1">IFERROR(RiskRegister[[#This Row],[Residual Impact Rating]]*RiskRegister[[#This Row],[Residual Likelihood Rating]],"-- Error --")</f>
        <v>-- Error --</v>
      </c>
      <c r="Z125" s="16" t="s">
        <v>100</v>
      </c>
      <c r="AB125" s="39"/>
      <c r="AD125" s="20"/>
    </row>
    <row r="126" spans="1:30" s="16" customFormat="1" hidden="1" x14ac:dyDescent="0.25">
      <c r="A126" s="16">
        <v>123</v>
      </c>
      <c r="G126" s="16" t="s">
        <v>77</v>
      </c>
      <c r="I126" s="16" t="s">
        <v>75</v>
      </c>
      <c r="L126" s="105" t="s">
        <v>99</v>
      </c>
      <c r="M126" s="17" t="str">
        <f>VLOOKUP(RiskRegister[[#This Row],[Inherent Impact LevelL3:L1020D1007L3:L1019]],'Rating factors'!$F$4:$G$9,2,FALSE)</f>
        <v>--- Error ---</v>
      </c>
      <c r="N126" s="16" t="s">
        <v>79</v>
      </c>
      <c r="O126" s="17" t="str">
        <f>VLOOKUP(RiskRegister[[#This Row],[Inherent Likelihood Level]],'Rating factors'!$F$16:$G$21,2,FALSE)</f>
        <v>--- Error ---</v>
      </c>
      <c r="P126" s="17" t="str">
        <f>IFERROR(VLOOKUP(RiskRegister[[#This Row],[Inherent Risk Rating]],'Rating factors'!$F$30:$G$44,2,FALSE),"-- Error --")</f>
        <v>-- Error --</v>
      </c>
      <c r="Q126" s="17" t="str">
        <f>IFERROR(RiskRegister[[#This Row],[Inherent Impact Rating]]*RiskRegister[[#This Row],[Inherent Likelihood Rating]],"-- Error --")</f>
        <v>-- Error --</v>
      </c>
      <c r="R126" s="16" t="s">
        <v>98</v>
      </c>
      <c r="T126" s="16" t="s">
        <v>99</v>
      </c>
      <c r="U126" s="17" t="e" cm="1">
        <f t="array" aca="1" ref="U126" ca="1">+U126:Y1019VLOOKUP(RiskRegister[[#This Row],[Residual Impact Level]],'Rating factors'!$F$4:$G$9,2,FALSE)</f>
        <v>#NAME?</v>
      </c>
      <c r="V126" s="16" t="s">
        <v>79</v>
      </c>
      <c r="W126" s="17" t="str">
        <f>VLOOKUP(RiskRegister[[#This Row],[Residual Likelihood Level]],'Rating factors'!$F$16:$G$21,2,FALSE)</f>
        <v>--- Error ---</v>
      </c>
      <c r="X126" s="17" t="str">
        <f ca="1">IFERROR(VLOOKUP(RiskRegister[[#This Row],[Residual Risk Rating]],'Rating factors'!$F$30:$G$44,2,FALSE),"-- Error --")</f>
        <v>-- Error --</v>
      </c>
      <c r="Y126" s="17" t="str">
        <f ca="1">IFERROR(RiskRegister[[#This Row],[Residual Impact Rating]]*RiskRegister[[#This Row],[Residual Likelihood Rating]],"-- Error --")</f>
        <v>-- Error --</v>
      </c>
      <c r="Z126" s="16" t="s">
        <v>100</v>
      </c>
      <c r="AB126" s="39"/>
      <c r="AD126" s="20"/>
    </row>
    <row r="127" spans="1:30" s="16" customFormat="1" hidden="1" x14ac:dyDescent="0.25">
      <c r="A127" s="16">
        <v>124</v>
      </c>
      <c r="G127" s="16" t="s">
        <v>77</v>
      </c>
      <c r="I127" s="16" t="s">
        <v>75</v>
      </c>
      <c r="L127" s="105" t="s">
        <v>99</v>
      </c>
      <c r="M127" s="17" t="str">
        <f>VLOOKUP(RiskRegister[[#This Row],[Inherent Impact LevelL3:L1020D1007L3:L1019]],'Rating factors'!$F$4:$G$9,2,FALSE)</f>
        <v>--- Error ---</v>
      </c>
      <c r="N127" s="16" t="s">
        <v>79</v>
      </c>
      <c r="O127" s="17" t="str">
        <f>VLOOKUP(RiskRegister[[#This Row],[Inherent Likelihood Level]],'Rating factors'!$F$16:$G$21,2,FALSE)</f>
        <v>--- Error ---</v>
      </c>
      <c r="P127" s="17" t="str">
        <f>IFERROR(VLOOKUP(RiskRegister[[#This Row],[Inherent Risk Rating]],'Rating factors'!$F$30:$G$44,2,FALSE),"-- Error --")</f>
        <v>-- Error --</v>
      </c>
      <c r="Q127" s="17" t="str">
        <f>IFERROR(RiskRegister[[#This Row],[Inherent Impact Rating]]*RiskRegister[[#This Row],[Inherent Likelihood Rating]],"-- Error --")</f>
        <v>-- Error --</v>
      </c>
      <c r="R127" s="16" t="s">
        <v>98</v>
      </c>
      <c r="T127" s="16" t="s">
        <v>99</v>
      </c>
      <c r="U127" s="17" t="e" cm="1">
        <f t="array" aca="1" ref="U127" ca="1">+U127:Y1019VLOOKUP(RiskRegister[[#This Row],[Residual Impact Level]],'Rating factors'!$F$4:$G$9,2,FALSE)</f>
        <v>#NAME?</v>
      </c>
      <c r="V127" s="16" t="s">
        <v>79</v>
      </c>
      <c r="W127" s="17" t="str">
        <f>VLOOKUP(RiskRegister[[#This Row],[Residual Likelihood Level]],'Rating factors'!$F$16:$G$21,2,FALSE)</f>
        <v>--- Error ---</v>
      </c>
      <c r="X127" s="17" t="str">
        <f ca="1">IFERROR(VLOOKUP(RiskRegister[[#This Row],[Residual Risk Rating]],'Rating factors'!$F$30:$G$44,2,FALSE),"-- Error --")</f>
        <v>-- Error --</v>
      </c>
      <c r="Y127" s="17" t="str">
        <f ca="1">IFERROR(RiskRegister[[#This Row],[Residual Impact Rating]]*RiskRegister[[#This Row],[Residual Likelihood Rating]],"-- Error --")</f>
        <v>-- Error --</v>
      </c>
      <c r="Z127" s="16" t="s">
        <v>100</v>
      </c>
      <c r="AB127" s="39"/>
      <c r="AD127" s="20"/>
    </row>
    <row r="128" spans="1:30" s="16" customFormat="1" hidden="1" x14ac:dyDescent="0.25">
      <c r="A128" s="16">
        <v>125</v>
      </c>
      <c r="G128" s="16" t="s">
        <v>77</v>
      </c>
      <c r="I128" s="16" t="s">
        <v>75</v>
      </c>
      <c r="L128" s="105" t="s">
        <v>99</v>
      </c>
      <c r="M128" s="17" t="str">
        <f>VLOOKUP(RiskRegister[[#This Row],[Inherent Impact LevelL3:L1020D1007L3:L1019]],'Rating factors'!$F$4:$G$9,2,FALSE)</f>
        <v>--- Error ---</v>
      </c>
      <c r="N128" s="16" t="s">
        <v>79</v>
      </c>
      <c r="O128" s="17" t="str">
        <f>VLOOKUP(RiskRegister[[#This Row],[Inherent Likelihood Level]],'Rating factors'!$F$16:$G$21,2,FALSE)</f>
        <v>--- Error ---</v>
      </c>
      <c r="P128" s="17" t="str">
        <f>IFERROR(VLOOKUP(RiskRegister[[#This Row],[Inherent Risk Rating]],'Rating factors'!$F$30:$G$44,2,FALSE),"-- Error --")</f>
        <v>-- Error --</v>
      </c>
      <c r="Q128" s="17" t="str">
        <f>IFERROR(RiskRegister[[#This Row],[Inherent Impact Rating]]*RiskRegister[[#This Row],[Inherent Likelihood Rating]],"-- Error --")</f>
        <v>-- Error --</v>
      </c>
      <c r="R128" s="16" t="s">
        <v>98</v>
      </c>
      <c r="T128" s="16" t="s">
        <v>99</v>
      </c>
      <c r="U128" s="17" t="e" cm="1">
        <f t="array" aca="1" ref="U128" ca="1">+U128:Y1019VLOOKUP(RiskRegister[[#This Row],[Residual Impact Level]],'Rating factors'!$F$4:$G$9,2,FALSE)</f>
        <v>#NAME?</v>
      </c>
      <c r="V128" s="16" t="s">
        <v>79</v>
      </c>
      <c r="W128" s="17" t="str">
        <f>VLOOKUP(RiskRegister[[#This Row],[Residual Likelihood Level]],'Rating factors'!$F$16:$G$21,2,FALSE)</f>
        <v>--- Error ---</v>
      </c>
      <c r="X128" s="17" t="str">
        <f ca="1">IFERROR(VLOOKUP(RiskRegister[[#This Row],[Residual Risk Rating]],'Rating factors'!$F$30:$G$44,2,FALSE),"-- Error --")</f>
        <v>-- Error --</v>
      </c>
      <c r="Y128" s="17" t="str">
        <f ca="1">IFERROR(RiskRegister[[#This Row],[Residual Impact Rating]]*RiskRegister[[#This Row],[Residual Likelihood Rating]],"-- Error --")</f>
        <v>-- Error --</v>
      </c>
      <c r="Z128" s="16" t="s">
        <v>100</v>
      </c>
      <c r="AB128" s="39"/>
      <c r="AD128" s="20"/>
    </row>
    <row r="129" spans="1:30" s="16" customFormat="1" hidden="1" x14ac:dyDescent="0.25">
      <c r="A129" s="16">
        <v>126</v>
      </c>
      <c r="G129" s="16" t="s">
        <v>77</v>
      </c>
      <c r="I129" s="16" t="s">
        <v>75</v>
      </c>
      <c r="L129" s="105" t="s">
        <v>99</v>
      </c>
      <c r="M129" s="17" t="str">
        <f>VLOOKUP(RiskRegister[[#This Row],[Inherent Impact LevelL3:L1020D1007L3:L1019]],'Rating factors'!$F$4:$G$9,2,FALSE)</f>
        <v>--- Error ---</v>
      </c>
      <c r="N129" s="16" t="s">
        <v>79</v>
      </c>
      <c r="O129" s="17" t="str">
        <f>VLOOKUP(RiskRegister[[#This Row],[Inherent Likelihood Level]],'Rating factors'!$F$16:$G$21,2,FALSE)</f>
        <v>--- Error ---</v>
      </c>
      <c r="P129" s="17" t="str">
        <f>IFERROR(VLOOKUP(RiskRegister[[#This Row],[Inherent Risk Rating]],'Rating factors'!$F$30:$G$44,2,FALSE),"-- Error --")</f>
        <v>-- Error --</v>
      </c>
      <c r="Q129" s="17" t="str">
        <f>IFERROR(RiskRegister[[#This Row],[Inherent Impact Rating]]*RiskRegister[[#This Row],[Inherent Likelihood Rating]],"-- Error --")</f>
        <v>-- Error --</v>
      </c>
      <c r="R129" s="16" t="s">
        <v>98</v>
      </c>
      <c r="T129" s="16" t="s">
        <v>99</v>
      </c>
      <c r="U129" s="17" t="e" cm="1">
        <f t="array" aca="1" ref="U129" ca="1">+U129:Y1019VLOOKUP(RiskRegister[[#This Row],[Residual Impact Level]],'Rating factors'!$F$4:$G$9,2,FALSE)</f>
        <v>#NAME?</v>
      </c>
      <c r="V129" s="16" t="s">
        <v>79</v>
      </c>
      <c r="W129" s="17" t="str">
        <f>VLOOKUP(RiskRegister[[#This Row],[Residual Likelihood Level]],'Rating factors'!$F$16:$G$21,2,FALSE)</f>
        <v>--- Error ---</v>
      </c>
      <c r="X129" s="17" t="str">
        <f ca="1">IFERROR(VLOOKUP(RiskRegister[[#This Row],[Residual Risk Rating]],'Rating factors'!$F$30:$G$44,2,FALSE),"-- Error --")</f>
        <v>-- Error --</v>
      </c>
      <c r="Y129" s="17" t="str">
        <f ca="1">IFERROR(RiskRegister[[#This Row],[Residual Impact Rating]]*RiskRegister[[#This Row],[Residual Likelihood Rating]],"-- Error --")</f>
        <v>-- Error --</v>
      </c>
      <c r="Z129" s="16" t="s">
        <v>100</v>
      </c>
      <c r="AB129" s="39"/>
      <c r="AD129" s="20"/>
    </row>
    <row r="130" spans="1:30" s="16" customFormat="1" hidden="1" x14ac:dyDescent="0.25">
      <c r="A130" s="16">
        <v>127</v>
      </c>
      <c r="G130" s="16" t="s">
        <v>77</v>
      </c>
      <c r="I130" s="16" t="s">
        <v>75</v>
      </c>
      <c r="L130" s="105" t="s">
        <v>99</v>
      </c>
      <c r="M130" s="17" t="str">
        <f>VLOOKUP(RiskRegister[[#This Row],[Inherent Impact LevelL3:L1020D1007L3:L1019]],'Rating factors'!$F$4:$G$9,2,FALSE)</f>
        <v>--- Error ---</v>
      </c>
      <c r="N130" s="16" t="s">
        <v>79</v>
      </c>
      <c r="O130" s="17" t="str">
        <f>VLOOKUP(RiskRegister[[#This Row],[Inherent Likelihood Level]],'Rating factors'!$F$16:$G$21,2,FALSE)</f>
        <v>--- Error ---</v>
      </c>
      <c r="P130" s="17" t="str">
        <f>IFERROR(VLOOKUP(RiskRegister[[#This Row],[Inherent Risk Rating]],'Rating factors'!$F$30:$G$44,2,FALSE),"-- Error --")</f>
        <v>-- Error --</v>
      </c>
      <c r="Q130" s="17" t="str">
        <f>IFERROR(RiskRegister[[#This Row],[Inherent Impact Rating]]*RiskRegister[[#This Row],[Inherent Likelihood Rating]],"-- Error --")</f>
        <v>-- Error --</v>
      </c>
      <c r="R130" s="16" t="s">
        <v>98</v>
      </c>
      <c r="T130" s="16" t="s">
        <v>99</v>
      </c>
      <c r="U130" s="17" t="e" cm="1">
        <f t="array" aca="1" ref="U130" ca="1">+U130:Y1019VLOOKUP(RiskRegister[[#This Row],[Residual Impact Level]],'Rating factors'!$F$4:$G$9,2,FALSE)</f>
        <v>#NAME?</v>
      </c>
      <c r="V130" s="16" t="s">
        <v>79</v>
      </c>
      <c r="W130" s="17" t="str">
        <f>VLOOKUP(RiskRegister[[#This Row],[Residual Likelihood Level]],'Rating factors'!$F$16:$G$21,2,FALSE)</f>
        <v>--- Error ---</v>
      </c>
      <c r="X130" s="17" t="str">
        <f ca="1">IFERROR(VLOOKUP(RiskRegister[[#This Row],[Residual Risk Rating]],'Rating factors'!$F$30:$G$44,2,FALSE),"-- Error --")</f>
        <v>-- Error --</v>
      </c>
      <c r="Y130" s="17" t="str">
        <f ca="1">IFERROR(RiskRegister[[#This Row],[Residual Impact Rating]]*RiskRegister[[#This Row],[Residual Likelihood Rating]],"-- Error --")</f>
        <v>-- Error --</v>
      </c>
      <c r="Z130" s="16" t="s">
        <v>100</v>
      </c>
      <c r="AB130" s="39"/>
      <c r="AD130" s="20"/>
    </row>
    <row r="131" spans="1:30" s="16" customFormat="1" hidden="1" x14ac:dyDescent="0.25">
      <c r="A131" s="16">
        <v>128</v>
      </c>
      <c r="G131" s="16" t="s">
        <v>77</v>
      </c>
      <c r="I131" s="16" t="s">
        <v>75</v>
      </c>
      <c r="L131" s="105" t="s">
        <v>99</v>
      </c>
      <c r="M131" s="17" t="str">
        <f>VLOOKUP(RiskRegister[[#This Row],[Inherent Impact LevelL3:L1020D1007L3:L1019]],'Rating factors'!$F$4:$G$9,2,FALSE)</f>
        <v>--- Error ---</v>
      </c>
      <c r="N131" s="16" t="s">
        <v>79</v>
      </c>
      <c r="O131" s="17" t="str">
        <f>VLOOKUP(RiskRegister[[#This Row],[Inherent Likelihood Level]],'Rating factors'!$F$16:$G$21,2,FALSE)</f>
        <v>--- Error ---</v>
      </c>
      <c r="P131" s="17" t="str">
        <f>IFERROR(VLOOKUP(RiskRegister[[#This Row],[Inherent Risk Rating]],'Rating factors'!$F$30:$G$44,2,FALSE),"-- Error --")</f>
        <v>-- Error --</v>
      </c>
      <c r="Q131" s="17" t="str">
        <f>IFERROR(RiskRegister[[#This Row],[Inherent Impact Rating]]*RiskRegister[[#This Row],[Inherent Likelihood Rating]],"-- Error --")</f>
        <v>-- Error --</v>
      </c>
      <c r="R131" s="16" t="s">
        <v>98</v>
      </c>
      <c r="T131" s="16" t="s">
        <v>99</v>
      </c>
      <c r="U131" s="17" t="e" cm="1">
        <f t="array" aca="1" ref="U131" ca="1">+U131:Y1019VLOOKUP(RiskRegister[[#This Row],[Residual Impact Level]],'Rating factors'!$F$4:$G$9,2,FALSE)</f>
        <v>#NAME?</v>
      </c>
      <c r="V131" s="16" t="s">
        <v>79</v>
      </c>
      <c r="W131" s="17" t="str">
        <f>VLOOKUP(RiskRegister[[#This Row],[Residual Likelihood Level]],'Rating factors'!$F$16:$G$21,2,FALSE)</f>
        <v>--- Error ---</v>
      </c>
      <c r="X131" s="17" t="str">
        <f ca="1">IFERROR(VLOOKUP(RiskRegister[[#This Row],[Residual Risk Rating]],'Rating factors'!$F$30:$G$44,2,FALSE),"-- Error --")</f>
        <v>-- Error --</v>
      </c>
      <c r="Y131" s="17" t="str">
        <f ca="1">IFERROR(RiskRegister[[#This Row],[Residual Impact Rating]]*RiskRegister[[#This Row],[Residual Likelihood Rating]],"-- Error --")</f>
        <v>-- Error --</v>
      </c>
      <c r="Z131" s="16" t="s">
        <v>100</v>
      </c>
      <c r="AB131" s="39"/>
      <c r="AD131" s="20"/>
    </row>
    <row r="132" spans="1:30" s="16" customFormat="1" hidden="1" x14ac:dyDescent="0.25">
      <c r="A132" s="16">
        <v>129</v>
      </c>
      <c r="G132" s="16" t="s">
        <v>77</v>
      </c>
      <c r="I132" s="16" t="s">
        <v>75</v>
      </c>
      <c r="L132" s="105" t="s">
        <v>99</v>
      </c>
      <c r="M132" s="17" t="str">
        <f>VLOOKUP(RiskRegister[[#This Row],[Inherent Impact LevelL3:L1020D1007L3:L1019]],'Rating factors'!$F$4:$G$9,2,FALSE)</f>
        <v>--- Error ---</v>
      </c>
      <c r="N132" s="16" t="s">
        <v>79</v>
      </c>
      <c r="O132" s="17" t="str">
        <f>VLOOKUP(RiskRegister[[#This Row],[Inherent Likelihood Level]],'Rating factors'!$F$16:$G$21,2,FALSE)</f>
        <v>--- Error ---</v>
      </c>
      <c r="P132" s="17" t="str">
        <f>IFERROR(VLOOKUP(RiskRegister[[#This Row],[Inherent Risk Rating]],'Rating factors'!$F$30:$G$44,2,FALSE),"-- Error --")</f>
        <v>-- Error --</v>
      </c>
      <c r="Q132" s="17" t="str">
        <f>IFERROR(RiskRegister[[#This Row],[Inherent Impact Rating]]*RiskRegister[[#This Row],[Inherent Likelihood Rating]],"-- Error --")</f>
        <v>-- Error --</v>
      </c>
      <c r="R132" s="16" t="s">
        <v>98</v>
      </c>
      <c r="T132" s="16" t="s">
        <v>99</v>
      </c>
      <c r="U132" s="17" t="e" cm="1">
        <f t="array" aca="1" ref="U132" ca="1">+U132:Y1019VLOOKUP(RiskRegister[[#This Row],[Residual Impact Level]],'Rating factors'!$F$4:$G$9,2,FALSE)</f>
        <v>#NAME?</v>
      </c>
      <c r="V132" s="16" t="s">
        <v>79</v>
      </c>
      <c r="W132" s="17" t="str">
        <f>VLOOKUP(RiskRegister[[#This Row],[Residual Likelihood Level]],'Rating factors'!$F$16:$G$21,2,FALSE)</f>
        <v>--- Error ---</v>
      </c>
      <c r="X132" s="17" t="str">
        <f ca="1">IFERROR(VLOOKUP(RiskRegister[[#This Row],[Residual Risk Rating]],'Rating factors'!$F$30:$G$44,2,FALSE),"-- Error --")</f>
        <v>-- Error --</v>
      </c>
      <c r="Y132" s="17" t="str">
        <f ca="1">IFERROR(RiskRegister[[#This Row],[Residual Impact Rating]]*RiskRegister[[#This Row],[Residual Likelihood Rating]],"-- Error --")</f>
        <v>-- Error --</v>
      </c>
      <c r="Z132" s="16" t="s">
        <v>100</v>
      </c>
      <c r="AB132" s="39"/>
      <c r="AD132" s="20"/>
    </row>
    <row r="133" spans="1:30" s="16" customFormat="1" hidden="1" x14ac:dyDescent="0.25">
      <c r="A133" s="16">
        <v>130</v>
      </c>
      <c r="G133" s="16" t="s">
        <v>77</v>
      </c>
      <c r="I133" s="16" t="s">
        <v>75</v>
      </c>
      <c r="L133" s="105" t="s">
        <v>99</v>
      </c>
      <c r="M133" s="17" t="str">
        <f>VLOOKUP(RiskRegister[[#This Row],[Inherent Impact LevelL3:L1020D1007L3:L1019]],'Rating factors'!$F$4:$G$9,2,FALSE)</f>
        <v>--- Error ---</v>
      </c>
      <c r="N133" s="16" t="s">
        <v>79</v>
      </c>
      <c r="O133" s="17" t="str">
        <f>VLOOKUP(RiskRegister[[#This Row],[Inherent Likelihood Level]],'Rating factors'!$F$16:$G$21,2,FALSE)</f>
        <v>--- Error ---</v>
      </c>
      <c r="P133" s="17" t="str">
        <f>IFERROR(VLOOKUP(RiskRegister[[#This Row],[Inherent Risk Rating]],'Rating factors'!$F$30:$G$44,2,FALSE),"-- Error --")</f>
        <v>-- Error --</v>
      </c>
      <c r="Q133" s="17" t="str">
        <f>IFERROR(RiskRegister[[#This Row],[Inherent Impact Rating]]*RiskRegister[[#This Row],[Inherent Likelihood Rating]],"-- Error --")</f>
        <v>-- Error --</v>
      </c>
      <c r="R133" s="16" t="s">
        <v>98</v>
      </c>
      <c r="T133" s="16" t="s">
        <v>99</v>
      </c>
      <c r="U133" s="17" t="e" cm="1">
        <f t="array" aca="1" ref="U133" ca="1">+U133:Y1019VLOOKUP(RiskRegister[[#This Row],[Residual Impact Level]],'Rating factors'!$F$4:$G$9,2,FALSE)</f>
        <v>#NAME?</v>
      </c>
      <c r="V133" s="16" t="s">
        <v>79</v>
      </c>
      <c r="W133" s="17" t="str">
        <f>VLOOKUP(RiskRegister[[#This Row],[Residual Likelihood Level]],'Rating factors'!$F$16:$G$21,2,FALSE)</f>
        <v>--- Error ---</v>
      </c>
      <c r="X133" s="17" t="str">
        <f ca="1">IFERROR(VLOOKUP(RiskRegister[[#This Row],[Residual Risk Rating]],'Rating factors'!$F$30:$G$44,2,FALSE),"-- Error --")</f>
        <v>-- Error --</v>
      </c>
      <c r="Y133" s="17" t="str">
        <f ca="1">IFERROR(RiskRegister[[#This Row],[Residual Impact Rating]]*RiskRegister[[#This Row],[Residual Likelihood Rating]],"-- Error --")</f>
        <v>-- Error --</v>
      </c>
      <c r="Z133" s="16" t="s">
        <v>100</v>
      </c>
      <c r="AB133" s="39"/>
      <c r="AD133" s="20"/>
    </row>
    <row r="134" spans="1:30" s="16" customFormat="1" hidden="1" x14ac:dyDescent="0.25">
      <c r="A134" s="16">
        <v>131</v>
      </c>
      <c r="G134" s="16" t="s">
        <v>77</v>
      </c>
      <c r="I134" s="16" t="s">
        <v>75</v>
      </c>
      <c r="L134" s="105" t="s">
        <v>99</v>
      </c>
      <c r="M134" s="17" t="str">
        <f>VLOOKUP(RiskRegister[[#This Row],[Inherent Impact LevelL3:L1020D1007L3:L1019]],'Rating factors'!$F$4:$G$9,2,FALSE)</f>
        <v>--- Error ---</v>
      </c>
      <c r="N134" s="16" t="s">
        <v>79</v>
      </c>
      <c r="O134" s="17" t="str">
        <f>VLOOKUP(RiskRegister[[#This Row],[Inherent Likelihood Level]],'Rating factors'!$F$16:$G$21,2,FALSE)</f>
        <v>--- Error ---</v>
      </c>
      <c r="P134" s="17" t="str">
        <f>IFERROR(VLOOKUP(RiskRegister[[#This Row],[Inherent Risk Rating]],'Rating factors'!$F$30:$G$44,2,FALSE),"-- Error --")</f>
        <v>-- Error --</v>
      </c>
      <c r="Q134" s="17" t="str">
        <f>IFERROR(RiskRegister[[#This Row],[Inherent Impact Rating]]*RiskRegister[[#This Row],[Inherent Likelihood Rating]],"-- Error --")</f>
        <v>-- Error --</v>
      </c>
      <c r="R134" s="16" t="s">
        <v>98</v>
      </c>
      <c r="T134" s="16" t="s">
        <v>99</v>
      </c>
      <c r="U134" s="17" t="e" cm="1">
        <f t="array" aca="1" ref="U134" ca="1">+U134:Y1019VLOOKUP(RiskRegister[[#This Row],[Residual Impact Level]],'Rating factors'!$F$4:$G$9,2,FALSE)</f>
        <v>#NAME?</v>
      </c>
      <c r="V134" s="16" t="s">
        <v>79</v>
      </c>
      <c r="W134" s="17" t="str">
        <f>VLOOKUP(RiskRegister[[#This Row],[Residual Likelihood Level]],'Rating factors'!$F$16:$G$21,2,FALSE)</f>
        <v>--- Error ---</v>
      </c>
      <c r="X134" s="17" t="str">
        <f ca="1">IFERROR(VLOOKUP(RiskRegister[[#This Row],[Residual Risk Rating]],'Rating factors'!$F$30:$G$44,2,FALSE),"-- Error --")</f>
        <v>-- Error --</v>
      </c>
      <c r="Y134" s="17" t="str">
        <f ca="1">IFERROR(RiskRegister[[#This Row],[Residual Impact Rating]]*RiskRegister[[#This Row],[Residual Likelihood Rating]],"-- Error --")</f>
        <v>-- Error --</v>
      </c>
      <c r="Z134" s="16" t="s">
        <v>100</v>
      </c>
      <c r="AB134" s="39"/>
      <c r="AD134" s="20"/>
    </row>
    <row r="135" spans="1:30" s="16" customFormat="1" hidden="1" x14ac:dyDescent="0.25">
      <c r="A135" s="16">
        <v>132</v>
      </c>
      <c r="G135" s="16" t="s">
        <v>77</v>
      </c>
      <c r="I135" s="16" t="s">
        <v>75</v>
      </c>
      <c r="L135" s="105" t="s">
        <v>99</v>
      </c>
      <c r="M135" s="17" t="str">
        <f>VLOOKUP(RiskRegister[[#This Row],[Inherent Impact LevelL3:L1020D1007L3:L1019]],'Rating factors'!$F$4:$G$9,2,FALSE)</f>
        <v>--- Error ---</v>
      </c>
      <c r="N135" s="16" t="s">
        <v>79</v>
      </c>
      <c r="O135" s="17" t="str">
        <f>VLOOKUP(RiskRegister[[#This Row],[Inherent Likelihood Level]],'Rating factors'!$F$16:$G$21,2,FALSE)</f>
        <v>--- Error ---</v>
      </c>
      <c r="P135" s="17" t="str">
        <f>IFERROR(VLOOKUP(RiskRegister[[#This Row],[Inherent Risk Rating]],'Rating factors'!$F$30:$G$44,2,FALSE),"-- Error --")</f>
        <v>-- Error --</v>
      </c>
      <c r="Q135" s="17" t="str">
        <f>IFERROR(RiskRegister[[#This Row],[Inherent Impact Rating]]*RiskRegister[[#This Row],[Inherent Likelihood Rating]],"-- Error --")</f>
        <v>-- Error --</v>
      </c>
      <c r="R135" s="16" t="s">
        <v>98</v>
      </c>
      <c r="T135" s="16" t="s">
        <v>99</v>
      </c>
      <c r="U135" s="17" t="e" cm="1">
        <f t="array" aca="1" ref="U135" ca="1">+U135:Y1019VLOOKUP(RiskRegister[[#This Row],[Residual Impact Level]],'Rating factors'!$F$4:$G$9,2,FALSE)</f>
        <v>#NAME?</v>
      </c>
      <c r="V135" s="16" t="s">
        <v>79</v>
      </c>
      <c r="W135" s="17" t="str">
        <f>VLOOKUP(RiskRegister[[#This Row],[Residual Likelihood Level]],'Rating factors'!$F$16:$G$21,2,FALSE)</f>
        <v>--- Error ---</v>
      </c>
      <c r="X135" s="17" t="str">
        <f ca="1">IFERROR(VLOOKUP(RiskRegister[[#This Row],[Residual Risk Rating]],'Rating factors'!$F$30:$G$44,2,FALSE),"-- Error --")</f>
        <v>-- Error --</v>
      </c>
      <c r="Y135" s="17" t="str">
        <f ca="1">IFERROR(RiskRegister[[#This Row],[Residual Impact Rating]]*RiskRegister[[#This Row],[Residual Likelihood Rating]],"-- Error --")</f>
        <v>-- Error --</v>
      </c>
      <c r="Z135" s="16" t="s">
        <v>100</v>
      </c>
      <c r="AB135" s="39"/>
      <c r="AD135" s="20"/>
    </row>
    <row r="136" spans="1:30" s="16" customFormat="1" hidden="1" x14ac:dyDescent="0.25">
      <c r="A136" s="16">
        <v>133</v>
      </c>
      <c r="G136" s="16" t="s">
        <v>77</v>
      </c>
      <c r="I136" s="16" t="s">
        <v>75</v>
      </c>
      <c r="L136" s="105" t="s">
        <v>99</v>
      </c>
      <c r="M136" s="17" t="str">
        <f>VLOOKUP(RiskRegister[[#This Row],[Inherent Impact LevelL3:L1020D1007L3:L1019]],'Rating factors'!$F$4:$G$9,2,FALSE)</f>
        <v>--- Error ---</v>
      </c>
      <c r="N136" s="16" t="s">
        <v>79</v>
      </c>
      <c r="O136" s="17" t="str">
        <f>VLOOKUP(RiskRegister[[#This Row],[Inherent Likelihood Level]],'Rating factors'!$F$16:$G$21,2,FALSE)</f>
        <v>--- Error ---</v>
      </c>
      <c r="P136" s="17" t="str">
        <f>IFERROR(VLOOKUP(RiskRegister[[#This Row],[Inherent Risk Rating]],'Rating factors'!$F$30:$G$44,2,FALSE),"-- Error --")</f>
        <v>-- Error --</v>
      </c>
      <c r="Q136" s="17" t="str">
        <f>IFERROR(RiskRegister[[#This Row],[Inherent Impact Rating]]*RiskRegister[[#This Row],[Inherent Likelihood Rating]],"-- Error --")</f>
        <v>-- Error --</v>
      </c>
      <c r="R136" s="16" t="s">
        <v>98</v>
      </c>
      <c r="T136" s="16" t="s">
        <v>99</v>
      </c>
      <c r="U136" s="17" t="e" cm="1">
        <f t="array" aca="1" ref="U136" ca="1">+U136:Y1019VLOOKUP(RiskRegister[[#This Row],[Residual Impact Level]],'Rating factors'!$F$4:$G$9,2,FALSE)</f>
        <v>#NAME?</v>
      </c>
      <c r="V136" s="16" t="s">
        <v>79</v>
      </c>
      <c r="W136" s="17" t="str">
        <f>VLOOKUP(RiskRegister[[#This Row],[Residual Likelihood Level]],'Rating factors'!$F$16:$G$21,2,FALSE)</f>
        <v>--- Error ---</v>
      </c>
      <c r="X136" s="17" t="str">
        <f ca="1">IFERROR(VLOOKUP(RiskRegister[[#This Row],[Residual Risk Rating]],'Rating factors'!$F$30:$G$44,2,FALSE),"-- Error --")</f>
        <v>-- Error --</v>
      </c>
      <c r="Y136" s="17" t="str">
        <f ca="1">IFERROR(RiskRegister[[#This Row],[Residual Impact Rating]]*RiskRegister[[#This Row],[Residual Likelihood Rating]],"-- Error --")</f>
        <v>-- Error --</v>
      </c>
      <c r="Z136" s="16" t="s">
        <v>100</v>
      </c>
      <c r="AB136" s="39"/>
      <c r="AD136" s="20"/>
    </row>
    <row r="137" spans="1:30" s="16" customFormat="1" hidden="1" x14ac:dyDescent="0.25">
      <c r="A137" s="16">
        <v>134</v>
      </c>
      <c r="G137" s="16" t="s">
        <v>77</v>
      </c>
      <c r="I137" s="16" t="s">
        <v>75</v>
      </c>
      <c r="L137" s="105" t="s">
        <v>99</v>
      </c>
      <c r="M137" s="17" t="str">
        <f>VLOOKUP(RiskRegister[[#This Row],[Inherent Impact LevelL3:L1020D1007L3:L1019]],'Rating factors'!$F$4:$G$9,2,FALSE)</f>
        <v>--- Error ---</v>
      </c>
      <c r="N137" s="16" t="s">
        <v>79</v>
      </c>
      <c r="O137" s="17" t="str">
        <f>VLOOKUP(RiskRegister[[#This Row],[Inherent Likelihood Level]],'Rating factors'!$F$16:$G$21,2,FALSE)</f>
        <v>--- Error ---</v>
      </c>
      <c r="P137" s="17" t="str">
        <f>IFERROR(VLOOKUP(RiskRegister[[#This Row],[Inherent Risk Rating]],'Rating factors'!$F$30:$G$44,2,FALSE),"-- Error --")</f>
        <v>-- Error --</v>
      </c>
      <c r="Q137" s="17" t="str">
        <f>IFERROR(RiskRegister[[#This Row],[Inherent Impact Rating]]*RiskRegister[[#This Row],[Inherent Likelihood Rating]],"-- Error --")</f>
        <v>-- Error --</v>
      </c>
      <c r="R137" s="16" t="s">
        <v>98</v>
      </c>
      <c r="T137" s="16" t="s">
        <v>99</v>
      </c>
      <c r="U137" s="17" t="e" cm="1">
        <f t="array" aca="1" ref="U137" ca="1">+U137:Y1019VLOOKUP(RiskRegister[[#This Row],[Residual Impact Level]],'Rating factors'!$F$4:$G$9,2,FALSE)</f>
        <v>#NAME?</v>
      </c>
      <c r="V137" s="16" t="s">
        <v>79</v>
      </c>
      <c r="W137" s="17" t="str">
        <f>VLOOKUP(RiskRegister[[#This Row],[Residual Likelihood Level]],'Rating factors'!$F$16:$G$21,2,FALSE)</f>
        <v>--- Error ---</v>
      </c>
      <c r="X137" s="17" t="str">
        <f ca="1">IFERROR(VLOOKUP(RiskRegister[[#This Row],[Residual Risk Rating]],'Rating factors'!$F$30:$G$44,2,FALSE),"-- Error --")</f>
        <v>-- Error --</v>
      </c>
      <c r="Y137" s="17" t="str">
        <f ca="1">IFERROR(RiskRegister[[#This Row],[Residual Impact Rating]]*RiskRegister[[#This Row],[Residual Likelihood Rating]],"-- Error --")</f>
        <v>-- Error --</v>
      </c>
      <c r="Z137" s="16" t="s">
        <v>100</v>
      </c>
      <c r="AB137" s="39"/>
      <c r="AD137" s="20"/>
    </row>
    <row r="138" spans="1:30" s="16" customFormat="1" hidden="1" x14ac:dyDescent="0.25">
      <c r="A138" s="16">
        <v>135</v>
      </c>
      <c r="G138" s="16" t="s">
        <v>77</v>
      </c>
      <c r="I138" s="16" t="s">
        <v>75</v>
      </c>
      <c r="L138" s="105" t="s">
        <v>99</v>
      </c>
      <c r="M138" s="17" t="str">
        <f>VLOOKUP(RiskRegister[[#This Row],[Inherent Impact LevelL3:L1020D1007L3:L1019]],'Rating factors'!$F$4:$G$9,2,FALSE)</f>
        <v>--- Error ---</v>
      </c>
      <c r="N138" s="16" t="s">
        <v>79</v>
      </c>
      <c r="O138" s="17" t="str">
        <f>VLOOKUP(RiskRegister[[#This Row],[Inherent Likelihood Level]],'Rating factors'!$F$16:$G$21,2,FALSE)</f>
        <v>--- Error ---</v>
      </c>
      <c r="P138" s="17" t="str">
        <f>IFERROR(VLOOKUP(RiskRegister[[#This Row],[Inherent Risk Rating]],'Rating factors'!$F$30:$G$44,2,FALSE),"-- Error --")</f>
        <v>-- Error --</v>
      </c>
      <c r="Q138" s="17" t="str">
        <f>IFERROR(RiskRegister[[#This Row],[Inherent Impact Rating]]*RiskRegister[[#This Row],[Inherent Likelihood Rating]],"-- Error --")</f>
        <v>-- Error --</v>
      </c>
      <c r="R138" s="16" t="s">
        <v>98</v>
      </c>
      <c r="T138" s="16" t="s">
        <v>99</v>
      </c>
      <c r="U138" s="17" t="e" cm="1">
        <f t="array" aca="1" ref="U138" ca="1">+U138:Y1019VLOOKUP(RiskRegister[[#This Row],[Residual Impact Level]],'Rating factors'!$F$4:$G$9,2,FALSE)</f>
        <v>#NAME?</v>
      </c>
      <c r="V138" s="16" t="s">
        <v>79</v>
      </c>
      <c r="W138" s="17" t="str">
        <f>VLOOKUP(RiskRegister[[#This Row],[Residual Likelihood Level]],'Rating factors'!$F$16:$G$21,2,FALSE)</f>
        <v>--- Error ---</v>
      </c>
      <c r="X138" s="17" t="str">
        <f ca="1">IFERROR(VLOOKUP(RiskRegister[[#This Row],[Residual Risk Rating]],'Rating factors'!$F$30:$G$44,2,FALSE),"-- Error --")</f>
        <v>-- Error --</v>
      </c>
      <c r="Y138" s="17" t="str">
        <f ca="1">IFERROR(RiskRegister[[#This Row],[Residual Impact Rating]]*RiskRegister[[#This Row],[Residual Likelihood Rating]],"-- Error --")</f>
        <v>-- Error --</v>
      </c>
      <c r="Z138" s="16" t="s">
        <v>100</v>
      </c>
      <c r="AB138" s="39"/>
      <c r="AD138" s="20"/>
    </row>
    <row r="139" spans="1:30" s="16" customFormat="1" hidden="1" x14ac:dyDescent="0.25">
      <c r="A139" s="16">
        <v>136</v>
      </c>
      <c r="G139" s="16" t="s">
        <v>77</v>
      </c>
      <c r="I139" s="16" t="s">
        <v>75</v>
      </c>
      <c r="L139" s="105" t="s">
        <v>99</v>
      </c>
      <c r="M139" s="17" t="str">
        <f>VLOOKUP(RiskRegister[[#This Row],[Inherent Impact LevelL3:L1020D1007L3:L1019]],'Rating factors'!$F$4:$G$9,2,FALSE)</f>
        <v>--- Error ---</v>
      </c>
      <c r="N139" s="16" t="s">
        <v>79</v>
      </c>
      <c r="O139" s="17" t="str">
        <f>VLOOKUP(RiskRegister[[#This Row],[Inherent Likelihood Level]],'Rating factors'!$F$16:$G$21,2,FALSE)</f>
        <v>--- Error ---</v>
      </c>
      <c r="P139" s="17" t="str">
        <f>IFERROR(VLOOKUP(RiskRegister[[#This Row],[Inherent Risk Rating]],'Rating factors'!$F$30:$G$44,2,FALSE),"-- Error --")</f>
        <v>-- Error --</v>
      </c>
      <c r="Q139" s="17" t="str">
        <f>IFERROR(RiskRegister[[#This Row],[Inherent Impact Rating]]*RiskRegister[[#This Row],[Inherent Likelihood Rating]],"-- Error --")</f>
        <v>-- Error --</v>
      </c>
      <c r="R139" s="16" t="s">
        <v>98</v>
      </c>
      <c r="T139" s="16" t="s">
        <v>99</v>
      </c>
      <c r="U139" s="17" t="e" cm="1">
        <f t="array" aca="1" ref="U139" ca="1">+U139:Y1019VLOOKUP(RiskRegister[[#This Row],[Residual Impact Level]],'Rating factors'!$F$4:$G$9,2,FALSE)</f>
        <v>#NAME?</v>
      </c>
      <c r="V139" s="16" t="s">
        <v>79</v>
      </c>
      <c r="W139" s="17" t="str">
        <f>VLOOKUP(RiskRegister[[#This Row],[Residual Likelihood Level]],'Rating factors'!$F$16:$G$21,2,FALSE)</f>
        <v>--- Error ---</v>
      </c>
      <c r="X139" s="17" t="str">
        <f ca="1">IFERROR(VLOOKUP(RiskRegister[[#This Row],[Residual Risk Rating]],'Rating factors'!$F$30:$G$44,2,FALSE),"-- Error --")</f>
        <v>-- Error --</v>
      </c>
      <c r="Y139" s="17" t="str">
        <f ca="1">IFERROR(RiskRegister[[#This Row],[Residual Impact Rating]]*RiskRegister[[#This Row],[Residual Likelihood Rating]],"-- Error --")</f>
        <v>-- Error --</v>
      </c>
      <c r="Z139" s="16" t="s">
        <v>100</v>
      </c>
      <c r="AB139" s="39"/>
      <c r="AD139" s="20"/>
    </row>
    <row r="140" spans="1:30" s="16" customFormat="1" hidden="1" x14ac:dyDescent="0.25">
      <c r="A140" s="16">
        <v>137</v>
      </c>
      <c r="G140" s="16" t="s">
        <v>77</v>
      </c>
      <c r="I140" s="16" t="s">
        <v>75</v>
      </c>
      <c r="L140" s="105" t="s">
        <v>99</v>
      </c>
      <c r="M140" s="17" t="str">
        <f>VLOOKUP(RiskRegister[[#This Row],[Inherent Impact LevelL3:L1020D1007L3:L1019]],'Rating factors'!$F$4:$G$9,2,FALSE)</f>
        <v>--- Error ---</v>
      </c>
      <c r="N140" s="16" t="s">
        <v>79</v>
      </c>
      <c r="O140" s="17" t="str">
        <f>VLOOKUP(RiskRegister[[#This Row],[Inherent Likelihood Level]],'Rating factors'!$F$16:$G$21,2,FALSE)</f>
        <v>--- Error ---</v>
      </c>
      <c r="P140" s="17" t="str">
        <f>IFERROR(VLOOKUP(RiskRegister[[#This Row],[Inherent Risk Rating]],'Rating factors'!$F$30:$G$44,2,FALSE),"-- Error --")</f>
        <v>-- Error --</v>
      </c>
      <c r="Q140" s="17" t="str">
        <f>IFERROR(RiskRegister[[#This Row],[Inherent Impact Rating]]*RiskRegister[[#This Row],[Inherent Likelihood Rating]],"-- Error --")</f>
        <v>-- Error --</v>
      </c>
      <c r="R140" s="16" t="s">
        <v>98</v>
      </c>
      <c r="T140" s="16" t="s">
        <v>99</v>
      </c>
      <c r="U140" s="17" t="e" cm="1">
        <f t="array" aca="1" ref="U140" ca="1">+U140:Y1019VLOOKUP(RiskRegister[[#This Row],[Residual Impact Level]],'Rating factors'!$F$4:$G$9,2,FALSE)</f>
        <v>#NAME?</v>
      </c>
      <c r="V140" s="16" t="s">
        <v>79</v>
      </c>
      <c r="W140" s="17" t="str">
        <f>VLOOKUP(RiskRegister[[#This Row],[Residual Likelihood Level]],'Rating factors'!$F$16:$G$21,2,FALSE)</f>
        <v>--- Error ---</v>
      </c>
      <c r="X140" s="17" t="str">
        <f ca="1">IFERROR(VLOOKUP(RiskRegister[[#This Row],[Residual Risk Rating]],'Rating factors'!$F$30:$G$44,2,FALSE),"-- Error --")</f>
        <v>-- Error --</v>
      </c>
      <c r="Y140" s="17" t="str">
        <f ca="1">IFERROR(RiskRegister[[#This Row],[Residual Impact Rating]]*RiskRegister[[#This Row],[Residual Likelihood Rating]],"-- Error --")</f>
        <v>-- Error --</v>
      </c>
      <c r="Z140" s="16" t="s">
        <v>100</v>
      </c>
      <c r="AB140" s="39"/>
      <c r="AD140" s="20"/>
    </row>
    <row r="141" spans="1:30" s="16" customFormat="1" hidden="1" x14ac:dyDescent="0.25">
      <c r="A141" s="16">
        <v>138</v>
      </c>
      <c r="G141" s="16" t="s">
        <v>77</v>
      </c>
      <c r="I141" s="16" t="s">
        <v>75</v>
      </c>
      <c r="L141" s="105" t="s">
        <v>99</v>
      </c>
      <c r="M141" s="17" t="str">
        <f>VLOOKUP(RiskRegister[[#This Row],[Inherent Impact LevelL3:L1020D1007L3:L1019]],'Rating factors'!$F$4:$G$9,2,FALSE)</f>
        <v>--- Error ---</v>
      </c>
      <c r="N141" s="16" t="s">
        <v>79</v>
      </c>
      <c r="O141" s="17" t="str">
        <f>VLOOKUP(RiskRegister[[#This Row],[Inherent Likelihood Level]],'Rating factors'!$F$16:$G$21,2,FALSE)</f>
        <v>--- Error ---</v>
      </c>
      <c r="P141" s="17" t="str">
        <f>IFERROR(VLOOKUP(RiskRegister[[#This Row],[Inherent Risk Rating]],'Rating factors'!$F$30:$G$44,2,FALSE),"-- Error --")</f>
        <v>-- Error --</v>
      </c>
      <c r="Q141" s="17" t="str">
        <f>IFERROR(RiskRegister[[#This Row],[Inherent Impact Rating]]*RiskRegister[[#This Row],[Inherent Likelihood Rating]],"-- Error --")</f>
        <v>-- Error --</v>
      </c>
      <c r="R141" s="16" t="s">
        <v>98</v>
      </c>
      <c r="T141" s="16" t="s">
        <v>99</v>
      </c>
      <c r="U141" s="17" t="e" cm="1">
        <f t="array" aca="1" ref="U141" ca="1">+U141:Y1019VLOOKUP(RiskRegister[[#This Row],[Residual Impact Level]],'Rating factors'!$F$4:$G$9,2,FALSE)</f>
        <v>#NAME?</v>
      </c>
      <c r="V141" s="16" t="s">
        <v>79</v>
      </c>
      <c r="W141" s="17" t="str">
        <f>VLOOKUP(RiskRegister[[#This Row],[Residual Likelihood Level]],'Rating factors'!$F$16:$G$21,2,FALSE)</f>
        <v>--- Error ---</v>
      </c>
      <c r="X141" s="17" t="str">
        <f ca="1">IFERROR(VLOOKUP(RiskRegister[[#This Row],[Residual Risk Rating]],'Rating factors'!$F$30:$G$44,2,FALSE),"-- Error --")</f>
        <v>-- Error --</v>
      </c>
      <c r="Y141" s="17" t="str">
        <f ca="1">IFERROR(RiskRegister[[#This Row],[Residual Impact Rating]]*RiskRegister[[#This Row],[Residual Likelihood Rating]],"-- Error --")</f>
        <v>-- Error --</v>
      </c>
      <c r="Z141" s="16" t="s">
        <v>100</v>
      </c>
      <c r="AB141" s="39"/>
      <c r="AD141" s="20"/>
    </row>
    <row r="142" spans="1:30" s="16" customFormat="1" hidden="1" x14ac:dyDescent="0.25">
      <c r="A142" s="16">
        <v>139</v>
      </c>
      <c r="G142" s="16" t="s">
        <v>77</v>
      </c>
      <c r="I142" s="16" t="s">
        <v>75</v>
      </c>
      <c r="L142" s="105" t="s">
        <v>99</v>
      </c>
      <c r="M142" s="17" t="str">
        <f>VLOOKUP(RiskRegister[[#This Row],[Inherent Impact LevelL3:L1020D1007L3:L1019]],'Rating factors'!$F$4:$G$9,2,FALSE)</f>
        <v>--- Error ---</v>
      </c>
      <c r="N142" s="16" t="s">
        <v>79</v>
      </c>
      <c r="O142" s="17" t="str">
        <f>VLOOKUP(RiskRegister[[#This Row],[Inherent Likelihood Level]],'Rating factors'!$F$16:$G$21,2,FALSE)</f>
        <v>--- Error ---</v>
      </c>
      <c r="P142" s="17" t="str">
        <f>IFERROR(VLOOKUP(RiskRegister[[#This Row],[Inherent Risk Rating]],'Rating factors'!$F$30:$G$44,2,FALSE),"-- Error --")</f>
        <v>-- Error --</v>
      </c>
      <c r="Q142" s="17" t="str">
        <f>IFERROR(RiskRegister[[#This Row],[Inherent Impact Rating]]*RiskRegister[[#This Row],[Inherent Likelihood Rating]],"-- Error --")</f>
        <v>-- Error --</v>
      </c>
      <c r="R142" s="16" t="s">
        <v>98</v>
      </c>
      <c r="T142" s="16" t="s">
        <v>99</v>
      </c>
      <c r="U142" s="17" t="e" cm="1">
        <f t="array" aca="1" ref="U142" ca="1">+U142:Y1019VLOOKUP(RiskRegister[[#This Row],[Residual Impact Level]],'Rating factors'!$F$4:$G$9,2,FALSE)</f>
        <v>#NAME?</v>
      </c>
      <c r="V142" s="16" t="s">
        <v>79</v>
      </c>
      <c r="W142" s="17" t="str">
        <f>VLOOKUP(RiskRegister[[#This Row],[Residual Likelihood Level]],'Rating factors'!$F$16:$G$21,2,FALSE)</f>
        <v>--- Error ---</v>
      </c>
      <c r="X142" s="17" t="str">
        <f ca="1">IFERROR(VLOOKUP(RiskRegister[[#This Row],[Residual Risk Rating]],'Rating factors'!$F$30:$G$44,2,FALSE),"-- Error --")</f>
        <v>-- Error --</v>
      </c>
      <c r="Y142" s="17" t="str">
        <f ca="1">IFERROR(RiskRegister[[#This Row],[Residual Impact Rating]]*RiskRegister[[#This Row],[Residual Likelihood Rating]],"-- Error --")</f>
        <v>-- Error --</v>
      </c>
      <c r="Z142" s="16" t="s">
        <v>100</v>
      </c>
      <c r="AB142" s="39"/>
      <c r="AD142" s="20"/>
    </row>
    <row r="143" spans="1:30" s="16" customFormat="1" hidden="1" x14ac:dyDescent="0.25">
      <c r="A143" s="16">
        <v>140</v>
      </c>
      <c r="G143" s="16" t="s">
        <v>77</v>
      </c>
      <c r="I143" s="16" t="s">
        <v>75</v>
      </c>
      <c r="L143" s="105" t="s">
        <v>99</v>
      </c>
      <c r="M143" s="17" t="str">
        <f>VLOOKUP(RiskRegister[[#This Row],[Inherent Impact LevelL3:L1020D1007L3:L1019]],'Rating factors'!$F$4:$G$9,2,FALSE)</f>
        <v>--- Error ---</v>
      </c>
      <c r="N143" s="16" t="s">
        <v>79</v>
      </c>
      <c r="O143" s="17" t="str">
        <f>VLOOKUP(RiskRegister[[#This Row],[Inherent Likelihood Level]],'Rating factors'!$F$16:$G$21,2,FALSE)</f>
        <v>--- Error ---</v>
      </c>
      <c r="P143" s="17" t="str">
        <f>IFERROR(VLOOKUP(RiskRegister[[#This Row],[Inherent Risk Rating]],'Rating factors'!$F$30:$G$44,2,FALSE),"-- Error --")</f>
        <v>-- Error --</v>
      </c>
      <c r="Q143" s="17" t="str">
        <f>IFERROR(RiskRegister[[#This Row],[Inherent Impact Rating]]*RiskRegister[[#This Row],[Inherent Likelihood Rating]],"-- Error --")</f>
        <v>-- Error --</v>
      </c>
      <c r="R143" s="16" t="s">
        <v>98</v>
      </c>
      <c r="T143" s="16" t="s">
        <v>99</v>
      </c>
      <c r="U143" s="17" t="e" cm="1">
        <f t="array" aca="1" ref="U143" ca="1">+U143:Y1019VLOOKUP(RiskRegister[[#This Row],[Residual Impact Level]],'Rating factors'!$F$4:$G$9,2,FALSE)</f>
        <v>#NAME?</v>
      </c>
      <c r="V143" s="16" t="s">
        <v>79</v>
      </c>
      <c r="W143" s="17" t="str">
        <f>VLOOKUP(RiskRegister[[#This Row],[Residual Likelihood Level]],'Rating factors'!$F$16:$G$21,2,FALSE)</f>
        <v>--- Error ---</v>
      </c>
      <c r="X143" s="17" t="str">
        <f ca="1">IFERROR(VLOOKUP(RiskRegister[[#This Row],[Residual Risk Rating]],'Rating factors'!$F$30:$G$44,2,FALSE),"-- Error --")</f>
        <v>-- Error --</v>
      </c>
      <c r="Y143" s="17" t="str">
        <f ca="1">IFERROR(RiskRegister[[#This Row],[Residual Impact Rating]]*RiskRegister[[#This Row],[Residual Likelihood Rating]],"-- Error --")</f>
        <v>-- Error --</v>
      </c>
      <c r="Z143" s="16" t="s">
        <v>100</v>
      </c>
      <c r="AB143" s="39"/>
      <c r="AD143" s="20"/>
    </row>
    <row r="144" spans="1:30" s="16" customFormat="1" hidden="1" x14ac:dyDescent="0.25">
      <c r="A144" s="16">
        <v>141</v>
      </c>
      <c r="G144" s="16" t="s">
        <v>77</v>
      </c>
      <c r="I144" s="16" t="s">
        <v>75</v>
      </c>
      <c r="L144" s="105" t="s">
        <v>99</v>
      </c>
      <c r="M144" s="17" t="str">
        <f>VLOOKUP(RiskRegister[[#This Row],[Inherent Impact LevelL3:L1020D1007L3:L1019]],'Rating factors'!$F$4:$G$9,2,FALSE)</f>
        <v>--- Error ---</v>
      </c>
      <c r="N144" s="16" t="s">
        <v>79</v>
      </c>
      <c r="O144" s="17" t="str">
        <f>VLOOKUP(RiskRegister[[#This Row],[Inherent Likelihood Level]],'Rating factors'!$F$16:$G$21,2,FALSE)</f>
        <v>--- Error ---</v>
      </c>
      <c r="P144" s="17" t="str">
        <f>IFERROR(VLOOKUP(RiskRegister[[#This Row],[Inherent Risk Rating]],'Rating factors'!$F$30:$G$44,2,FALSE),"-- Error --")</f>
        <v>-- Error --</v>
      </c>
      <c r="Q144" s="17" t="str">
        <f>IFERROR(RiskRegister[[#This Row],[Inherent Impact Rating]]*RiskRegister[[#This Row],[Inherent Likelihood Rating]],"-- Error --")</f>
        <v>-- Error --</v>
      </c>
      <c r="R144" s="16" t="s">
        <v>98</v>
      </c>
      <c r="T144" s="16" t="s">
        <v>99</v>
      </c>
      <c r="U144" s="17" t="e" cm="1">
        <f t="array" aca="1" ref="U144" ca="1">+U144:Y1019VLOOKUP(RiskRegister[[#This Row],[Residual Impact Level]],'Rating factors'!$F$4:$G$9,2,FALSE)</f>
        <v>#NAME?</v>
      </c>
      <c r="V144" s="16" t="s">
        <v>79</v>
      </c>
      <c r="W144" s="17" t="str">
        <f>VLOOKUP(RiskRegister[[#This Row],[Residual Likelihood Level]],'Rating factors'!$F$16:$G$21,2,FALSE)</f>
        <v>--- Error ---</v>
      </c>
      <c r="X144" s="17" t="str">
        <f ca="1">IFERROR(VLOOKUP(RiskRegister[[#This Row],[Residual Risk Rating]],'Rating factors'!$F$30:$G$44,2,FALSE),"-- Error --")</f>
        <v>-- Error --</v>
      </c>
      <c r="Y144" s="17" t="str">
        <f ca="1">IFERROR(RiskRegister[[#This Row],[Residual Impact Rating]]*RiskRegister[[#This Row],[Residual Likelihood Rating]],"-- Error --")</f>
        <v>-- Error --</v>
      </c>
      <c r="Z144" s="16" t="s">
        <v>100</v>
      </c>
      <c r="AB144" s="39"/>
      <c r="AD144" s="20"/>
    </row>
    <row r="145" spans="1:30" s="16" customFormat="1" hidden="1" x14ac:dyDescent="0.25">
      <c r="A145" s="16">
        <v>142</v>
      </c>
      <c r="G145" s="16" t="s">
        <v>77</v>
      </c>
      <c r="I145" s="16" t="s">
        <v>75</v>
      </c>
      <c r="L145" s="105" t="s">
        <v>99</v>
      </c>
      <c r="M145" s="17" t="str">
        <f>VLOOKUP(RiskRegister[[#This Row],[Inherent Impact LevelL3:L1020D1007L3:L1019]],'Rating factors'!$F$4:$G$9,2,FALSE)</f>
        <v>--- Error ---</v>
      </c>
      <c r="N145" s="16" t="s">
        <v>79</v>
      </c>
      <c r="O145" s="17" t="str">
        <f>VLOOKUP(RiskRegister[[#This Row],[Inherent Likelihood Level]],'Rating factors'!$F$16:$G$21,2,FALSE)</f>
        <v>--- Error ---</v>
      </c>
      <c r="P145" s="17" t="str">
        <f>IFERROR(VLOOKUP(RiskRegister[[#This Row],[Inherent Risk Rating]],'Rating factors'!$F$30:$G$44,2,FALSE),"-- Error --")</f>
        <v>-- Error --</v>
      </c>
      <c r="Q145" s="17" t="str">
        <f>IFERROR(RiskRegister[[#This Row],[Inherent Impact Rating]]*RiskRegister[[#This Row],[Inherent Likelihood Rating]],"-- Error --")</f>
        <v>-- Error --</v>
      </c>
      <c r="R145" s="16" t="s">
        <v>98</v>
      </c>
      <c r="T145" s="16" t="s">
        <v>99</v>
      </c>
      <c r="U145" s="17" t="e" cm="1">
        <f t="array" aca="1" ref="U145" ca="1">+U145:Y1019VLOOKUP(RiskRegister[[#This Row],[Residual Impact Level]],'Rating factors'!$F$4:$G$9,2,FALSE)</f>
        <v>#NAME?</v>
      </c>
      <c r="V145" s="16" t="s">
        <v>79</v>
      </c>
      <c r="W145" s="17" t="str">
        <f>VLOOKUP(RiskRegister[[#This Row],[Residual Likelihood Level]],'Rating factors'!$F$16:$G$21,2,FALSE)</f>
        <v>--- Error ---</v>
      </c>
      <c r="X145" s="17" t="str">
        <f ca="1">IFERROR(VLOOKUP(RiskRegister[[#This Row],[Residual Risk Rating]],'Rating factors'!$F$30:$G$44,2,FALSE),"-- Error --")</f>
        <v>-- Error --</v>
      </c>
      <c r="Y145" s="17" t="str">
        <f ca="1">IFERROR(RiskRegister[[#This Row],[Residual Impact Rating]]*RiskRegister[[#This Row],[Residual Likelihood Rating]],"-- Error --")</f>
        <v>-- Error --</v>
      </c>
      <c r="Z145" s="16" t="s">
        <v>100</v>
      </c>
      <c r="AB145" s="39"/>
      <c r="AD145" s="20"/>
    </row>
    <row r="146" spans="1:30" s="16" customFormat="1" hidden="1" x14ac:dyDescent="0.25">
      <c r="A146" s="16">
        <v>143</v>
      </c>
      <c r="G146" s="16" t="s">
        <v>77</v>
      </c>
      <c r="I146" s="16" t="s">
        <v>75</v>
      </c>
      <c r="L146" s="105" t="s">
        <v>99</v>
      </c>
      <c r="M146" s="17" t="str">
        <f>VLOOKUP(RiskRegister[[#This Row],[Inherent Impact LevelL3:L1020D1007L3:L1019]],'Rating factors'!$F$4:$G$9,2,FALSE)</f>
        <v>--- Error ---</v>
      </c>
      <c r="N146" s="16" t="s">
        <v>79</v>
      </c>
      <c r="O146" s="17" t="str">
        <f>VLOOKUP(RiskRegister[[#This Row],[Inherent Likelihood Level]],'Rating factors'!$F$16:$G$21,2,FALSE)</f>
        <v>--- Error ---</v>
      </c>
      <c r="P146" s="17" t="str">
        <f>IFERROR(VLOOKUP(RiskRegister[[#This Row],[Inherent Risk Rating]],'Rating factors'!$F$30:$G$44,2,FALSE),"-- Error --")</f>
        <v>-- Error --</v>
      </c>
      <c r="Q146" s="17" t="str">
        <f>IFERROR(RiskRegister[[#This Row],[Inherent Impact Rating]]*RiskRegister[[#This Row],[Inherent Likelihood Rating]],"-- Error --")</f>
        <v>-- Error --</v>
      </c>
      <c r="R146" s="16" t="s">
        <v>98</v>
      </c>
      <c r="T146" s="16" t="s">
        <v>99</v>
      </c>
      <c r="U146" s="17" t="e" cm="1">
        <f t="array" aca="1" ref="U146" ca="1">+U146:Y1019VLOOKUP(RiskRegister[[#This Row],[Residual Impact Level]],'Rating factors'!$F$4:$G$9,2,FALSE)</f>
        <v>#NAME?</v>
      </c>
      <c r="V146" s="16" t="s">
        <v>79</v>
      </c>
      <c r="W146" s="17" t="str">
        <f>VLOOKUP(RiskRegister[[#This Row],[Residual Likelihood Level]],'Rating factors'!$F$16:$G$21,2,FALSE)</f>
        <v>--- Error ---</v>
      </c>
      <c r="X146" s="17" t="str">
        <f ca="1">IFERROR(VLOOKUP(RiskRegister[[#This Row],[Residual Risk Rating]],'Rating factors'!$F$30:$G$44,2,FALSE),"-- Error --")</f>
        <v>-- Error --</v>
      </c>
      <c r="Y146" s="17" t="str">
        <f ca="1">IFERROR(RiskRegister[[#This Row],[Residual Impact Rating]]*RiskRegister[[#This Row],[Residual Likelihood Rating]],"-- Error --")</f>
        <v>-- Error --</v>
      </c>
      <c r="Z146" s="16" t="s">
        <v>100</v>
      </c>
      <c r="AB146" s="39"/>
      <c r="AD146" s="20"/>
    </row>
    <row r="147" spans="1:30" s="16" customFormat="1" hidden="1" x14ac:dyDescent="0.25">
      <c r="A147" s="16">
        <v>144</v>
      </c>
      <c r="G147" s="16" t="s">
        <v>77</v>
      </c>
      <c r="I147" s="16" t="s">
        <v>75</v>
      </c>
      <c r="L147" s="105" t="s">
        <v>99</v>
      </c>
      <c r="M147" s="17" t="str">
        <f>VLOOKUP(RiskRegister[[#This Row],[Inherent Impact LevelL3:L1020D1007L3:L1019]],'Rating factors'!$F$4:$G$9,2,FALSE)</f>
        <v>--- Error ---</v>
      </c>
      <c r="N147" s="16" t="s">
        <v>79</v>
      </c>
      <c r="O147" s="17" t="str">
        <f>VLOOKUP(RiskRegister[[#This Row],[Inherent Likelihood Level]],'Rating factors'!$F$16:$G$21,2,FALSE)</f>
        <v>--- Error ---</v>
      </c>
      <c r="P147" s="17" t="str">
        <f>IFERROR(VLOOKUP(RiskRegister[[#This Row],[Inherent Risk Rating]],'Rating factors'!$F$30:$G$44,2,FALSE),"-- Error --")</f>
        <v>-- Error --</v>
      </c>
      <c r="Q147" s="17" t="str">
        <f>IFERROR(RiskRegister[[#This Row],[Inherent Impact Rating]]*RiskRegister[[#This Row],[Inherent Likelihood Rating]],"-- Error --")</f>
        <v>-- Error --</v>
      </c>
      <c r="R147" s="16" t="s">
        <v>98</v>
      </c>
      <c r="T147" s="16" t="s">
        <v>99</v>
      </c>
      <c r="U147" s="17" t="e" cm="1">
        <f t="array" aca="1" ref="U147" ca="1">+U147:Y1019VLOOKUP(RiskRegister[[#This Row],[Residual Impact Level]],'Rating factors'!$F$4:$G$9,2,FALSE)</f>
        <v>#NAME?</v>
      </c>
      <c r="V147" s="16" t="s">
        <v>79</v>
      </c>
      <c r="W147" s="17" t="str">
        <f>VLOOKUP(RiskRegister[[#This Row],[Residual Likelihood Level]],'Rating factors'!$F$16:$G$21,2,FALSE)</f>
        <v>--- Error ---</v>
      </c>
      <c r="X147" s="17" t="str">
        <f ca="1">IFERROR(VLOOKUP(RiskRegister[[#This Row],[Residual Risk Rating]],'Rating factors'!$F$30:$G$44,2,FALSE),"-- Error --")</f>
        <v>-- Error --</v>
      </c>
      <c r="Y147" s="17" t="str">
        <f ca="1">IFERROR(RiskRegister[[#This Row],[Residual Impact Rating]]*RiskRegister[[#This Row],[Residual Likelihood Rating]],"-- Error --")</f>
        <v>-- Error --</v>
      </c>
      <c r="Z147" s="16" t="s">
        <v>100</v>
      </c>
      <c r="AB147" s="39"/>
      <c r="AD147" s="20"/>
    </row>
    <row r="148" spans="1:30" s="16" customFormat="1" hidden="1" x14ac:dyDescent="0.25">
      <c r="A148" s="16">
        <v>145</v>
      </c>
      <c r="G148" s="16" t="s">
        <v>77</v>
      </c>
      <c r="I148" s="16" t="s">
        <v>75</v>
      </c>
      <c r="L148" s="105" t="s">
        <v>99</v>
      </c>
      <c r="M148" s="17" t="str">
        <f>VLOOKUP(RiskRegister[[#This Row],[Inherent Impact LevelL3:L1020D1007L3:L1019]],'Rating factors'!$F$4:$G$9,2,FALSE)</f>
        <v>--- Error ---</v>
      </c>
      <c r="N148" s="16" t="s">
        <v>79</v>
      </c>
      <c r="O148" s="17" t="str">
        <f>VLOOKUP(RiskRegister[[#This Row],[Inherent Likelihood Level]],'Rating factors'!$F$16:$G$21,2,FALSE)</f>
        <v>--- Error ---</v>
      </c>
      <c r="P148" s="17" t="str">
        <f>IFERROR(VLOOKUP(RiskRegister[[#This Row],[Inherent Risk Rating]],'Rating factors'!$F$30:$G$44,2,FALSE),"-- Error --")</f>
        <v>-- Error --</v>
      </c>
      <c r="Q148" s="17" t="str">
        <f>IFERROR(RiskRegister[[#This Row],[Inherent Impact Rating]]*RiskRegister[[#This Row],[Inherent Likelihood Rating]],"-- Error --")</f>
        <v>-- Error --</v>
      </c>
      <c r="R148" s="16" t="s">
        <v>98</v>
      </c>
      <c r="T148" s="16" t="s">
        <v>99</v>
      </c>
      <c r="U148" s="17" t="e" cm="1">
        <f t="array" aca="1" ref="U148" ca="1">+U148:Y1019VLOOKUP(RiskRegister[[#This Row],[Residual Impact Level]],'Rating factors'!$F$4:$G$9,2,FALSE)</f>
        <v>#NAME?</v>
      </c>
      <c r="V148" s="16" t="s">
        <v>79</v>
      </c>
      <c r="W148" s="17" t="str">
        <f>VLOOKUP(RiskRegister[[#This Row],[Residual Likelihood Level]],'Rating factors'!$F$16:$G$21,2,FALSE)</f>
        <v>--- Error ---</v>
      </c>
      <c r="X148" s="17" t="str">
        <f ca="1">IFERROR(VLOOKUP(RiskRegister[[#This Row],[Residual Risk Rating]],'Rating factors'!$F$30:$G$44,2,FALSE),"-- Error --")</f>
        <v>-- Error --</v>
      </c>
      <c r="Y148" s="17" t="str">
        <f ca="1">IFERROR(RiskRegister[[#This Row],[Residual Impact Rating]]*RiskRegister[[#This Row],[Residual Likelihood Rating]],"-- Error --")</f>
        <v>-- Error --</v>
      </c>
      <c r="Z148" s="16" t="s">
        <v>100</v>
      </c>
      <c r="AB148" s="39"/>
      <c r="AD148" s="20"/>
    </row>
    <row r="149" spans="1:30" s="16" customFormat="1" hidden="1" x14ac:dyDescent="0.25">
      <c r="A149" s="16">
        <v>146</v>
      </c>
      <c r="G149" s="16" t="s">
        <v>77</v>
      </c>
      <c r="I149" s="16" t="s">
        <v>75</v>
      </c>
      <c r="L149" s="105" t="s">
        <v>99</v>
      </c>
      <c r="M149" s="17" t="str">
        <f>VLOOKUP(RiskRegister[[#This Row],[Inherent Impact LevelL3:L1020D1007L3:L1019]],'Rating factors'!$F$4:$G$9,2,FALSE)</f>
        <v>--- Error ---</v>
      </c>
      <c r="N149" s="16" t="s">
        <v>79</v>
      </c>
      <c r="O149" s="17" t="str">
        <f>VLOOKUP(RiskRegister[[#This Row],[Inherent Likelihood Level]],'Rating factors'!$F$16:$G$21,2,FALSE)</f>
        <v>--- Error ---</v>
      </c>
      <c r="P149" s="17" t="str">
        <f>IFERROR(VLOOKUP(RiskRegister[[#This Row],[Inherent Risk Rating]],'Rating factors'!$F$30:$G$44,2,FALSE),"-- Error --")</f>
        <v>-- Error --</v>
      </c>
      <c r="Q149" s="17" t="str">
        <f>IFERROR(RiskRegister[[#This Row],[Inherent Impact Rating]]*RiskRegister[[#This Row],[Inherent Likelihood Rating]],"-- Error --")</f>
        <v>-- Error --</v>
      </c>
      <c r="R149" s="16" t="s">
        <v>98</v>
      </c>
      <c r="T149" s="16" t="s">
        <v>99</v>
      </c>
      <c r="U149" s="17" t="e" cm="1">
        <f t="array" aca="1" ref="U149" ca="1">+U149:Y1019VLOOKUP(RiskRegister[[#This Row],[Residual Impact Level]],'Rating factors'!$F$4:$G$9,2,FALSE)</f>
        <v>#NAME?</v>
      </c>
      <c r="V149" s="16" t="s">
        <v>79</v>
      </c>
      <c r="W149" s="17" t="str">
        <f>VLOOKUP(RiskRegister[[#This Row],[Residual Likelihood Level]],'Rating factors'!$F$16:$G$21,2,FALSE)</f>
        <v>--- Error ---</v>
      </c>
      <c r="X149" s="17" t="str">
        <f ca="1">IFERROR(VLOOKUP(RiskRegister[[#This Row],[Residual Risk Rating]],'Rating factors'!$F$30:$G$44,2,FALSE),"-- Error --")</f>
        <v>-- Error --</v>
      </c>
      <c r="Y149" s="17" t="str">
        <f ca="1">IFERROR(RiskRegister[[#This Row],[Residual Impact Rating]]*RiskRegister[[#This Row],[Residual Likelihood Rating]],"-- Error --")</f>
        <v>-- Error --</v>
      </c>
      <c r="Z149" s="16" t="s">
        <v>100</v>
      </c>
      <c r="AB149" s="39"/>
      <c r="AD149" s="20"/>
    </row>
    <row r="150" spans="1:30" s="16" customFormat="1" hidden="1" x14ac:dyDescent="0.25">
      <c r="A150" s="16">
        <v>147</v>
      </c>
      <c r="G150" s="16" t="s">
        <v>77</v>
      </c>
      <c r="I150" s="16" t="s">
        <v>75</v>
      </c>
      <c r="L150" s="105" t="s">
        <v>99</v>
      </c>
      <c r="M150" s="17" t="str">
        <f>VLOOKUP(RiskRegister[[#This Row],[Inherent Impact LevelL3:L1020D1007L3:L1019]],'Rating factors'!$F$4:$G$9,2,FALSE)</f>
        <v>--- Error ---</v>
      </c>
      <c r="N150" s="16" t="s">
        <v>79</v>
      </c>
      <c r="O150" s="17" t="str">
        <f>VLOOKUP(RiskRegister[[#This Row],[Inherent Likelihood Level]],'Rating factors'!$F$16:$G$21,2,FALSE)</f>
        <v>--- Error ---</v>
      </c>
      <c r="P150" s="17" t="str">
        <f>IFERROR(VLOOKUP(RiskRegister[[#This Row],[Inherent Risk Rating]],'Rating factors'!$F$30:$G$44,2,FALSE),"-- Error --")</f>
        <v>-- Error --</v>
      </c>
      <c r="Q150" s="17" t="str">
        <f>IFERROR(RiskRegister[[#This Row],[Inherent Impact Rating]]*RiskRegister[[#This Row],[Inherent Likelihood Rating]],"-- Error --")</f>
        <v>-- Error --</v>
      </c>
      <c r="R150" s="16" t="s">
        <v>98</v>
      </c>
      <c r="T150" s="16" t="s">
        <v>99</v>
      </c>
      <c r="U150" s="17" t="e" cm="1">
        <f t="array" aca="1" ref="U150" ca="1">+U150:Y1019VLOOKUP(RiskRegister[[#This Row],[Residual Impact Level]],'Rating factors'!$F$4:$G$9,2,FALSE)</f>
        <v>#NAME?</v>
      </c>
      <c r="V150" s="16" t="s">
        <v>79</v>
      </c>
      <c r="W150" s="17" t="str">
        <f>VLOOKUP(RiskRegister[[#This Row],[Residual Likelihood Level]],'Rating factors'!$F$16:$G$21,2,FALSE)</f>
        <v>--- Error ---</v>
      </c>
      <c r="X150" s="17" t="str">
        <f ca="1">IFERROR(VLOOKUP(RiskRegister[[#This Row],[Residual Risk Rating]],'Rating factors'!$F$30:$G$44,2,FALSE),"-- Error --")</f>
        <v>-- Error --</v>
      </c>
      <c r="Y150" s="17" t="str">
        <f ca="1">IFERROR(RiskRegister[[#This Row],[Residual Impact Rating]]*RiskRegister[[#This Row],[Residual Likelihood Rating]],"-- Error --")</f>
        <v>-- Error --</v>
      </c>
      <c r="Z150" s="16" t="s">
        <v>100</v>
      </c>
      <c r="AB150" s="39"/>
      <c r="AD150" s="20"/>
    </row>
    <row r="151" spans="1:30" s="16" customFormat="1" hidden="1" x14ac:dyDescent="0.25">
      <c r="A151" s="16">
        <v>148</v>
      </c>
      <c r="G151" s="16" t="s">
        <v>77</v>
      </c>
      <c r="I151" s="16" t="s">
        <v>75</v>
      </c>
      <c r="L151" s="105" t="s">
        <v>99</v>
      </c>
      <c r="M151" s="17" t="str">
        <f>VLOOKUP(RiskRegister[[#This Row],[Inherent Impact LevelL3:L1020D1007L3:L1019]],'Rating factors'!$F$4:$G$9,2,FALSE)</f>
        <v>--- Error ---</v>
      </c>
      <c r="N151" s="16" t="s">
        <v>79</v>
      </c>
      <c r="O151" s="17" t="str">
        <f>VLOOKUP(RiskRegister[[#This Row],[Inherent Likelihood Level]],'Rating factors'!$F$16:$G$21,2,FALSE)</f>
        <v>--- Error ---</v>
      </c>
      <c r="P151" s="17" t="str">
        <f>IFERROR(VLOOKUP(RiskRegister[[#This Row],[Inherent Risk Rating]],'Rating factors'!$F$30:$G$44,2,FALSE),"-- Error --")</f>
        <v>-- Error --</v>
      </c>
      <c r="Q151" s="17" t="str">
        <f>IFERROR(RiskRegister[[#This Row],[Inherent Impact Rating]]*RiskRegister[[#This Row],[Inherent Likelihood Rating]],"-- Error --")</f>
        <v>-- Error --</v>
      </c>
      <c r="R151" s="16" t="s">
        <v>98</v>
      </c>
      <c r="T151" s="16" t="s">
        <v>99</v>
      </c>
      <c r="U151" s="17" t="e" cm="1">
        <f t="array" aca="1" ref="U151" ca="1">+U151:Y1019VLOOKUP(RiskRegister[[#This Row],[Residual Impact Level]],'Rating factors'!$F$4:$G$9,2,FALSE)</f>
        <v>#NAME?</v>
      </c>
      <c r="V151" s="16" t="s">
        <v>79</v>
      </c>
      <c r="W151" s="17" t="str">
        <f>VLOOKUP(RiskRegister[[#This Row],[Residual Likelihood Level]],'Rating factors'!$F$16:$G$21,2,FALSE)</f>
        <v>--- Error ---</v>
      </c>
      <c r="X151" s="17" t="str">
        <f ca="1">IFERROR(VLOOKUP(RiskRegister[[#This Row],[Residual Risk Rating]],'Rating factors'!$F$30:$G$44,2,FALSE),"-- Error --")</f>
        <v>-- Error --</v>
      </c>
      <c r="Y151" s="17" t="str">
        <f ca="1">IFERROR(RiskRegister[[#This Row],[Residual Impact Rating]]*RiskRegister[[#This Row],[Residual Likelihood Rating]],"-- Error --")</f>
        <v>-- Error --</v>
      </c>
      <c r="Z151" s="16" t="s">
        <v>100</v>
      </c>
      <c r="AB151" s="39"/>
      <c r="AD151" s="20"/>
    </row>
    <row r="152" spans="1:30" s="16" customFormat="1" hidden="1" x14ac:dyDescent="0.25">
      <c r="A152" s="16">
        <v>149</v>
      </c>
      <c r="G152" s="16" t="s">
        <v>77</v>
      </c>
      <c r="I152" s="16" t="s">
        <v>75</v>
      </c>
      <c r="L152" s="105" t="s">
        <v>99</v>
      </c>
      <c r="M152" s="17" t="str">
        <f>VLOOKUP(RiskRegister[[#This Row],[Inherent Impact LevelL3:L1020D1007L3:L1019]],'Rating factors'!$F$4:$G$9,2,FALSE)</f>
        <v>--- Error ---</v>
      </c>
      <c r="N152" s="16" t="s">
        <v>79</v>
      </c>
      <c r="O152" s="17" t="str">
        <f>VLOOKUP(RiskRegister[[#This Row],[Inherent Likelihood Level]],'Rating factors'!$F$16:$G$21,2,FALSE)</f>
        <v>--- Error ---</v>
      </c>
      <c r="P152" s="17" t="str">
        <f>IFERROR(VLOOKUP(RiskRegister[[#This Row],[Inherent Risk Rating]],'Rating factors'!$F$30:$G$44,2,FALSE),"-- Error --")</f>
        <v>-- Error --</v>
      </c>
      <c r="Q152" s="17" t="str">
        <f>IFERROR(RiskRegister[[#This Row],[Inherent Impact Rating]]*RiskRegister[[#This Row],[Inherent Likelihood Rating]],"-- Error --")</f>
        <v>-- Error --</v>
      </c>
      <c r="R152" s="16" t="s">
        <v>98</v>
      </c>
      <c r="T152" s="16" t="s">
        <v>99</v>
      </c>
      <c r="U152" s="17" t="e" cm="1">
        <f t="array" aca="1" ref="U152" ca="1">+U152:Y1019VLOOKUP(RiskRegister[[#This Row],[Residual Impact Level]],'Rating factors'!$F$4:$G$9,2,FALSE)</f>
        <v>#NAME?</v>
      </c>
      <c r="V152" s="16" t="s">
        <v>79</v>
      </c>
      <c r="W152" s="17" t="str">
        <f>VLOOKUP(RiskRegister[[#This Row],[Residual Likelihood Level]],'Rating factors'!$F$16:$G$21,2,FALSE)</f>
        <v>--- Error ---</v>
      </c>
      <c r="X152" s="17" t="str">
        <f ca="1">IFERROR(VLOOKUP(RiskRegister[[#This Row],[Residual Risk Rating]],'Rating factors'!$F$30:$G$44,2,FALSE),"-- Error --")</f>
        <v>-- Error --</v>
      </c>
      <c r="Y152" s="17" t="str">
        <f ca="1">IFERROR(RiskRegister[[#This Row],[Residual Impact Rating]]*RiskRegister[[#This Row],[Residual Likelihood Rating]],"-- Error --")</f>
        <v>-- Error --</v>
      </c>
      <c r="Z152" s="16" t="s">
        <v>100</v>
      </c>
      <c r="AB152" s="39"/>
      <c r="AD152" s="20"/>
    </row>
    <row r="153" spans="1:30" s="16" customFormat="1" hidden="1" x14ac:dyDescent="0.25">
      <c r="A153" s="16">
        <v>150</v>
      </c>
      <c r="G153" s="16" t="s">
        <v>77</v>
      </c>
      <c r="I153" s="16" t="s">
        <v>75</v>
      </c>
      <c r="L153" s="105" t="s">
        <v>99</v>
      </c>
      <c r="M153" s="17" t="str">
        <f>VLOOKUP(RiskRegister[[#This Row],[Inherent Impact LevelL3:L1020D1007L3:L1019]],'Rating factors'!$F$4:$G$9,2,FALSE)</f>
        <v>--- Error ---</v>
      </c>
      <c r="N153" s="16" t="s">
        <v>79</v>
      </c>
      <c r="O153" s="17" t="str">
        <f>VLOOKUP(RiskRegister[[#This Row],[Inherent Likelihood Level]],'Rating factors'!$F$16:$G$21,2,FALSE)</f>
        <v>--- Error ---</v>
      </c>
      <c r="P153" s="17" t="str">
        <f>IFERROR(VLOOKUP(RiskRegister[[#This Row],[Inherent Risk Rating]],'Rating factors'!$F$30:$G$44,2,FALSE),"-- Error --")</f>
        <v>-- Error --</v>
      </c>
      <c r="Q153" s="17" t="str">
        <f>IFERROR(RiskRegister[[#This Row],[Inherent Impact Rating]]*RiskRegister[[#This Row],[Inherent Likelihood Rating]],"-- Error --")</f>
        <v>-- Error --</v>
      </c>
      <c r="R153" s="16" t="s">
        <v>98</v>
      </c>
      <c r="T153" s="16" t="s">
        <v>99</v>
      </c>
      <c r="U153" s="17" t="e" cm="1">
        <f t="array" aca="1" ref="U153" ca="1">+U153:Y1019VLOOKUP(RiskRegister[[#This Row],[Residual Impact Level]],'Rating factors'!$F$4:$G$9,2,FALSE)</f>
        <v>#NAME?</v>
      </c>
      <c r="V153" s="16" t="s">
        <v>79</v>
      </c>
      <c r="W153" s="17" t="str">
        <f>VLOOKUP(RiskRegister[[#This Row],[Residual Likelihood Level]],'Rating factors'!$F$16:$G$21,2,FALSE)</f>
        <v>--- Error ---</v>
      </c>
      <c r="X153" s="17" t="str">
        <f ca="1">IFERROR(VLOOKUP(RiskRegister[[#This Row],[Residual Risk Rating]],'Rating factors'!$F$30:$G$44,2,FALSE),"-- Error --")</f>
        <v>-- Error --</v>
      </c>
      <c r="Y153" s="17" t="str">
        <f ca="1">IFERROR(RiskRegister[[#This Row],[Residual Impact Rating]]*RiskRegister[[#This Row],[Residual Likelihood Rating]],"-- Error --")</f>
        <v>-- Error --</v>
      </c>
      <c r="Z153" s="16" t="s">
        <v>100</v>
      </c>
      <c r="AB153" s="39"/>
      <c r="AD153" s="20"/>
    </row>
    <row r="154" spans="1:30" s="16" customFormat="1" hidden="1" x14ac:dyDescent="0.25">
      <c r="A154" s="16">
        <v>151</v>
      </c>
      <c r="G154" s="16" t="s">
        <v>77</v>
      </c>
      <c r="I154" s="16" t="s">
        <v>75</v>
      </c>
      <c r="L154" s="105" t="s">
        <v>99</v>
      </c>
      <c r="M154" s="17" t="str">
        <f>VLOOKUP(RiskRegister[[#This Row],[Inherent Impact LevelL3:L1020D1007L3:L1019]],'Rating factors'!$F$4:$G$9,2,FALSE)</f>
        <v>--- Error ---</v>
      </c>
      <c r="N154" s="16" t="s">
        <v>79</v>
      </c>
      <c r="O154" s="17" t="str">
        <f>VLOOKUP(RiskRegister[[#This Row],[Inherent Likelihood Level]],'Rating factors'!$F$16:$G$21,2,FALSE)</f>
        <v>--- Error ---</v>
      </c>
      <c r="P154" s="17" t="str">
        <f>IFERROR(VLOOKUP(RiskRegister[[#This Row],[Inherent Risk Rating]],'Rating factors'!$F$30:$G$44,2,FALSE),"-- Error --")</f>
        <v>-- Error --</v>
      </c>
      <c r="Q154" s="17" t="str">
        <f>IFERROR(RiskRegister[[#This Row],[Inherent Impact Rating]]*RiskRegister[[#This Row],[Inherent Likelihood Rating]],"-- Error --")</f>
        <v>-- Error --</v>
      </c>
      <c r="R154" s="16" t="s">
        <v>98</v>
      </c>
      <c r="T154" s="16" t="s">
        <v>99</v>
      </c>
      <c r="U154" s="17" t="e" cm="1">
        <f t="array" aca="1" ref="U154" ca="1">+U154:Y1019VLOOKUP(RiskRegister[[#This Row],[Residual Impact Level]],'Rating factors'!$F$4:$G$9,2,FALSE)</f>
        <v>#NAME?</v>
      </c>
      <c r="V154" s="16" t="s">
        <v>79</v>
      </c>
      <c r="W154" s="17" t="str">
        <f>VLOOKUP(RiskRegister[[#This Row],[Residual Likelihood Level]],'Rating factors'!$F$16:$G$21,2,FALSE)</f>
        <v>--- Error ---</v>
      </c>
      <c r="X154" s="17" t="str">
        <f ca="1">IFERROR(VLOOKUP(RiskRegister[[#This Row],[Residual Risk Rating]],'Rating factors'!$F$30:$G$44,2,FALSE),"-- Error --")</f>
        <v>-- Error --</v>
      </c>
      <c r="Y154" s="17" t="str">
        <f ca="1">IFERROR(RiskRegister[[#This Row],[Residual Impact Rating]]*RiskRegister[[#This Row],[Residual Likelihood Rating]],"-- Error --")</f>
        <v>-- Error --</v>
      </c>
      <c r="Z154" s="16" t="s">
        <v>100</v>
      </c>
      <c r="AB154" s="39"/>
      <c r="AD154" s="20"/>
    </row>
    <row r="155" spans="1:30" s="16" customFormat="1" hidden="1" x14ac:dyDescent="0.25">
      <c r="A155" s="16">
        <v>152</v>
      </c>
      <c r="G155" s="16" t="s">
        <v>77</v>
      </c>
      <c r="I155" s="16" t="s">
        <v>75</v>
      </c>
      <c r="L155" s="105" t="s">
        <v>99</v>
      </c>
      <c r="M155" s="17" t="str">
        <f>VLOOKUP(RiskRegister[[#This Row],[Inherent Impact LevelL3:L1020D1007L3:L1019]],'Rating factors'!$F$4:$G$9,2,FALSE)</f>
        <v>--- Error ---</v>
      </c>
      <c r="N155" s="16" t="s">
        <v>79</v>
      </c>
      <c r="O155" s="17" t="str">
        <f>VLOOKUP(RiskRegister[[#This Row],[Inherent Likelihood Level]],'Rating factors'!$F$16:$G$21,2,FALSE)</f>
        <v>--- Error ---</v>
      </c>
      <c r="P155" s="17" t="str">
        <f>IFERROR(VLOOKUP(RiskRegister[[#This Row],[Inherent Risk Rating]],'Rating factors'!$F$30:$G$44,2,FALSE),"-- Error --")</f>
        <v>-- Error --</v>
      </c>
      <c r="Q155" s="17" t="str">
        <f>IFERROR(RiskRegister[[#This Row],[Inherent Impact Rating]]*RiskRegister[[#This Row],[Inherent Likelihood Rating]],"-- Error --")</f>
        <v>-- Error --</v>
      </c>
      <c r="R155" s="16" t="s">
        <v>98</v>
      </c>
      <c r="T155" s="16" t="s">
        <v>99</v>
      </c>
      <c r="U155" s="17" t="e" cm="1">
        <f t="array" aca="1" ref="U155" ca="1">+U155:Y1019VLOOKUP(RiskRegister[[#This Row],[Residual Impact Level]],'Rating factors'!$F$4:$G$9,2,FALSE)</f>
        <v>#NAME?</v>
      </c>
      <c r="V155" s="16" t="s">
        <v>79</v>
      </c>
      <c r="W155" s="17" t="str">
        <f>VLOOKUP(RiskRegister[[#This Row],[Residual Likelihood Level]],'Rating factors'!$F$16:$G$21,2,FALSE)</f>
        <v>--- Error ---</v>
      </c>
      <c r="X155" s="17" t="str">
        <f ca="1">IFERROR(VLOOKUP(RiskRegister[[#This Row],[Residual Risk Rating]],'Rating factors'!$F$30:$G$44,2,FALSE),"-- Error --")</f>
        <v>-- Error --</v>
      </c>
      <c r="Y155" s="17" t="str">
        <f ca="1">IFERROR(RiskRegister[[#This Row],[Residual Impact Rating]]*RiskRegister[[#This Row],[Residual Likelihood Rating]],"-- Error --")</f>
        <v>-- Error --</v>
      </c>
      <c r="Z155" s="16" t="s">
        <v>100</v>
      </c>
      <c r="AB155" s="39"/>
      <c r="AD155" s="20"/>
    </row>
    <row r="156" spans="1:30" s="16" customFormat="1" hidden="1" x14ac:dyDescent="0.25">
      <c r="A156" s="16">
        <v>153</v>
      </c>
      <c r="G156" s="16" t="s">
        <v>77</v>
      </c>
      <c r="I156" s="16" t="s">
        <v>75</v>
      </c>
      <c r="L156" s="105" t="s">
        <v>99</v>
      </c>
      <c r="M156" s="17" t="str">
        <f>VLOOKUP(RiskRegister[[#This Row],[Inherent Impact LevelL3:L1020D1007L3:L1019]],'Rating factors'!$F$4:$G$9,2,FALSE)</f>
        <v>--- Error ---</v>
      </c>
      <c r="N156" s="16" t="s">
        <v>79</v>
      </c>
      <c r="O156" s="17" t="str">
        <f>VLOOKUP(RiskRegister[[#This Row],[Inherent Likelihood Level]],'Rating factors'!$F$16:$G$21,2,FALSE)</f>
        <v>--- Error ---</v>
      </c>
      <c r="P156" s="17" t="str">
        <f>IFERROR(VLOOKUP(RiskRegister[[#This Row],[Inherent Risk Rating]],'Rating factors'!$F$30:$G$44,2,FALSE),"-- Error --")</f>
        <v>-- Error --</v>
      </c>
      <c r="Q156" s="17" t="str">
        <f>IFERROR(RiskRegister[[#This Row],[Inherent Impact Rating]]*RiskRegister[[#This Row],[Inherent Likelihood Rating]],"-- Error --")</f>
        <v>-- Error --</v>
      </c>
      <c r="R156" s="16" t="s">
        <v>98</v>
      </c>
      <c r="T156" s="16" t="s">
        <v>99</v>
      </c>
      <c r="U156" s="17" t="e" cm="1">
        <f t="array" aca="1" ref="U156" ca="1">+U156:Y1019VLOOKUP(RiskRegister[[#This Row],[Residual Impact Level]],'Rating factors'!$F$4:$G$9,2,FALSE)</f>
        <v>#NAME?</v>
      </c>
      <c r="V156" s="16" t="s">
        <v>79</v>
      </c>
      <c r="W156" s="17" t="str">
        <f>VLOOKUP(RiskRegister[[#This Row],[Residual Likelihood Level]],'Rating factors'!$F$16:$G$21,2,FALSE)</f>
        <v>--- Error ---</v>
      </c>
      <c r="X156" s="17" t="str">
        <f ca="1">IFERROR(VLOOKUP(RiskRegister[[#This Row],[Residual Risk Rating]],'Rating factors'!$F$30:$G$44,2,FALSE),"-- Error --")</f>
        <v>-- Error --</v>
      </c>
      <c r="Y156" s="17" t="str">
        <f ca="1">IFERROR(RiskRegister[[#This Row],[Residual Impact Rating]]*RiskRegister[[#This Row],[Residual Likelihood Rating]],"-- Error --")</f>
        <v>-- Error --</v>
      </c>
      <c r="Z156" s="16" t="s">
        <v>100</v>
      </c>
      <c r="AB156" s="39"/>
      <c r="AD156" s="20"/>
    </row>
    <row r="157" spans="1:30" s="16" customFormat="1" hidden="1" x14ac:dyDescent="0.25">
      <c r="A157" s="16">
        <v>154</v>
      </c>
      <c r="G157" s="16" t="s">
        <v>77</v>
      </c>
      <c r="I157" s="16" t="s">
        <v>75</v>
      </c>
      <c r="L157" s="105" t="s">
        <v>99</v>
      </c>
      <c r="M157" s="17" t="str">
        <f>VLOOKUP(RiskRegister[[#This Row],[Inherent Impact LevelL3:L1020D1007L3:L1019]],'Rating factors'!$F$4:$G$9,2,FALSE)</f>
        <v>--- Error ---</v>
      </c>
      <c r="N157" s="16" t="s">
        <v>79</v>
      </c>
      <c r="O157" s="17" t="str">
        <f>VLOOKUP(RiskRegister[[#This Row],[Inherent Likelihood Level]],'Rating factors'!$F$16:$G$21,2,FALSE)</f>
        <v>--- Error ---</v>
      </c>
      <c r="P157" s="17" t="str">
        <f>IFERROR(VLOOKUP(RiskRegister[[#This Row],[Inherent Risk Rating]],'Rating factors'!$F$30:$G$44,2,FALSE),"-- Error --")</f>
        <v>-- Error --</v>
      </c>
      <c r="Q157" s="17" t="str">
        <f>IFERROR(RiskRegister[[#This Row],[Inherent Impact Rating]]*RiskRegister[[#This Row],[Inherent Likelihood Rating]],"-- Error --")</f>
        <v>-- Error --</v>
      </c>
      <c r="R157" s="16" t="s">
        <v>98</v>
      </c>
      <c r="T157" s="16" t="s">
        <v>99</v>
      </c>
      <c r="U157" s="17" t="e" cm="1">
        <f t="array" aca="1" ref="U157" ca="1">+U157:Y1019VLOOKUP(RiskRegister[[#This Row],[Residual Impact Level]],'Rating factors'!$F$4:$G$9,2,FALSE)</f>
        <v>#NAME?</v>
      </c>
      <c r="V157" s="16" t="s">
        <v>79</v>
      </c>
      <c r="W157" s="17" t="str">
        <f>VLOOKUP(RiskRegister[[#This Row],[Residual Likelihood Level]],'Rating factors'!$F$16:$G$21,2,FALSE)</f>
        <v>--- Error ---</v>
      </c>
      <c r="X157" s="17" t="str">
        <f ca="1">IFERROR(VLOOKUP(RiskRegister[[#This Row],[Residual Risk Rating]],'Rating factors'!$F$30:$G$44,2,FALSE),"-- Error --")</f>
        <v>-- Error --</v>
      </c>
      <c r="Y157" s="17" t="str">
        <f ca="1">IFERROR(RiskRegister[[#This Row],[Residual Impact Rating]]*RiskRegister[[#This Row],[Residual Likelihood Rating]],"-- Error --")</f>
        <v>-- Error --</v>
      </c>
      <c r="Z157" s="16" t="s">
        <v>100</v>
      </c>
      <c r="AB157" s="39"/>
      <c r="AD157" s="20"/>
    </row>
    <row r="158" spans="1:30" s="16" customFormat="1" hidden="1" x14ac:dyDescent="0.25">
      <c r="A158" s="16">
        <v>155</v>
      </c>
      <c r="G158" s="16" t="s">
        <v>77</v>
      </c>
      <c r="I158" s="16" t="s">
        <v>75</v>
      </c>
      <c r="L158" s="105" t="s">
        <v>99</v>
      </c>
      <c r="M158" s="17" t="str">
        <f>VLOOKUP(RiskRegister[[#This Row],[Inherent Impact LevelL3:L1020D1007L3:L1019]],'Rating factors'!$F$4:$G$9,2,FALSE)</f>
        <v>--- Error ---</v>
      </c>
      <c r="N158" s="16" t="s">
        <v>79</v>
      </c>
      <c r="O158" s="17" t="str">
        <f>VLOOKUP(RiskRegister[[#This Row],[Inherent Likelihood Level]],'Rating factors'!$F$16:$G$21,2,FALSE)</f>
        <v>--- Error ---</v>
      </c>
      <c r="P158" s="17" t="str">
        <f>IFERROR(VLOOKUP(RiskRegister[[#This Row],[Inherent Risk Rating]],'Rating factors'!$F$30:$G$44,2,FALSE),"-- Error --")</f>
        <v>-- Error --</v>
      </c>
      <c r="Q158" s="17" t="str">
        <f>IFERROR(RiskRegister[[#This Row],[Inherent Impact Rating]]*RiskRegister[[#This Row],[Inherent Likelihood Rating]],"-- Error --")</f>
        <v>-- Error --</v>
      </c>
      <c r="R158" s="16" t="s">
        <v>98</v>
      </c>
      <c r="T158" s="16" t="s">
        <v>99</v>
      </c>
      <c r="U158" s="17" t="e" cm="1">
        <f t="array" aca="1" ref="U158" ca="1">+U158:Y1019VLOOKUP(RiskRegister[[#This Row],[Residual Impact Level]],'Rating factors'!$F$4:$G$9,2,FALSE)</f>
        <v>#NAME?</v>
      </c>
      <c r="V158" s="16" t="s">
        <v>79</v>
      </c>
      <c r="W158" s="17" t="str">
        <f>VLOOKUP(RiskRegister[[#This Row],[Residual Likelihood Level]],'Rating factors'!$F$16:$G$21,2,FALSE)</f>
        <v>--- Error ---</v>
      </c>
      <c r="X158" s="17" t="str">
        <f ca="1">IFERROR(VLOOKUP(RiskRegister[[#This Row],[Residual Risk Rating]],'Rating factors'!$F$30:$G$44,2,FALSE),"-- Error --")</f>
        <v>-- Error --</v>
      </c>
      <c r="Y158" s="17" t="str">
        <f ca="1">IFERROR(RiskRegister[[#This Row],[Residual Impact Rating]]*RiskRegister[[#This Row],[Residual Likelihood Rating]],"-- Error --")</f>
        <v>-- Error --</v>
      </c>
      <c r="Z158" s="16" t="s">
        <v>100</v>
      </c>
      <c r="AB158" s="39"/>
      <c r="AD158" s="20"/>
    </row>
    <row r="159" spans="1:30" s="16" customFormat="1" hidden="1" x14ac:dyDescent="0.25">
      <c r="A159" s="16">
        <v>156</v>
      </c>
      <c r="G159" s="16" t="s">
        <v>77</v>
      </c>
      <c r="I159" s="16" t="s">
        <v>75</v>
      </c>
      <c r="L159" s="105" t="s">
        <v>99</v>
      </c>
      <c r="M159" s="17" t="str">
        <f>VLOOKUP(RiskRegister[[#This Row],[Inherent Impact LevelL3:L1020D1007L3:L1019]],'Rating factors'!$F$4:$G$9,2,FALSE)</f>
        <v>--- Error ---</v>
      </c>
      <c r="N159" s="16" t="s">
        <v>79</v>
      </c>
      <c r="O159" s="17" t="str">
        <f>VLOOKUP(RiskRegister[[#This Row],[Inherent Likelihood Level]],'Rating factors'!$F$16:$G$21,2,FALSE)</f>
        <v>--- Error ---</v>
      </c>
      <c r="P159" s="17" t="str">
        <f>IFERROR(VLOOKUP(RiskRegister[[#This Row],[Inherent Risk Rating]],'Rating factors'!$F$30:$G$44,2,FALSE),"-- Error --")</f>
        <v>-- Error --</v>
      </c>
      <c r="Q159" s="17" t="str">
        <f>IFERROR(RiskRegister[[#This Row],[Inherent Impact Rating]]*RiskRegister[[#This Row],[Inherent Likelihood Rating]],"-- Error --")</f>
        <v>-- Error --</v>
      </c>
      <c r="R159" s="16" t="s">
        <v>98</v>
      </c>
      <c r="T159" s="16" t="s">
        <v>99</v>
      </c>
      <c r="U159" s="17" t="e" cm="1">
        <f t="array" aca="1" ref="U159" ca="1">+U159:Y1019VLOOKUP(RiskRegister[[#This Row],[Residual Impact Level]],'Rating factors'!$F$4:$G$9,2,FALSE)</f>
        <v>#NAME?</v>
      </c>
      <c r="V159" s="16" t="s">
        <v>79</v>
      </c>
      <c r="W159" s="17" t="str">
        <f>VLOOKUP(RiskRegister[[#This Row],[Residual Likelihood Level]],'Rating factors'!$F$16:$G$21,2,FALSE)</f>
        <v>--- Error ---</v>
      </c>
      <c r="X159" s="17" t="str">
        <f ca="1">IFERROR(VLOOKUP(RiskRegister[[#This Row],[Residual Risk Rating]],'Rating factors'!$F$30:$G$44,2,FALSE),"-- Error --")</f>
        <v>-- Error --</v>
      </c>
      <c r="Y159" s="17" t="str">
        <f ca="1">IFERROR(RiskRegister[[#This Row],[Residual Impact Rating]]*RiskRegister[[#This Row],[Residual Likelihood Rating]],"-- Error --")</f>
        <v>-- Error --</v>
      </c>
      <c r="Z159" s="16" t="s">
        <v>100</v>
      </c>
      <c r="AB159" s="39"/>
      <c r="AD159" s="20"/>
    </row>
    <row r="160" spans="1:30" s="16" customFormat="1" hidden="1" x14ac:dyDescent="0.25">
      <c r="A160" s="16">
        <v>157</v>
      </c>
      <c r="G160" s="16" t="s">
        <v>77</v>
      </c>
      <c r="I160" s="16" t="s">
        <v>75</v>
      </c>
      <c r="L160" s="105" t="s">
        <v>99</v>
      </c>
      <c r="M160" s="17" t="str">
        <f>VLOOKUP(RiskRegister[[#This Row],[Inherent Impact LevelL3:L1020D1007L3:L1019]],'Rating factors'!$F$4:$G$9,2,FALSE)</f>
        <v>--- Error ---</v>
      </c>
      <c r="N160" s="16" t="s">
        <v>79</v>
      </c>
      <c r="O160" s="17" t="str">
        <f>VLOOKUP(RiskRegister[[#This Row],[Inherent Likelihood Level]],'Rating factors'!$F$16:$G$21,2,FALSE)</f>
        <v>--- Error ---</v>
      </c>
      <c r="P160" s="17" t="str">
        <f>IFERROR(VLOOKUP(RiskRegister[[#This Row],[Inherent Risk Rating]],'Rating factors'!$F$30:$G$44,2,FALSE),"-- Error --")</f>
        <v>-- Error --</v>
      </c>
      <c r="Q160" s="17" t="str">
        <f>IFERROR(RiskRegister[[#This Row],[Inherent Impact Rating]]*RiskRegister[[#This Row],[Inherent Likelihood Rating]],"-- Error --")</f>
        <v>-- Error --</v>
      </c>
      <c r="R160" s="16" t="s">
        <v>98</v>
      </c>
      <c r="T160" s="16" t="s">
        <v>99</v>
      </c>
      <c r="U160" s="17" t="e" cm="1">
        <f t="array" aca="1" ref="U160" ca="1">+U160:Y1019VLOOKUP(RiskRegister[[#This Row],[Residual Impact Level]],'Rating factors'!$F$4:$G$9,2,FALSE)</f>
        <v>#NAME?</v>
      </c>
      <c r="V160" s="16" t="s">
        <v>79</v>
      </c>
      <c r="W160" s="17" t="str">
        <f>VLOOKUP(RiskRegister[[#This Row],[Residual Likelihood Level]],'Rating factors'!$F$16:$G$21,2,FALSE)</f>
        <v>--- Error ---</v>
      </c>
      <c r="X160" s="17" t="str">
        <f ca="1">IFERROR(VLOOKUP(RiskRegister[[#This Row],[Residual Risk Rating]],'Rating factors'!$F$30:$G$44,2,FALSE),"-- Error --")</f>
        <v>-- Error --</v>
      </c>
      <c r="Y160" s="17" t="str">
        <f ca="1">IFERROR(RiskRegister[[#This Row],[Residual Impact Rating]]*RiskRegister[[#This Row],[Residual Likelihood Rating]],"-- Error --")</f>
        <v>-- Error --</v>
      </c>
      <c r="Z160" s="16" t="s">
        <v>100</v>
      </c>
      <c r="AB160" s="39"/>
      <c r="AD160" s="20"/>
    </row>
    <row r="161" spans="1:30" s="16" customFormat="1" hidden="1" x14ac:dyDescent="0.25">
      <c r="A161" s="16">
        <v>158</v>
      </c>
      <c r="G161" s="16" t="s">
        <v>77</v>
      </c>
      <c r="I161" s="16" t="s">
        <v>75</v>
      </c>
      <c r="L161" s="105" t="s">
        <v>99</v>
      </c>
      <c r="M161" s="17" t="str">
        <f>VLOOKUP(RiskRegister[[#This Row],[Inherent Impact LevelL3:L1020D1007L3:L1019]],'Rating factors'!$F$4:$G$9,2,FALSE)</f>
        <v>--- Error ---</v>
      </c>
      <c r="N161" s="16" t="s">
        <v>79</v>
      </c>
      <c r="O161" s="17" t="str">
        <f>VLOOKUP(RiskRegister[[#This Row],[Inherent Likelihood Level]],'Rating factors'!$F$16:$G$21,2,FALSE)</f>
        <v>--- Error ---</v>
      </c>
      <c r="P161" s="17" t="str">
        <f>IFERROR(VLOOKUP(RiskRegister[[#This Row],[Inherent Risk Rating]],'Rating factors'!$F$30:$G$44,2,FALSE),"-- Error --")</f>
        <v>-- Error --</v>
      </c>
      <c r="Q161" s="17" t="str">
        <f>IFERROR(RiskRegister[[#This Row],[Inherent Impact Rating]]*RiskRegister[[#This Row],[Inherent Likelihood Rating]],"-- Error --")</f>
        <v>-- Error --</v>
      </c>
      <c r="R161" s="16" t="s">
        <v>98</v>
      </c>
      <c r="T161" s="16" t="s">
        <v>99</v>
      </c>
      <c r="U161" s="17" t="e" cm="1">
        <f t="array" aca="1" ref="U161" ca="1">+U161:Y1019VLOOKUP(RiskRegister[[#This Row],[Residual Impact Level]],'Rating factors'!$F$4:$G$9,2,FALSE)</f>
        <v>#NAME?</v>
      </c>
      <c r="V161" s="16" t="s">
        <v>79</v>
      </c>
      <c r="W161" s="17" t="str">
        <f>VLOOKUP(RiskRegister[[#This Row],[Residual Likelihood Level]],'Rating factors'!$F$16:$G$21,2,FALSE)</f>
        <v>--- Error ---</v>
      </c>
      <c r="X161" s="17" t="str">
        <f ca="1">IFERROR(VLOOKUP(RiskRegister[[#This Row],[Residual Risk Rating]],'Rating factors'!$F$30:$G$44,2,FALSE),"-- Error --")</f>
        <v>-- Error --</v>
      </c>
      <c r="Y161" s="17" t="str">
        <f ca="1">IFERROR(RiskRegister[[#This Row],[Residual Impact Rating]]*RiskRegister[[#This Row],[Residual Likelihood Rating]],"-- Error --")</f>
        <v>-- Error --</v>
      </c>
      <c r="Z161" s="16" t="s">
        <v>100</v>
      </c>
      <c r="AB161" s="39"/>
      <c r="AD161" s="20"/>
    </row>
    <row r="162" spans="1:30" s="16" customFormat="1" hidden="1" x14ac:dyDescent="0.25">
      <c r="A162" s="16">
        <v>159</v>
      </c>
      <c r="G162" s="16" t="s">
        <v>77</v>
      </c>
      <c r="I162" s="16" t="s">
        <v>75</v>
      </c>
      <c r="L162" s="105" t="s">
        <v>99</v>
      </c>
      <c r="M162" s="17" t="str">
        <f>VLOOKUP(RiskRegister[[#This Row],[Inherent Impact LevelL3:L1020D1007L3:L1019]],'Rating factors'!$F$4:$G$9,2,FALSE)</f>
        <v>--- Error ---</v>
      </c>
      <c r="N162" s="16" t="s">
        <v>79</v>
      </c>
      <c r="O162" s="17" t="str">
        <f>VLOOKUP(RiskRegister[[#This Row],[Inherent Likelihood Level]],'Rating factors'!$F$16:$G$21,2,FALSE)</f>
        <v>--- Error ---</v>
      </c>
      <c r="P162" s="17" t="str">
        <f>IFERROR(VLOOKUP(RiskRegister[[#This Row],[Inherent Risk Rating]],'Rating factors'!$F$30:$G$44,2,FALSE),"-- Error --")</f>
        <v>-- Error --</v>
      </c>
      <c r="Q162" s="17" t="str">
        <f>IFERROR(RiskRegister[[#This Row],[Inherent Impact Rating]]*RiskRegister[[#This Row],[Inherent Likelihood Rating]],"-- Error --")</f>
        <v>-- Error --</v>
      </c>
      <c r="R162" s="16" t="s">
        <v>98</v>
      </c>
      <c r="T162" s="16" t="s">
        <v>99</v>
      </c>
      <c r="U162" s="17" t="e" cm="1">
        <f t="array" aca="1" ref="U162" ca="1">+U162:Y1019VLOOKUP(RiskRegister[[#This Row],[Residual Impact Level]],'Rating factors'!$F$4:$G$9,2,FALSE)</f>
        <v>#NAME?</v>
      </c>
      <c r="V162" s="16" t="s">
        <v>79</v>
      </c>
      <c r="W162" s="17" t="str">
        <f>VLOOKUP(RiskRegister[[#This Row],[Residual Likelihood Level]],'Rating factors'!$F$16:$G$21,2,FALSE)</f>
        <v>--- Error ---</v>
      </c>
      <c r="X162" s="17" t="str">
        <f ca="1">IFERROR(VLOOKUP(RiskRegister[[#This Row],[Residual Risk Rating]],'Rating factors'!$F$30:$G$44,2,FALSE),"-- Error --")</f>
        <v>-- Error --</v>
      </c>
      <c r="Y162" s="17" t="str">
        <f ca="1">IFERROR(RiskRegister[[#This Row],[Residual Impact Rating]]*RiskRegister[[#This Row],[Residual Likelihood Rating]],"-- Error --")</f>
        <v>-- Error --</v>
      </c>
      <c r="Z162" s="16" t="s">
        <v>100</v>
      </c>
      <c r="AB162" s="39"/>
      <c r="AD162" s="20"/>
    </row>
    <row r="163" spans="1:30" s="16" customFormat="1" hidden="1" x14ac:dyDescent="0.25">
      <c r="A163" s="16">
        <v>160</v>
      </c>
      <c r="G163" s="16" t="s">
        <v>77</v>
      </c>
      <c r="I163" s="16" t="s">
        <v>75</v>
      </c>
      <c r="L163" s="105" t="s">
        <v>99</v>
      </c>
      <c r="M163" s="17" t="str">
        <f>VLOOKUP(RiskRegister[[#This Row],[Inherent Impact LevelL3:L1020D1007L3:L1019]],'Rating factors'!$F$4:$G$9,2,FALSE)</f>
        <v>--- Error ---</v>
      </c>
      <c r="N163" s="16" t="s">
        <v>79</v>
      </c>
      <c r="O163" s="17" t="str">
        <f>VLOOKUP(RiskRegister[[#This Row],[Inherent Likelihood Level]],'Rating factors'!$F$16:$G$21,2,FALSE)</f>
        <v>--- Error ---</v>
      </c>
      <c r="P163" s="17" t="str">
        <f>IFERROR(VLOOKUP(RiskRegister[[#This Row],[Inherent Risk Rating]],'Rating factors'!$F$30:$G$44,2,FALSE),"-- Error --")</f>
        <v>-- Error --</v>
      </c>
      <c r="Q163" s="17" t="str">
        <f>IFERROR(RiskRegister[[#This Row],[Inherent Impact Rating]]*RiskRegister[[#This Row],[Inherent Likelihood Rating]],"-- Error --")</f>
        <v>-- Error --</v>
      </c>
      <c r="R163" s="16" t="s">
        <v>98</v>
      </c>
      <c r="T163" s="16" t="s">
        <v>99</v>
      </c>
      <c r="U163" s="17" t="e" cm="1">
        <f t="array" aca="1" ref="U163" ca="1">+U163:Y1019VLOOKUP(RiskRegister[[#This Row],[Residual Impact Level]],'Rating factors'!$F$4:$G$9,2,FALSE)</f>
        <v>#NAME?</v>
      </c>
      <c r="V163" s="16" t="s">
        <v>79</v>
      </c>
      <c r="W163" s="17" t="str">
        <f>VLOOKUP(RiskRegister[[#This Row],[Residual Likelihood Level]],'Rating factors'!$F$16:$G$21,2,FALSE)</f>
        <v>--- Error ---</v>
      </c>
      <c r="X163" s="17" t="str">
        <f ca="1">IFERROR(VLOOKUP(RiskRegister[[#This Row],[Residual Risk Rating]],'Rating factors'!$F$30:$G$44,2,FALSE),"-- Error --")</f>
        <v>-- Error --</v>
      </c>
      <c r="Y163" s="17" t="str">
        <f ca="1">IFERROR(RiskRegister[[#This Row],[Residual Impact Rating]]*RiskRegister[[#This Row],[Residual Likelihood Rating]],"-- Error --")</f>
        <v>-- Error --</v>
      </c>
      <c r="Z163" s="16" t="s">
        <v>100</v>
      </c>
      <c r="AB163" s="39"/>
      <c r="AD163" s="20"/>
    </row>
    <row r="164" spans="1:30" s="16" customFormat="1" hidden="1" x14ac:dyDescent="0.25">
      <c r="A164" s="16">
        <v>161</v>
      </c>
      <c r="G164" s="16" t="s">
        <v>77</v>
      </c>
      <c r="I164" s="16" t="s">
        <v>75</v>
      </c>
      <c r="L164" s="105" t="s">
        <v>99</v>
      </c>
      <c r="M164" s="17" t="str">
        <f>VLOOKUP(RiskRegister[[#This Row],[Inherent Impact LevelL3:L1020D1007L3:L1019]],'Rating factors'!$F$4:$G$9,2,FALSE)</f>
        <v>--- Error ---</v>
      </c>
      <c r="N164" s="16" t="s">
        <v>79</v>
      </c>
      <c r="O164" s="17" t="str">
        <f>VLOOKUP(RiskRegister[[#This Row],[Inherent Likelihood Level]],'Rating factors'!$F$16:$G$21,2,FALSE)</f>
        <v>--- Error ---</v>
      </c>
      <c r="P164" s="17" t="str">
        <f>IFERROR(VLOOKUP(RiskRegister[[#This Row],[Inherent Risk Rating]],'Rating factors'!$F$30:$G$44,2,FALSE),"-- Error --")</f>
        <v>-- Error --</v>
      </c>
      <c r="Q164" s="17" t="str">
        <f>IFERROR(RiskRegister[[#This Row],[Inherent Impact Rating]]*RiskRegister[[#This Row],[Inherent Likelihood Rating]],"-- Error --")</f>
        <v>-- Error --</v>
      </c>
      <c r="R164" s="16" t="s">
        <v>98</v>
      </c>
      <c r="T164" s="16" t="s">
        <v>99</v>
      </c>
      <c r="U164" s="17" t="e" cm="1">
        <f t="array" aca="1" ref="U164" ca="1">+U164:Y1019VLOOKUP(RiskRegister[[#This Row],[Residual Impact Level]],'Rating factors'!$F$4:$G$9,2,FALSE)</f>
        <v>#NAME?</v>
      </c>
      <c r="V164" s="16" t="s">
        <v>79</v>
      </c>
      <c r="W164" s="17" t="str">
        <f>VLOOKUP(RiskRegister[[#This Row],[Residual Likelihood Level]],'Rating factors'!$F$16:$G$21,2,FALSE)</f>
        <v>--- Error ---</v>
      </c>
      <c r="X164" s="17" t="str">
        <f ca="1">IFERROR(VLOOKUP(RiskRegister[[#This Row],[Residual Risk Rating]],'Rating factors'!$F$30:$G$44,2,FALSE),"-- Error --")</f>
        <v>-- Error --</v>
      </c>
      <c r="Y164" s="17" t="str">
        <f ca="1">IFERROR(RiskRegister[[#This Row],[Residual Impact Rating]]*RiskRegister[[#This Row],[Residual Likelihood Rating]],"-- Error --")</f>
        <v>-- Error --</v>
      </c>
      <c r="Z164" s="16" t="s">
        <v>100</v>
      </c>
      <c r="AB164" s="39"/>
      <c r="AD164" s="20"/>
    </row>
    <row r="165" spans="1:30" s="16" customFormat="1" hidden="1" x14ac:dyDescent="0.25">
      <c r="A165" s="16">
        <v>162</v>
      </c>
      <c r="G165" s="16" t="s">
        <v>77</v>
      </c>
      <c r="I165" s="16" t="s">
        <v>75</v>
      </c>
      <c r="L165" s="105" t="s">
        <v>99</v>
      </c>
      <c r="M165" s="17" t="str">
        <f>VLOOKUP(RiskRegister[[#This Row],[Inherent Impact LevelL3:L1020D1007L3:L1019]],'Rating factors'!$F$4:$G$9,2,FALSE)</f>
        <v>--- Error ---</v>
      </c>
      <c r="N165" s="16" t="s">
        <v>79</v>
      </c>
      <c r="O165" s="17" t="str">
        <f>VLOOKUP(RiskRegister[[#This Row],[Inherent Likelihood Level]],'Rating factors'!$F$16:$G$21,2,FALSE)</f>
        <v>--- Error ---</v>
      </c>
      <c r="P165" s="17" t="str">
        <f>IFERROR(VLOOKUP(RiskRegister[[#This Row],[Inherent Risk Rating]],'Rating factors'!$F$30:$G$44,2,FALSE),"-- Error --")</f>
        <v>-- Error --</v>
      </c>
      <c r="Q165" s="17" t="str">
        <f>IFERROR(RiskRegister[[#This Row],[Inherent Impact Rating]]*RiskRegister[[#This Row],[Inherent Likelihood Rating]],"-- Error --")</f>
        <v>-- Error --</v>
      </c>
      <c r="R165" s="16" t="s">
        <v>98</v>
      </c>
      <c r="T165" s="16" t="s">
        <v>99</v>
      </c>
      <c r="U165" s="17" t="e" cm="1">
        <f t="array" aca="1" ref="U165" ca="1">+U165:Y1019VLOOKUP(RiskRegister[[#This Row],[Residual Impact Level]],'Rating factors'!$F$4:$G$9,2,FALSE)</f>
        <v>#NAME?</v>
      </c>
      <c r="V165" s="16" t="s">
        <v>79</v>
      </c>
      <c r="W165" s="17" t="str">
        <f>VLOOKUP(RiskRegister[[#This Row],[Residual Likelihood Level]],'Rating factors'!$F$16:$G$21,2,FALSE)</f>
        <v>--- Error ---</v>
      </c>
      <c r="X165" s="17" t="str">
        <f ca="1">IFERROR(VLOOKUP(RiskRegister[[#This Row],[Residual Risk Rating]],'Rating factors'!$F$30:$G$44,2,FALSE),"-- Error --")</f>
        <v>-- Error --</v>
      </c>
      <c r="Y165" s="17" t="str">
        <f ca="1">IFERROR(RiskRegister[[#This Row],[Residual Impact Rating]]*RiskRegister[[#This Row],[Residual Likelihood Rating]],"-- Error --")</f>
        <v>-- Error --</v>
      </c>
      <c r="Z165" s="16" t="s">
        <v>100</v>
      </c>
      <c r="AB165" s="39"/>
      <c r="AD165" s="20"/>
    </row>
    <row r="166" spans="1:30" s="16" customFormat="1" hidden="1" x14ac:dyDescent="0.25">
      <c r="A166" s="16">
        <v>163</v>
      </c>
      <c r="G166" s="16" t="s">
        <v>77</v>
      </c>
      <c r="I166" s="16" t="s">
        <v>75</v>
      </c>
      <c r="L166" s="105" t="s">
        <v>99</v>
      </c>
      <c r="M166" s="17" t="str">
        <f>VLOOKUP(RiskRegister[[#This Row],[Inherent Impact LevelL3:L1020D1007L3:L1019]],'Rating factors'!$F$4:$G$9,2,FALSE)</f>
        <v>--- Error ---</v>
      </c>
      <c r="N166" s="16" t="s">
        <v>79</v>
      </c>
      <c r="O166" s="17" t="str">
        <f>VLOOKUP(RiskRegister[[#This Row],[Inherent Likelihood Level]],'Rating factors'!$F$16:$G$21,2,FALSE)</f>
        <v>--- Error ---</v>
      </c>
      <c r="P166" s="17" t="str">
        <f>IFERROR(VLOOKUP(RiskRegister[[#This Row],[Inherent Risk Rating]],'Rating factors'!$F$30:$G$44,2,FALSE),"-- Error --")</f>
        <v>-- Error --</v>
      </c>
      <c r="Q166" s="17" t="str">
        <f>IFERROR(RiskRegister[[#This Row],[Inherent Impact Rating]]*RiskRegister[[#This Row],[Inherent Likelihood Rating]],"-- Error --")</f>
        <v>-- Error --</v>
      </c>
      <c r="R166" s="16" t="s">
        <v>98</v>
      </c>
      <c r="T166" s="16" t="s">
        <v>99</v>
      </c>
      <c r="U166" s="17" t="e" cm="1">
        <f t="array" aca="1" ref="U166" ca="1">+U166:Y1019VLOOKUP(RiskRegister[[#This Row],[Residual Impact Level]],'Rating factors'!$F$4:$G$9,2,FALSE)</f>
        <v>#NAME?</v>
      </c>
      <c r="V166" s="16" t="s">
        <v>79</v>
      </c>
      <c r="W166" s="17" t="str">
        <f>VLOOKUP(RiskRegister[[#This Row],[Residual Likelihood Level]],'Rating factors'!$F$16:$G$21,2,FALSE)</f>
        <v>--- Error ---</v>
      </c>
      <c r="X166" s="17" t="str">
        <f ca="1">IFERROR(VLOOKUP(RiskRegister[[#This Row],[Residual Risk Rating]],'Rating factors'!$F$30:$G$44,2,FALSE),"-- Error --")</f>
        <v>-- Error --</v>
      </c>
      <c r="Y166" s="17" t="str">
        <f ca="1">IFERROR(RiskRegister[[#This Row],[Residual Impact Rating]]*RiskRegister[[#This Row],[Residual Likelihood Rating]],"-- Error --")</f>
        <v>-- Error --</v>
      </c>
      <c r="Z166" s="16" t="s">
        <v>100</v>
      </c>
      <c r="AB166" s="39"/>
      <c r="AD166" s="20"/>
    </row>
    <row r="167" spans="1:30" s="16" customFormat="1" hidden="1" x14ac:dyDescent="0.25">
      <c r="A167" s="16">
        <v>164</v>
      </c>
      <c r="G167" s="16" t="s">
        <v>77</v>
      </c>
      <c r="I167" s="16" t="s">
        <v>75</v>
      </c>
      <c r="L167" s="105" t="s">
        <v>99</v>
      </c>
      <c r="M167" s="17" t="str">
        <f>VLOOKUP(RiskRegister[[#This Row],[Inherent Impact LevelL3:L1020D1007L3:L1019]],'Rating factors'!$F$4:$G$9,2,FALSE)</f>
        <v>--- Error ---</v>
      </c>
      <c r="N167" s="16" t="s">
        <v>79</v>
      </c>
      <c r="O167" s="17" t="str">
        <f>VLOOKUP(RiskRegister[[#This Row],[Inherent Likelihood Level]],'Rating factors'!$F$16:$G$21,2,FALSE)</f>
        <v>--- Error ---</v>
      </c>
      <c r="P167" s="17" t="str">
        <f>IFERROR(VLOOKUP(RiskRegister[[#This Row],[Inherent Risk Rating]],'Rating factors'!$F$30:$G$44,2,FALSE),"-- Error --")</f>
        <v>-- Error --</v>
      </c>
      <c r="Q167" s="17" t="str">
        <f>IFERROR(RiskRegister[[#This Row],[Inherent Impact Rating]]*RiskRegister[[#This Row],[Inherent Likelihood Rating]],"-- Error --")</f>
        <v>-- Error --</v>
      </c>
      <c r="R167" s="16" t="s">
        <v>98</v>
      </c>
      <c r="T167" s="16" t="s">
        <v>99</v>
      </c>
      <c r="U167" s="17" t="e" cm="1">
        <f t="array" aca="1" ref="U167" ca="1">+U167:Y1019VLOOKUP(RiskRegister[[#This Row],[Residual Impact Level]],'Rating factors'!$F$4:$G$9,2,FALSE)</f>
        <v>#NAME?</v>
      </c>
      <c r="V167" s="16" t="s">
        <v>79</v>
      </c>
      <c r="W167" s="17" t="str">
        <f>VLOOKUP(RiskRegister[[#This Row],[Residual Likelihood Level]],'Rating factors'!$F$16:$G$21,2,FALSE)</f>
        <v>--- Error ---</v>
      </c>
      <c r="X167" s="17" t="str">
        <f ca="1">IFERROR(VLOOKUP(RiskRegister[[#This Row],[Residual Risk Rating]],'Rating factors'!$F$30:$G$44,2,FALSE),"-- Error --")</f>
        <v>-- Error --</v>
      </c>
      <c r="Y167" s="17" t="str">
        <f ca="1">IFERROR(RiskRegister[[#This Row],[Residual Impact Rating]]*RiskRegister[[#This Row],[Residual Likelihood Rating]],"-- Error --")</f>
        <v>-- Error --</v>
      </c>
      <c r="Z167" s="16" t="s">
        <v>100</v>
      </c>
      <c r="AB167" s="39"/>
      <c r="AD167" s="20"/>
    </row>
    <row r="168" spans="1:30" s="16" customFormat="1" hidden="1" x14ac:dyDescent="0.25">
      <c r="A168" s="16">
        <v>165</v>
      </c>
      <c r="G168" s="16" t="s">
        <v>77</v>
      </c>
      <c r="I168" s="16" t="s">
        <v>75</v>
      </c>
      <c r="L168" s="105" t="s">
        <v>99</v>
      </c>
      <c r="M168" s="17" t="str">
        <f>VLOOKUP(RiskRegister[[#This Row],[Inherent Impact LevelL3:L1020D1007L3:L1019]],'Rating factors'!$F$4:$G$9,2,FALSE)</f>
        <v>--- Error ---</v>
      </c>
      <c r="N168" s="16" t="s">
        <v>79</v>
      </c>
      <c r="O168" s="17" t="str">
        <f>VLOOKUP(RiskRegister[[#This Row],[Inherent Likelihood Level]],'Rating factors'!$F$16:$G$21,2,FALSE)</f>
        <v>--- Error ---</v>
      </c>
      <c r="P168" s="17" t="str">
        <f>IFERROR(VLOOKUP(RiskRegister[[#This Row],[Inherent Risk Rating]],'Rating factors'!$F$30:$G$44,2,FALSE),"-- Error --")</f>
        <v>-- Error --</v>
      </c>
      <c r="Q168" s="17" t="str">
        <f>IFERROR(RiskRegister[[#This Row],[Inherent Impact Rating]]*RiskRegister[[#This Row],[Inherent Likelihood Rating]],"-- Error --")</f>
        <v>-- Error --</v>
      </c>
      <c r="R168" s="16" t="s">
        <v>98</v>
      </c>
      <c r="T168" s="16" t="s">
        <v>99</v>
      </c>
      <c r="U168" s="17" t="e" cm="1">
        <f t="array" aca="1" ref="U168" ca="1">+U168:Y1019VLOOKUP(RiskRegister[[#This Row],[Residual Impact Level]],'Rating factors'!$F$4:$G$9,2,FALSE)</f>
        <v>#NAME?</v>
      </c>
      <c r="V168" s="16" t="s">
        <v>79</v>
      </c>
      <c r="W168" s="17" t="str">
        <f>VLOOKUP(RiskRegister[[#This Row],[Residual Likelihood Level]],'Rating factors'!$F$16:$G$21,2,FALSE)</f>
        <v>--- Error ---</v>
      </c>
      <c r="X168" s="17" t="str">
        <f ca="1">IFERROR(VLOOKUP(RiskRegister[[#This Row],[Residual Risk Rating]],'Rating factors'!$F$30:$G$44,2,FALSE),"-- Error --")</f>
        <v>-- Error --</v>
      </c>
      <c r="Y168" s="17" t="str">
        <f ca="1">IFERROR(RiskRegister[[#This Row],[Residual Impact Rating]]*RiskRegister[[#This Row],[Residual Likelihood Rating]],"-- Error --")</f>
        <v>-- Error --</v>
      </c>
      <c r="Z168" s="16" t="s">
        <v>100</v>
      </c>
      <c r="AB168" s="39"/>
      <c r="AD168" s="20"/>
    </row>
    <row r="169" spans="1:30" s="16" customFormat="1" hidden="1" x14ac:dyDescent="0.25">
      <c r="A169" s="16">
        <v>166</v>
      </c>
      <c r="G169" s="16" t="s">
        <v>77</v>
      </c>
      <c r="I169" s="16" t="s">
        <v>75</v>
      </c>
      <c r="L169" s="105" t="s">
        <v>99</v>
      </c>
      <c r="M169" s="17" t="str">
        <f>VLOOKUP(RiskRegister[[#This Row],[Inherent Impact LevelL3:L1020D1007L3:L1019]],'Rating factors'!$F$4:$G$9,2,FALSE)</f>
        <v>--- Error ---</v>
      </c>
      <c r="N169" s="16" t="s">
        <v>79</v>
      </c>
      <c r="O169" s="17" t="str">
        <f>VLOOKUP(RiskRegister[[#This Row],[Inherent Likelihood Level]],'Rating factors'!$F$16:$G$21,2,FALSE)</f>
        <v>--- Error ---</v>
      </c>
      <c r="P169" s="17" t="str">
        <f>IFERROR(VLOOKUP(RiskRegister[[#This Row],[Inherent Risk Rating]],'Rating factors'!$F$30:$G$44,2,FALSE),"-- Error --")</f>
        <v>-- Error --</v>
      </c>
      <c r="Q169" s="17" t="str">
        <f>IFERROR(RiskRegister[[#This Row],[Inherent Impact Rating]]*RiskRegister[[#This Row],[Inherent Likelihood Rating]],"-- Error --")</f>
        <v>-- Error --</v>
      </c>
      <c r="R169" s="16" t="s">
        <v>98</v>
      </c>
      <c r="T169" s="16" t="s">
        <v>99</v>
      </c>
      <c r="U169" s="17" t="e" cm="1">
        <f t="array" aca="1" ref="U169" ca="1">+U169:Y1019VLOOKUP(RiskRegister[[#This Row],[Residual Impact Level]],'Rating factors'!$F$4:$G$9,2,FALSE)</f>
        <v>#NAME?</v>
      </c>
      <c r="V169" s="16" t="s">
        <v>79</v>
      </c>
      <c r="W169" s="17" t="str">
        <f>VLOOKUP(RiskRegister[[#This Row],[Residual Likelihood Level]],'Rating factors'!$F$16:$G$21,2,FALSE)</f>
        <v>--- Error ---</v>
      </c>
      <c r="X169" s="17" t="str">
        <f ca="1">IFERROR(VLOOKUP(RiskRegister[[#This Row],[Residual Risk Rating]],'Rating factors'!$F$30:$G$44,2,FALSE),"-- Error --")</f>
        <v>-- Error --</v>
      </c>
      <c r="Y169" s="17" t="str">
        <f ca="1">IFERROR(RiskRegister[[#This Row],[Residual Impact Rating]]*RiskRegister[[#This Row],[Residual Likelihood Rating]],"-- Error --")</f>
        <v>-- Error --</v>
      </c>
      <c r="Z169" s="16" t="s">
        <v>100</v>
      </c>
      <c r="AB169" s="39"/>
      <c r="AD169" s="20"/>
    </row>
    <row r="170" spans="1:30" s="16" customFormat="1" hidden="1" x14ac:dyDescent="0.25">
      <c r="A170" s="16">
        <v>167</v>
      </c>
      <c r="G170" s="16" t="s">
        <v>77</v>
      </c>
      <c r="I170" s="16" t="s">
        <v>75</v>
      </c>
      <c r="L170" s="105" t="s">
        <v>99</v>
      </c>
      <c r="M170" s="17" t="str">
        <f>VLOOKUP(RiskRegister[[#This Row],[Inherent Impact LevelL3:L1020D1007L3:L1019]],'Rating factors'!$F$4:$G$9,2,FALSE)</f>
        <v>--- Error ---</v>
      </c>
      <c r="N170" s="16" t="s">
        <v>79</v>
      </c>
      <c r="O170" s="17" t="str">
        <f>VLOOKUP(RiskRegister[[#This Row],[Inherent Likelihood Level]],'Rating factors'!$F$16:$G$21,2,FALSE)</f>
        <v>--- Error ---</v>
      </c>
      <c r="P170" s="17" t="str">
        <f>IFERROR(VLOOKUP(RiskRegister[[#This Row],[Inherent Risk Rating]],'Rating factors'!$F$30:$G$44,2,FALSE),"-- Error --")</f>
        <v>-- Error --</v>
      </c>
      <c r="Q170" s="17" t="str">
        <f>IFERROR(RiskRegister[[#This Row],[Inherent Impact Rating]]*RiskRegister[[#This Row],[Inherent Likelihood Rating]],"-- Error --")</f>
        <v>-- Error --</v>
      </c>
      <c r="R170" s="16" t="s">
        <v>98</v>
      </c>
      <c r="T170" s="16" t="s">
        <v>99</v>
      </c>
      <c r="U170" s="17" t="e" cm="1">
        <f t="array" aca="1" ref="U170" ca="1">+U170:Y1019VLOOKUP(RiskRegister[[#This Row],[Residual Impact Level]],'Rating factors'!$F$4:$G$9,2,FALSE)</f>
        <v>#NAME?</v>
      </c>
      <c r="V170" s="16" t="s">
        <v>79</v>
      </c>
      <c r="W170" s="17" t="str">
        <f>VLOOKUP(RiskRegister[[#This Row],[Residual Likelihood Level]],'Rating factors'!$F$16:$G$21,2,FALSE)</f>
        <v>--- Error ---</v>
      </c>
      <c r="X170" s="17" t="str">
        <f ca="1">IFERROR(VLOOKUP(RiskRegister[[#This Row],[Residual Risk Rating]],'Rating factors'!$F$30:$G$44,2,FALSE),"-- Error --")</f>
        <v>-- Error --</v>
      </c>
      <c r="Y170" s="17" t="str">
        <f ca="1">IFERROR(RiskRegister[[#This Row],[Residual Impact Rating]]*RiskRegister[[#This Row],[Residual Likelihood Rating]],"-- Error --")</f>
        <v>-- Error --</v>
      </c>
      <c r="Z170" s="16" t="s">
        <v>100</v>
      </c>
      <c r="AB170" s="39"/>
      <c r="AD170" s="20"/>
    </row>
    <row r="171" spans="1:30" s="16" customFormat="1" hidden="1" x14ac:dyDescent="0.25">
      <c r="A171" s="16">
        <v>168</v>
      </c>
      <c r="G171" s="16" t="s">
        <v>77</v>
      </c>
      <c r="I171" s="16" t="s">
        <v>75</v>
      </c>
      <c r="L171" s="105" t="s">
        <v>99</v>
      </c>
      <c r="M171" s="17" t="str">
        <f>VLOOKUP(RiskRegister[[#This Row],[Inherent Impact LevelL3:L1020D1007L3:L1019]],'Rating factors'!$F$4:$G$9,2,FALSE)</f>
        <v>--- Error ---</v>
      </c>
      <c r="N171" s="16" t="s">
        <v>79</v>
      </c>
      <c r="O171" s="17" t="str">
        <f>VLOOKUP(RiskRegister[[#This Row],[Inherent Likelihood Level]],'Rating factors'!$F$16:$G$21,2,FALSE)</f>
        <v>--- Error ---</v>
      </c>
      <c r="P171" s="17" t="str">
        <f>IFERROR(VLOOKUP(RiskRegister[[#This Row],[Inherent Risk Rating]],'Rating factors'!$F$30:$G$44,2,FALSE),"-- Error --")</f>
        <v>-- Error --</v>
      </c>
      <c r="Q171" s="17" t="str">
        <f>IFERROR(RiskRegister[[#This Row],[Inherent Impact Rating]]*RiskRegister[[#This Row],[Inherent Likelihood Rating]],"-- Error --")</f>
        <v>-- Error --</v>
      </c>
      <c r="R171" s="16" t="s">
        <v>98</v>
      </c>
      <c r="T171" s="16" t="s">
        <v>99</v>
      </c>
      <c r="U171" s="17" t="e" cm="1">
        <f t="array" aca="1" ref="U171" ca="1">+U171:Y1019VLOOKUP(RiskRegister[[#This Row],[Residual Impact Level]],'Rating factors'!$F$4:$G$9,2,FALSE)</f>
        <v>#NAME?</v>
      </c>
      <c r="V171" s="16" t="s">
        <v>79</v>
      </c>
      <c r="W171" s="17" t="str">
        <f>VLOOKUP(RiskRegister[[#This Row],[Residual Likelihood Level]],'Rating factors'!$F$16:$G$21,2,FALSE)</f>
        <v>--- Error ---</v>
      </c>
      <c r="X171" s="17" t="str">
        <f ca="1">IFERROR(VLOOKUP(RiskRegister[[#This Row],[Residual Risk Rating]],'Rating factors'!$F$30:$G$44,2,FALSE),"-- Error --")</f>
        <v>-- Error --</v>
      </c>
      <c r="Y171" s="17" t="str">
        <f ca="1">IFERROR(RiskRegister[[#This Row],[Residual Impact Rating]]*RiskRegister[[#This Row],[Residual Likelihood Rating]],"-- Error --")</f>
        <v>-- Error --</v>
      </c>
      <c r="Z171" s="16" t="s">
        <v>100</v>
      </c>
      <c r="AB171" s="39"/>
      <c r="AD171" s="20"/>
    </row>
    <row r="172" spans="1:30" s="16" customFormat="1" hidden="1" x14ac:dyDescent="0.25">
      <c r="A172" s="16">
        <v>169</v>
      </c>
      <c r="G172" s="16" t="s">
        <v>77</v>
      </c>
      <c r="I172" s="16" t="s">
        <v>75</v>
      </c>
      <c r="L172" s="105" t="s">
        <v>99</v>
      </c>
      <c r="M172" s="17" t="str">
        <f>VLOOKUP(RiskRegister[[#This Row],[Inherent Impact LevelL3:L1020D1007L3:L1019]],'Rating factors'!$F$4:$G$9,2,FALSE)</f>
        <v>--- Error ---</v>
      </c>
      <c r="N172" s="16" t="s">
        <v>79</v>
      </c>
      <c r="O172" s="17" t="str">
        <f>VLOOKUP(RiskRegister[[#This Row],[Inherent Likelihood Level]],'Rating factors'!$F$16:$G$21,2,FALSE)</f>
        <v>--- Error ---</v>
      </c>
      <c r="P172" s="17" t="str">
        <f>IFERROR(VLOOKUP(RiskRegister[[#This Row],[Inherent Risk Rating]],'Rating factors'!$F$30:$G$44,2,FALSE),"-- Error --")</f>
        <v>-- Error --</v>
      </c>
      <c r="Q172" s="17" t="str">
        <f>IFERROR(RiskRegister[[#This Row],[Inherent Impact Rating]]*RiskRegister[[#This Row],[Inherent Likelihood Rating]],"-- Error --")</f>
        <v>-- Error --</v>
      </c>
      <c r="R172" s="16" t="s">
        <v>98</v>
      </c>
      <c r="T172" s="16" t="s">
        <v>99</v>
      </c>
      <c r="U172" s="17" t="e" cm="1">
        <f t="array" aca="1" ref="U172" ca="1">+U172:Y1019VLOOKUP(RiskRegister[[#This Row],[Residual Impact Level]],'Rating factors'!$F$4:$G$9,2,FALSE)</f>
        <v>#NAME?</v>
      </c>
      <c r="V172" s="16" t="s">
        <v>79</v>
      </c>
      <c r="W172" s="17" t="str">
        <f>VLOOKUP(RiskRegister[[#This Row],[Residual Likelihood Level]],'Rating factors'!$F$16:$G$21,2,FALSE)</f>
        <v>--- Error ---</v>
      </c>
      <c r="X172" s="17" t="str">
        <f ca="1">IFERROR(VLOOKUP(RiskRegister[[#This Row],[Residual Risk Rating]],'Rating factors'!$F$30:$G$44,2,FALSE),"-- Error --")</f>
        <v>-- Error --</v>
      </c>
      <c r="Y172" s="17" t="str">
        <f ca="1">IFERROR(RiskRegister[[#This Row],[Residual Impact Rating]]*RiskRegister[[#This Row],[Residual Likelihood Rating]],"-- Error --")</f>
        <v>-- Error --</v>
      </c>
      <c r="Z172" s="16" t="s">
        <v>100</v>
      </c>
      <c r="AB172" s="39"/>
      <c r="AD172" s="20"/>
    </row>
    <row r="173" spans="1:30" s="16" customFormat="1" hidden="1" x14ac:dyDescent="0.25">
      <c r="A173" s="16">
        <v>170</v>
      </c>
      <c r="G173" s="16" t="s">
        <v>77</v>
      </c>
      <c r="I173" s="16" t="s">
        <v>75</v>
      </c>
      <c r="L173" s="105" t="s">
        <v>99</v>
      </c>
      <c r="M173" s="17" t="str">
        <f>VLOOKUP(RiskRegister[[#This Row],[Inherent Impact LevelL3:L1020D1007L3:L1019]],'Rating factors'!$F$4:$G$9,2,FALSE)</f>
        <v>--- Error ---</v>
      </c>
      <c r="N173" s="16" t="s">
        <v>79</v>
      </c>
      <c r="O173" s="17" t="str">
        <f>VLOOKUP(RiskRegister[[#This Row],[Inherent Likelihood Level]],'Rating factors'!$F$16:$G$21,2,FALSE)</f>
        <v>--- Error ---</v>
      </c>
      <c r="P173" s="17" t="str">
        <f>IFERROR(VLOOKUP(RiskRegister[[#This Row],[Inherent Risk Rating]],'Rating factors'!$F$30:$G$44,2,FALSE),"-- Error --")</f>
        <v>-- Error --</v>
      </c>
      <c r="Q173" s="17" t="str">
        <f>IFERROR(RiskRegister[[#This Row],[Inherent Impact Rating]]*RiskRegister[[#This Row],[Inherent Likelihood Rating]],"-- Error --")</f>
        <v>-- Error --</v>
      </c>
      <c r="R173" s="16" t="s">
        <v>98</v>
      </c>
      <c r="T173" s="16" t="s">
        <v>99</v>
      </c>
      <c r="U173" s="17" t="e" cm="1">
        <f t="array" aca="1" ref="U173" ca="1">+U173:Y1019VLOOKUP(RiskRegister[[#This Row],[Residual Impact Level]],'Rating factors'!$F$4:$G$9,2,FALSE)</f>
        <v>#NAME?</v>
      </c>
      <c r="V173" s="16" t="s">
        <v>79</v>
      </c>
      <c r="W173" s="17" t="str">
        <f>VLOOKUP(RiskRegister[[#This Row],[Residual Likelihood Level]],'Rating factors'!$F$16:$G$21,2,FALSE)</f>
        <v>--- Error ---</v>
      </c>
      <c r="X173" s="17" t="str">
        <f ca="1">IFERROR(VLOOKUP(RiskRegister[[#This Row],[Residual Risk Rating]],'Rating factors'!$F$30:$G$44,2,FALSE),"-- Error --")</f>
        <v>-- Error --</v>
      </c>
      <c r="Y173" s="17" t="str">
        <f ca="1">IFERROR(RiskRegister[[#This Row],[Residual Impact Rating]]*RiskRegister[[#This Row],[Residual Likelihood Rating]],"-- Error --")</f>
        <v>-- Error --</v>
      </c>
      <c r="Z173" s="16" t="s">
        <v>100</v>
      </c>
      <c r="AB173" s="39"/>
      <c r="AD173" s="20"/>
    </row>
    <row r="174" spans="1:30" s="16" customFormat="1" hidden="1" x14ac:dyDescent="0.25">
      <c r="A174" s="16">
        <v>171</v>
      </c>
      <c r="G174" s="16" t="s">
        <v>77</v>
      </c>
      <c r="I174" s="16" t="s">
        <v>75</v>
      </c>
      <c r="L174" s="105" t="s">
        <v>99</v>
      </c>
      <c r="M174" s="17" t="str">
        <f>VLOOKUP(RiskRegister[[#This Row],[Inherent Impact LevelL3:L1020D1007L3:L1019]],'Rating factors'!$F$4:$G$9,2,FALSE)</f>
        <v>--- Error ---</v>
      </c>
      <c r="N174" s="16" t="s">
        <v>79</v>
      </c>
      <c r="O174" s="17" t="str">
        <f>VLOOKUP(RiskRegister[[#This Row],[Inherent Likelihood Level]],'Rating factors'!$F$16:$G$21,2,FALSE)</f>
        <v>--- Error ---</v>
      </c>
      <c r="P174" s="17" t="str">
        <f>IFERROR(VLOOKUP(RiskRegister[[#This Row],[Inherent Risk Rating]],'Rating factors'!$F$30:$G$44,2,FALSE),"-- Error --")</f>
        <v>-- Error --</v>
      </c>
      <c r="Q174" s="17" t="str">
        <f>IFERROR(RiskRegister[[#This Row],[Inherent Impact Rating]]*RiskRegister[[#This Row],[Inherent Likelihood Rating]],"-- Error --")</f>
        <v>-- Error --</v>
      </c>
      <c r="R174" s="16" t="s">
        <v>98</v>
      </c>
      <c r="T174" s="16" t="s">
        <v>99</v>
      </c>
      <c r="U174" s="17" t="e" cm="1">
        <f t="array" aca="1" ref="U174" ca="1">+U174:Y1019VLOOKUP(RiskRegister[[#This Row],[Residual Impact Level]],'Rating factors'!$F$4:$G$9,2,FALSE)</f>
        <v>#NAME?</v>
      </c>
      <c r="V174" s="16" t="s">
        <v>79</v>
      </c>
      <c r="W174" s="17" t="str">
        <f>VLOOKUP(RiskRegister[[#This Row],[Residual Likelihood Level]],'Rating factors'!$F$16:$G$21,2,FALSE)</f>
        <v>--- Error ---</v>
      </c>
      <c r="X174" s="17" t="str">
        <f ca="1">IFERROR(VLOOKUP(RiskRegister[[#This Row],[Residual Risk Rating]],'Rating factors'!$F$30:$G$44,2,FALSE),"-- Error --")</f>
        <v>-- Error --</v>
      </c>
      <c r="Y174" s="17" t="str">
        <f ca="1">IFERROR(RiskRegister[[#This Row],[Residual Impact Rating]]*RiskRegister[[#This Row],[Residual Likelihood Rating]],"-- Error --")</f>
        <v>-- Error --</v>
      </c>
      <c r="Z174" s="16" t="s">
        <v>100</v>
      </c>
      <c r="AB174" s="39"/>
      <c r="AD174" s="20"/>
    </row>
    <row r="175" spans="1:30" s="16" customFormat="1" hidden="1" x14ac:dyDescent="0.25">
      <c r="A175" s="16">
        <v>172</v>
      </c>
      <c r="G175" s="16" t="s">
        <v>77</v>
      </c>
      <c r="I175" s="16" t="s">
        <v>75</v>
      </c>
      <c r="L175" s="105" t="s">
        <v>99</v>
      </c>
      <c r="M175" s="17" t="str">
        <f>VLOOKUP(RiskRegister[[#This Row],[Inherent Impact LevelL3:L1020D1007L3:L1019]],'Rating factors'!$F$4:$G$9,2,FALSE)</f>
        <v>--- Error ---</v>
      </c>
      <c r="N175" s="16" t="s">
        <v>79</v>
      </c>
      <c r="O175" s="17" t="str">
        <f>VLOOKUP(RiskRegister[[#This Row],[Inherent Likelihood Level]],'Rating factors'!$F$16:$G$21,2,FALSE)</f>
        <v>--- Error ---</v>
      </c>
      <c r="P175" s="17" t="str">
        <f>IFERROR(VLOOKUP(RiskRegister[[#This Row],[Inherent Risk Rating]],'Rating factors'!$F$30:$G$44,2,FALSE),"-- Error --")</f>
        <v>-- Error --</v>
      </c>
      <c r="Q175" s="17" t="str">
        <f>IFERROR(RiskRegister[[#This Row],[Inherent Impact Rating]]*RiskRegister[[#This Row],[Inherent Likelihood Rating]],"-- Error --")</f>
        <v>-- Error --</v>
      </c>
      <c r="R175" s="16" t="s">
        <v>98</v>
      </c>
      <c r="T175" s="16" t="s">
        <v>99</v>
      </c>
      <c r="U175" s="17" t="e" cm="1">
        <f t="array" aca="1" ref="U175" ca="1">+U175:Y1019VLOOKUP(RiskRegister[[#This Row],[Residual Impact Level]],'Rating factors'!$F$4:$G$9,2,FALSE)</f>
        <v>#NAME?</v>
      </c>
      <c r="V175" s="16" t="s">
        <v>79</v>
      </c>
      <c r="W175" s="17" t="str">
        <f>VLOOKUP(RiskRegister[[#This Row],[Residual Likelihood Level]],'Rating factors'!$F$16:$G$21,2,FALSE)</f>
        <v>--- Error ---</v>
      </c>
      <c r="X175" s="17" t="str">
        <f ca="1">IFERROR(VLOOKUP(RiskRegister[[#This Row],[Residual Risk Rating]],'Rating factors'!$F$30:$G$44,2,FALSE),"-- Error --")</f>
        <v>-- Error --</v>
      </c>
      <c r="Y175" s="17" t="str">
        <f ca="1">IFERROR(RiskRegister[[#This Row],[Residual Impact Rating]]*RiskRegister[[#This Row],[Residual Likelihood Rating]],"-- Error --")</f>
        <v>-- Error --</v>
      </c>
      <c r="Z175" s="16" t="s">
        <v>100</v>
      </c>
      <c r="AB175" s="39"/>
      <c r="AD175" s="20"/>
    </row>
    <row r="176" spans="1:30" s="16" customFormat="1" hidden="1" x14ac:dyDescent="0.25">
      <c r="A176" s="16">
        <v>173</v>
      </c>
      <c r="G176" s="16" t="s">
        <v>77</v>
      </c>
      <c r="I176" s="16" t="s">
        <v>75</v>
      </c>
      <c r="L176" s="105" t="s">
        <v>99</v>
      </c>
      <c r="M176" s="17" t="str">
        <f>VLOOKUP(RiskRegister[[#This Row],[Inherent Impact LevelL3:L1020D1007L3:L1019]],'Rating factors'!$F$4:$G$9,2,FALSE)</f>
        <v>--- Error ---</v>
      </c>
      <c r="N176" s="16" t="s">
        <v>79</v>
      </c>
      <c r="O176" s="17" t="str">
        <f>VLOOKUP(RiskRegister[[#This Row],[Inherent Likelihood Level]],'Rating factors'!$F$16:$G$21,2,FALSE)</f>
        <v>--- Error ---</v>
      </c>
      <c r="P176" s="17" t="str">
        <f>IFERROR(VLOOKUP(RiskRegister[[#This Row],[Inherent Risk Rating]],'Rating factors'!$F$30:$G$44,2,FALSE),"-- Error --")</f>
        <v>-- Error --</v>
      </c>
      <c r="Q176" s="17" t="str">
        <f>IFERROR(RiskRegister[[#This Row],[Inherent Impact Rating]]*RiskRegister[[#This Row],[Inherent Likelihood Rating]],"-- Error --")</f>
        <v>-- Error --</v>
      </c>
      <c r="R176" s="16" t="s">
        <v>98</v>
      </c>
      <c r="T176" s="16" t="s">
        <v>99</v>
      </c>
      <c r="U176" s="17" t="e" cm="1">
        <f t="array" aca="1" ref="U176" ca="1">+U176:Y1019VLOOKUP(RiskRegister[[#This Row],[Residual Impact Level]],'Rating factors'!$F$4:$G$9,2,FALSE)</f>
        <v>#NAME?</v>
      </c>
      <c r="V176" s="16" t="s">
        <v>79</v>
      </c>
      <c r="W176" s="17" t="str">
        <f>VLOOKUP(RiskRegister[[#This Row],[Residual Likelihood Level]],'Rating factors'!$F$16:$G$21,2,FALSE)</f>
        <v>--- Error ---</v>
      </c>
      <c r="X176" s="17" t="str">
        <f ca="1">IFERROR(VLOOKUP(RiskRegister[[#This Row],[Residual Risk Rating]],'Rating factors'!$F$30:$G$44,2,FALSE),"-- Error --")</f>
        <v>-- Error --</v>
      </c>
      <c r="Y176" s="17" t="str">
        <f ca="1">IFERROR(RiskRegister[[#This Row],[Residual Impact Rating]]*RiskRegister[[#This Row],[Residual Likelihood Rating]],"-- Error --")</f>
        <v>-- Error --</v>
      </c>
      <c r="Z176" s="16" t="s">
        <v>100</v>
      </c>
      <c r="AB176" s="39"/>
      <c r="AD176" s="20"/>
    </row>
    <row r="177" spans="1:30" s="16" customFormat="1" hidden="1" x14ac:dyDescent="0.25">
      <c r="A177" s="16">
        <v>174</v>
      </c>
      <c r="G177" s="16" t="s">
        <v>77</v>
      </c>
      <c r="I177" s="16" t="s">
        <v>75</v>
      </c>
      <c r="L177" s="105" t="s">
        <v>99</v>
      </c>
      <c r="M177" s="17" t="str">
        <f>VLOOKUP(RiskRegister[[#This Row],[Inherent Impact LevelL3:L1020D1007L3:L1019]],'Rating factors'!$F$4:$G$9,2,FALSE)</f>
        <v>--- Error ---</v>
      </c>
      <c r="N177" s="16" t="s">
        <v>79</v>
      </c>
      <c r="O177" s="17" t="str">
        <f>VLOOKUP(RiskRegister[[#This Row],[Inherent Likelihood Level]],'Rating factors'!$F$16:$G$21,2,FALSE)</f>
        <v>--- Error ---</v>
      </c>
      <c r="P177" s="17" t="str">
        <f>IFERROR(VLOOKUP(RiskRegister[[#This Row],[Inherent Risk Rating]],'Rating factors'!$F$30:$G$44,2,FALSE),"-- Error --")</f>
        <v>-- Error --</v>
      </c>
      <c r="Q177" s="17" t="str">
        <f>IFERROR(RiskRegister[[#This Row],[Inherent Impact Rating]]*RiskRegister[[#This Row],[Inherent Likelihood Rating]],"-- Error --")</f>
        <v>-- Error --</v>
      </c>
      <c r="R177" s="16" t="s">
        <v>98</v>
      </c>
      <c r="T177" s="16" t="s">
        <v>99</v>
      </c>
      <c r="U177" s="17" t="e" cm="1">
        <f t="array" aca="1" ref="U177" ca="1">+U177:Y1019VLOOKUP(RiskRegister[[#This Row],[Residual Impact Level]],'Rating factors'!$F$4:$G$9,2,FALSE)</f>
        <v>#NAME?</v>
      </c>
      <c r="V177" s="16" t="s">
        <v>79</v>
      </c>
      <c r="W177" s="17" t="str">
        <f>VLOOKUP(RiskRegister[[#This Row],[Residual Likelihood Level]],'Rating factors'!$F$16:$G$21,2,FALSE)</f>
        <v>--- Error ---</v>
      </c>
      <c r="X177" s="17" t="str">
        <f ca="1">IFERROR(VLOOKUP(RiskRegister[[#This Row],[Residual Risk Rating]],'Rating factors'!$F$30:$G$44,2,FALSE),"-- Error --")</f>
        <v>-- Error --</v>
      </c>
      <c r="Y177" s="17" t="str">
        <f ca="1">IFERROR(RiskRegister[[#This Row],[Residual Impact Rating]]*RiskRegister[[#This Row],[Residual Likelihood Rating]],"-- Error --")</f>
        <v>-- Error --</v>
      </c>
      <c r="Z177" s="16" t="s">
        <v>100</v>
      </c>
      <c r="AB177" s="39"/>
      <c r="AD177" s="20"/>
    </row>
    <row r="178" spans="1:30" s="16" customFormat="1" hidden="1" x14ac:dyDescent="0.25">
      <c r="A178" s="16">
        <v>175</v>
      </c>
      <c r="G178" s="16" t="s">
        <v>77</v>
      </c>
      <c r="I178" s="16" t="s">
        <v>75</v>
      </c>
      <c r="L178" s="105" t="s">
        <v>99</v>
      </c>
      <c r="M178" s="17" t="str">
        <f>VLOOKUP(RiskRegister[[#This Row],[Inherent Impact LevelL3:L1020D1007L3:L1019]],'Rating factors'!$F$4:$G$9,2,FALSE)</f>
        <v>--- Error ---</v>
      </c>
      <c r="N178" s="16" t="s">
        <v>79</v>
      </c>
      <c r="O178" s="17" t="str">
        <f>VLOOKUP(RiskRegister[[#This Row],[Inherent Likelihood Level]],'Rating factors'!$F$16:$G$21,2,FALSE)</f>
        <v>--- Error ---</v>
      </c>
      <c r="P178" s="17" t="str">
        <f>IFERROR(VLOOKUP(RiskRegister[[#This Row],[Inherent Risk Rating]],'Rating factors'!$F$30:$G$44,2,FALSE),"-- Error --")</f>
        <v>-- Error --</v>
      </c>
      <c r="Q178" s="17" t="str">
        <f>IFERROR(RiskRegister[[#This Row],[Inherent Impact Rating]]*RiskRegister[[#This Row],[Inherent Likelihood Rating]],"-- Error --")</f>
        <v>-- Error --</v>
      </c>
      <c r="R178" s="16" t="s">
        <v>98</v>
      </c>
      <c r="T178" s="16" t="s">
        <v>99</v>
      </c>
      <c r="U178" s="17" t="e" cm="1">
        <f t="array" aca="1" ref="U178" ca="1">+U178:Y1019VLOOKUP(RiskRegister[[#This Row],[Residual Impact Level]],'Rating factors'!$F$4:$G$9,2,FALSE)</f>
        <v>#NAME?</v>
      </c>
      <c r="V178" s="16" t="s">
        <v>79</v>
      </c>
      <c r="W178" s="17" t="str">
        <f>VLOOKUP(RiskRegister[[#This Row],[Residual Likelihood Level]],'Rating factors'!$F$16:$G$21,2,FALSE)</f>
        <v>--- Error ---</v>
      </c>
      <c r="X178" s="17" t="str">
        <f ca="1">IFERROR(VLOOKUP(RiskRegister[[#This Row],[Residual Risk Rating]],'Rating factors'!$F$30:$G$44,2,FALSE),"-- Error --")</f>
        <v>-- Error --</v>
      </c>
      <c r="Y178" s="17" t="str">
        <f ca="1">IFERROR(RiskRegister[[#This Row],[Residual Impact Rating]]*RiskRegister[[#This Row],[Residual Likelihood Rating]],"-- Error --")</f>
        <v>-- Error --</v>
      </c>
      <c r="Z178" s="16" t="s">
        <v>100</v>
      </c>
      <c r="AB178" s="39"/>
      <c r="AD178" s="20"/>
    </row>
    <row r="179" spans="1:30" s="16" customFormat="1" hidden="1" x14ac:dyDescent="0.25">
      <c r="A179" s="16">
        <v>176</v>
      </c>
      <c r="G179" s="16" t="s">
        <v>77</v>
      </c>
      <c r="I179" s="16" t="s">
        <v>75</v>
      </c>
      <c r="L179" s="105" t="s">
        <v>99</v>
      </c>
      <c r="M179" s="17" t="str">
        <f>VLOOKUP(RiskRegister[[#This Row],[Inherent Impact LevelL3:L1020D1007L3:L1019]],'Rating factors'!$F$4:$G$9,2,FALSE)</f>
        <v>--- Error ---</v>
      </c>
      <c r="N179" s="16" t="s">
        <v>79</v>
      </c>
      <c r="O179" s="17" t="str">
        <f>VLOOKUP(RiskRegister[[#This Row],[Inherent Likelihood Level]],'Rating factors'!$F$16:$G$21,2,FALSE)</f>
        <v>--- Error ---</v>
      </c>
      <c r="P179" s="17" t="str">
        <f>IFERROR(VLOOKUP(RiskRegister[[#This Row],[Inherent Risk Rating]],'Rating factors'!$F$30:$G$44,2,FALSE),"-- Error --")</f>
        <v>-- Error --</v>
      </c>
      <c r="Q179" s="17" t="str">
        <f>IFERROR(RiskRegister[[#This Row],[Inherent Impact Rating]]*RiskRegister[[#This Row],[Inherent Likelihood Rating]],"-- Error --")</f>
        <v>-- Error --</v>
      </c>
      <c r="R179" s="16" t="s">
        <v>98</v>
      </c>
      <c r="T179" s="16" t="s">
        <v>99</v>
      </c>
      <c r="U179" s="17" t="e" cm="1">
        <f t="array" aca="1" ref="U179" ca="1">+U179:Y1019VLOOKUP(RiskRegister[[#This Row],[Residual Impact Level]],'Rating factors'!$F$4:$G$9,2,FALSE)</f>
        <v>#NAME?</v>
      </c>
      <c r="V179" s="16" t="s">
        <v>79</v>
      </c>
      <c r="W179" s="17" t="str">
        <f>VLOOKUP(RiskRegister[[#This Row],[Residual Likelihood Level]],'Rating factors'!$F$16:$G$21,2,FALSE)</f>
        <v>--- Error ---</v>
      </c>
      <c r="X179" s="17" t="str">
        <f ca="1">IFERROR(VLOOKUP(RiskRegister[[#This Row],[Residual Risk Rating]],'Rating factors'!$F$30:$G$44,2,FALSE),"-- Error --")</f>
        <v>-- Error --</v>
      </c>
      <c r="Y179" s="17" t="str">
        <f ca="1">IFERROR(RiskRegister[[#This Row],[Residual Impact Rating]]*RiskRegister[[#This Row],[Residual Likelihood Rating]],"-- Error --")</f>
        <v>-- Error --</v>
      </c>
      <c r="Z179" s="16" t="s">
        <v>100</v>
      </c>
      <c r="AB179" s="39"/>
      <c r="AD179" s="20"/>
    </row>
    <row r="180" spans="1:30" s="16" customFormat="1" hidden="1" x14ac:dyDescent="0.25">
      <c r="A180" s="16">
        <v>177</v>
      </c>
      <c r="G180" s="16" t="s">
        <v>77</v>
      </c>
      <c r="I180" s="16" t="s">
        <v>75</v>
      </c>
      <c r="L180" s="105" t="s">
        <v>99</v>
      </c>
      <c r="M180" s="17" t="str">
        <f>VLOOKUP(RiskRegister[[#This Row],[Inherent Impact LevelL3:L1020D1007L3:L1019]],'Rating factors'!$F$4:$G$9,2,FALSE)</f>
        <v>--- Error ---</v>
      </c>
      <c r="N180" s="16" t="s">
        <v>79</v>
      </c>
      <c r="O180" s="17" t="str">
        <f>VLOOKUP(RiskRegister[[#This Row],[Inherent Likelihood Level]],'Rating factors'!$F$16:$G$21,2,FALSE)</f>
        <v>--- Error ---</v>
      </c>
      <c r="P180" s="17" t="str">
        <f>IFERROR(VLOOKUP(RiskRegister[[#This Row],[Inherent Risk Rating]],'Rating factors'!$F$30:$G$44,2,FALSE),"-- Error --")</f>
        <v>-- Error --</v>
      </c>
      <c r="Q180" s="17" t="str">
        <f>IFERROR(RiskRegister[[#This Row],[Inherent Impact Rating]]*RiskRegister[[#This Row],[Inherent Likelihood Rating]],"-- Error --")</f>
        <v>-- Error --</v>
      </c>
      <c r="R180" s="16" t="s">
        <v>98</v>
      </c>
      <c r="T180" s="16" t="s">
        <v>99</v>
      </c>
      <c r="U180" s="17" t="e" cm="1">
        <f t="array" aca="1" ref="U180" ca="1">+U180:Y1019VLOOKUP(RiskRegister[[#This Row],[Residual Impact Level]],'Rating factors'!$F$4:$G$9,2,FALSE)</f>
        <v>#NAME?</v>
      </c>
      <c r="V180" s="16" t="s">
        <v>79</v>
      </c>
      <c r="W180" s="17" t="str">
        <f>VLOOKUP(RiskRegister[[#This Row],[Residual Likelihood Level]],'Rating factors'!$F$16:$G$21,2,FALSE)</f>
        <v>--- Error ---</v>
      </c>
      <c r="X180" s="17" t="str">
        <f ca="1">IFERROR(VLOOKUP(RiskRegister[[#This Row],[Residual Risk Rating]],'Rating factors'!$F$30:$G$44,2,FALSE),"-- Error --")</f>
        <v>-- Error --</v>
      </c>
      <c r="Y180" s="17" t="str">
        <f ca="1">IFERROR(RiskRegister[[#This Row],[Residual Impact Rating]]*RiskRegister[[#This Row],[Residual Likelihood Rating]],"-- Error --")</f>
        <v>-- Error --</v>
      </c>
      <c r="Z180" s="16" t="s">
        <v>100</v>
      </c>
      <c r="AB180" s="39"/>
      <c r="AD180" s="20"/>
    </row>
    <row r="181" spans="1:30" s="16" customFormat="1" hidden="1" x14ac:dyDescent="0.25">
      <c r="A181" s="16">
        <v>178</v>
      </c>
      <c r="G181" s="16" t="s">
        <v>77</v>
      </c>
      <c r="I181" s="16" t="s">
        <v>75</v>
      </c>
      <c r="L181" s="105" t="s">
        <v>99</v>
      </c>
      <c r="M181" s="17" t="str">
        <f>VLOOKUP(RiskRegister[[#This Row],[Inherent Impact LevelL3:L1020D1007L3:L1019]],'Rating factors'!$F$4:$G$9,2,FALSE)</f>
        <v>--- Error ---</v>
      </c>
      <c r="N181" s="16" t="s">
        <v>79</v>
      </c>
      <c r="O181" s="17" t="str">
        <f>VLOOKUP(RiskRegister[[#This Row],[Inherent Likelihood Level]],'Rating factors'!$F$16:$G$21,2,FALSE)</f>
        <v>--- Error ---</v>
      </c>
      <c r="P181" s="17" t="str">
        <f>IFERROR(VLOOKUP(RiskRegister[[#This Row],[Inherent Risk Rating]],'Rating factors'!$F$30:$G$44,2,FALSE),"-- Error --")</f>
        <v>-- Error --</v>
      </c>
      <c r="Q181" s="17" t="str">
        <f>IFERROR(RiskRegister[[#This Row],[Inherent Impact Rating]]*RiskRegister[[#This Row],[Inherent Likelihood Rating]],"-- Error --")</f>
        <v>-- Error --</v>
      </c>
      <c r="R181" s="16" t="s">
        <v>98</v>
      </c>
      <c r="T181" s="16" t="s">
        <v>99</v>
      </c>
      <c r="U181" s="17" t="e" cm="1">
        <f t="array" aca="1" ref="U181" ca="1">+U181:Y1019VLOOKUP(RiskRegister[[#This Row],[Residual Impact Level]],'Rating factors'!$F$4:$G$9,2,FALSE)</f>
        <v>#NAME?</v>
      </c>
      <c r="V181" s="16" t="s">
        <v>79</v>
      </c>
      <c r="W181" s="17" t="str">
        <f>VLOOKUP(RiskRegister[[#This Row],[Residual Likelihood Level]],'Rating factors'!$F$16:$G$21,2,FALSE)</f>
        <v>--- Error ---</v>
      </c>
      <c r="X181" s="17" t="str">
        <f ca="1">IFERROR(VLOOKUP(RiskRegister[[#This Row],[Residual Risk Rating]],'Rating factors'!$F$30:$G$44,2,FALSE),"-- Error --")</f>
        <v>-- Error --</v>
      </c>
      <c r="Y181" s="17" t="str">
        <f ca="1">IFERROR(RiskRegister[[#This Row],[Residual Impact Rating]]*RiskRegister[[#This Row],[Residual Likelihood Rating]],"-- Error --")</f>
        <v>-- Error --</v>
      </c>
      <c r="Z181" s="16" t="s">
        <v>100</v>
      </c>
      <c r="AB181" s="39"/>
      <c r="AD181" s="20"/>
    </row>
    <row r="182" spans="1:30" s="16" customFormat="1" hidden="1" x14ac:dyDescent="0.25">
      <c r="A182" s="16">
        <v>179</v>
      </c>
      <c r="G182" s="16" t="s">
        <v>77</v>
      </c>
      <c r="I182" s="16" t="s">
        <v>75</v>
      </c>
      <c r="L182" s="105" t="s">
        <v>99</v>
      </c>
      <c r="M182" s="17" t="str">
        <f>VLOOKUP(RiskRegister[[#This Row],[Inherent Impact LevelL3:L1020D1007L3:L1019]],'Rating factors'!$F$4:$G$9,2,FALSE)</f>
        <v>--- Error ---</v>
      </c>
      <c r="N182" s="16" t="s">
        <v>79</v>
      </c>
      <c r="O182" s="17" t="str">
        <f>VLOOKUP(RiskRegister[[#This Row],[Inherent Likelihood Level]],'Rating factors'!$F$16:$G$21,2,FALSE)</f>
        <v>--- Error ---</v>
      </c>
      <c r="P182" s="17" t="str">
        <f>IFERROR(VLOOKUP(RiskRegister[[#This Row],[Inherent Risk Rating]],'Rating factors'!$F$30:$G$44,2,FALSE),"-- Error --")</f>
        <v>-- Error --</v>
      </c>
      <c r="Q182" s="17" t="str">
        <f>IFERROR(RiskRegister[[#This Row],[Inherent Impact Rating]]*RiskRegister[[#This Row],[Inherent Likelihood Rating]],"-- Error --")</f>
        <v>-- Error --</v>
      </c>
      <c r="R182" s="16" t="s">
        <v>98</v>
      </c>
      <c r="T182" s="16" t="s">
        <v>99</v>
      </c>
      <c r="U182" s="17" t="e" cm="1">
        <f t="array" aca="1" ref="U182" ca="1">+U182:Y1019VLOOKUP(RiskRegister[[#This Row],[Residual Impact Level]],'Rating factors'!$F$4:$G$9,2,FALSE)</f>
        <v>#NAME?</v>
      </c>
      <c r="V182" s="16" t="s">
        <v>79</v>
      </c>
      <c r="W182" s="17" t="str">
        <f>VLOOKUP(RiskRegister[[#This Row],[Residual Likelihood Level]],'Rating factors'!$F$16:$G$21,2,FALSE)</f>
        <v>--- Error ---</v>
      </c>
      <c r="X182" s="17" t="str">
        <f ca="1">IFERROR(VLOOKUP(RiskRegister[[#This Row],[Residual Risk Rating]],'Rating factors'!$F$30:$G$44,2,FALSE),"-- Error --")</f>
        <v>-- Error --</v>
      </c>
      <c r="Y182" s="17" t="str">
        <f ca="1">IFERROR(RiskRegister[[#This Row],[Residual Impact Rating]]*RiskRegister[[#This Row],[Residual Likelihood Rating]],"-- Error --")</f>
        <v>-- Error --</v>
      </c>
      <c r="Z182" s="16" t="s">
        <v>100</v>
      </c>
      <c r="AB182" s="39"/>
      <c r="AD182" s="20"/>
    </row>
    <row r="183" spans="1:30" s="16" customFormat="1" hidden="1" x14ac:dyDescent="0.25">
      <c r="A183" s="16">
        <v>180</v>
      </c>
      <c r="G183" s="16" t="s">
        <v>77</v>
      </c>
      <c r="I183" s="16" t="s">
        <v>75</v>
      </c>
      <c r="L183" s="105" t="s">
        <v>99</v>
      </c>
      <c r="M183" s="17" t="str">
        <f>VLOOKUP(RiskRegister[[#This Row],[Inherent Impact LevelL3:L1020D1007L3:L1019]],'Rating factors'!$F$4:$G$9,2,FALSE)</f>
        <v>--- Error ---</v>
      </c>
      <c r="N183" s="16" t="s">
        <v>79</v>
      </c>
      <c r="O183" s="17" t="str">
        <f>VLOOKUP(RiskRegister[[#This Row],[Inherent Likelihood Level]],'Rating factors'!$F$16:$G$21,2,FALSE)</f>
        <v>--- Error ---</v>
      </c>
      <c r="P183" s="17" t="str">
        <f>IFERROR(VLOOKUP(RiskRegister[[#This Row],[Inherent Risk Rating]],'Rating factors'!$F$30:$G$44,2,FALSE),"-- Error --")</f>
        <v>-- Error --</v>
      </c>
      <c r="Q183" s="17" t="str">
        <f>IFERROR(RiskRegister[[#This Row],[Inherent Impact Rating]]*RiskRegister[[#This Row],[Inherent Likelihood Rating]],"-- Error --")</f>
        <v>-- Error --</v>
      </c>
      <c r="R183" s="16" t="s">
        <v>98</v>
      </c>
      <c r="T183" s="16" t="s">
        <v>99</v>
      </c>
      <c r="U183" s="17" t="e" cm="1">
        <f t="array" aca="1" ref="U183" ca="1">+U183:Y1019VLOOKUP(RiskRegister[[#This Row],[Residual Impact Level]],'Rating factors'!$F$4:$G$9,2,FALSE)</f>
        <v>#NAME?</v>
      </c>
      <c r="V183" s="16" t="s">
        <v>79</v>
      </c>
      <c r="W183" s="17" t="str">
        <f>VLOOKUP(RiskRegister[[#This Row],[Residual Likelihood Level]],'Rating factors'!$F$16:$G$21,2,FALSE)</f>
        <v>--- Error ---</v>
      </c>
      <c r="X183" s="17" t="str">
        <f ca="1">IFERROR(VLOOKUP(RiskRegister[[#This Row],[Residual Risk Rating]],'Rating factors'!$F$30:$G$44,2,FALSE),"-- Error --")</f>
        <v>-- Error --</v>
      </c>
      <c r="Y183" s="17" t="str">
        <f ca="1">IFERROR(RiskRegister[[#This Row],[Residual Impact Rating]]*RiskRegister[[#This Row],[Residual Likelihood Rating]],"-- Error --")</f>
        <v>-- Error --</v>
      </c>
      <c r="Z183" s="16" t="s">
        <v>100</v>
      </c>
      <c r="AB183" s="39"/>
      <c r="AD183" s="20"/>
    </row>
    <row r="184" spans="1:30" s="16" customFormat="1" hidden="1" x14ac:dyDescent="0.25">
      <c r="A184" s="16">
        <v>181</v>
      </c>
      <c r="G184" s="16" t="s">
        <v>77</v>
      </c>
      <c r="I184" s="16" t="s">
        <v>75</v>
      </c>
      <c r="L184" s="105" t="s">
        <v>99</v>
      </c>
      <c r="M184" s="17" t="str">
        <f>VLOOKUP(RiskRegister[[#This Row],[Inherent Impact LevelL3:L1020D1007L3:L1019]],'Rating factors'!$F$4:$G$9,2,FALSE)</f>
        <v>--- Error ---</v>
      </c>
      <c r="N184" s="16" t="s">
        <v>79</v>
      </c>
      <c r="O184" s="17" t="str">
        <f>VLOOKUP(RiskRegister[[#This Row],[Inherent Likelihood Level]],'Rating factors'!$F$16:$G$21,2,FALSE)</f>
        <v>--- Error ---</v>
      </c>
      <c r="P184" s="17" t="str">
        <f>IFERROR(VLOOKUP(RiskRegister[[#This Row],[Inherent Risk Rating]],'Rating factors'!$F$30:$G$44,2,FALSE),"-- Error --")</f>
        <v>-- Error --</v>
      </c>
      <c r="Q184" s="17" t="str">
        <f>IFERROR(RiskRegister[[#This Row],[Inherent Impact Rating]]*RiskRegister[[#This Row],[Inherent Likelihood Rating]],"-- Error --")</f>
        <v>-- Error --</v>
      </c>
      <c r="R184" s="16" t="s">
        <v>98</v>
      </c>
      <c r="T184" s="16" t="s">
        <v>99</v>
      </c>
      <c r="U184" s="17" t="e" cm="1">
        <f t="array" aca="1" ref="U184" ca="1">+U184:Y1019VLOOKUP(RiskRegister[[#This Row],[Residual Impact Level]],'Rating factors'!$F$4:$G$9,2,FALSE)</f>
        <v>#NAME?</v>
      </c>
      <c r="V184" s="16" t="s">
        <v>79</v>
      </c>
      <c r="W184" s="17" t="str">
        <f>VLOOKUP(RiskRegister[[#This Row],[Residual Likelihood Level]],'Rating factors'!$F$16:$G$21,2,FALSE)</f>
        <v>--- Error ---</v>
      </c>
      <c r="X184" s="17" t="str">
        <f ca="1">IFERROR(VLOOKUP(RiskRegister[[#This Row],[Residual Risk Rating]],'Rating factors'!$F$30:$G$44,2,FALSE),"-- Error --")</f>
        <v>-- Error --</v>
      </c>
      <c r="Y184" s="17" t="str">
        <f ca="1">IFERROR(RiskRegister[[#This Row],[Residual Impact Rating]]*RiskRegister[[#This Row],[Residual Likelihood Rating]],"-- Error --")</f>
        <v>-- Error --</v>
      </c>
      <c r="Z184" s="16" t="s">
        <v>100</v>
      </c>
      <c r="AB184" s="39"/>
      <c r="AD184" s="20"/>
    </row>
    <row r="185" spans="1:30" s="16" customFormat="1" hidden="1" x14ac:dyDescent="0.25">
      <c r="A185" s="16">
        <v>182</v>
      </c>
      <c r="G185" s="16" t="s">
        <v>77</v>
      </c>
      <c r="I185" s="16" t="s">
        <v>75</v>
      </c>
      <c r="L185" s="105" t="s">
        <v>99</v>
      </c>
      <c r="M185" s="17" t="str">
        <f>VLOOKUP(RiskRegister[[#This Row],[Inherent Impact LevelL3:L1020D1007L3:L1019]],'Rating factors'!$F$4:$G$9,2,FALSE)</f>
        <v>--- Error ---</v>
      </c>
      <c r="N185" s="16" t="s">
        <v>79</v>
      </c>
      <c r="O185" s="17" t="str">
        <f>VLOOKUP(RiskRegister[[#This Row],[Inherent Likelihood Level]],'Rating factors'!$F$16:$G$21,2,FALSE)</f>
        <v>--- Error ---</v>
      </c>
      <c r="P185" s="17" t="str">
        <f>IFERROR(VLOOKUP(RiskRegister[[#This Row],[Inherent Risk Rating]],'Rating factors'!$F$30:$G$44,2,FALSE),"-- Error --")</f>
        <v>-- Error --</v>
      </c>
      <c r="Q185" s="17" t="str">
        <f>IFERROR(RiskRegister[[#This Row],[Inherent Impact Rating]]*RiskRegister[[#This Row],[Inherent Likelihood Rating]],"-- Error --")</f>
        <v>-- Error --</v>
      </c>
      <c r="R185" s="16" t="s">
        <v>98</v>
      </c>
      <c r="T185" s="16" t="s">
        <v>99</v>
      </c>
      <c r="U185" s="17" t="e" cm="1">
        <f t="array" aca="1" ref="U185" ca="1">+U185:Y1019VLOOKUP(RiskRegister[[#This Row],[Residual Impact Level]],'Rating factors'!$F$4:$G$9,2,FALSE)</f>
        <v>#NAME?</v>
      </c>
      <c r="V185" s="16" t="s">
        <v>79</v>
      </c>
      <c r="W185" s="17" t="str">
        <f>VLOOKUP(RiskRegister[[#This Row],[Residual Likelihood Level]],'Rating factors'!$F$16:$G$21,2,FALSE)</f>
        <v>--- Error ---</v>
      </c>
      <c r="X185" s="17" t="str">
        <f ca="1">IFERROR(VLOOKUP(RiskRegister[[#This Row],[Residual Risk Rating]],'Rating factors'!$F$30:$G$44,2,FALSE),"-- Error --")</f>
        <v>-- Error --</v>
      </c>
      <c r="Y185" s="17" t="str">
        <f ca="1">IFERROR(RiskRegister[[#This Row],[Residual Impact Rating]]*RiskRegister[[#This Row],[Residual Likelihood Rating]],"-- Error --")</f>
        <v>-- Error --</v>
      </c>
      <c r="Z185" s="16" t="s">
        <v>100</v>
      </c>
      <c r="AB185" s="39"/>
      <c r="AD185" s="20"/>
    </row>
    <row r="186" spans="1:30" s="16" customFormat="1" hidden="1" x14ac:dyDescent="0.25">
      <c r="A186" s="16">
        <v>183</v>
      </c>
      <c r="G186" s="16" t="s">
        <v>77</v>
      </c>
      <c r="I186" s="16" t="s">
        <v>75</v>
      </c>
      <c r="L186" s="105" t="s">
        <v>99</v>
      </c>
      <c r="M186" s="17" t="str">
        <f>VLOOKUP(RiskRegister[[#This Row],[Inherent Impact LevelL3:L1020D1007L3:L1019]],'Rating factors'!$F$4:$G$9,2,FALSE)</f>
        <v>--- Error ---</v>
      </c>
      <c r="N186" s="16" t="s">
        <v>79</v>
      </c>
      <c r="O186" s="17" t="str">
        <f>VLOOKUP(RiskRegister[[#This Row],[Inherent Likelihood Level]],'Rating factors'!$F$16:$G$21,2,FALSE)</f>
        <v>--- Error ---</v>
      </c>
      <c r="P186" s="17" t="str">
        <f>IFERROR(VLOOKUP(RiskRegister[[#This Row],[Inherent Risk Rating]],'Rating factors'!$F$30:$G$44,2,FALSE),"-- Error --")</f>
        <v>-- Error --</v>
      </c>
      <c r="Q186" s="17" t="str">
        <f>IFERROR(RiskRegister[[#This Row],[Inherent Impact Rating]]*RiskRegister[[#This Row],[Inherent Likelihood Rating]],"-- Error --")</f>
        <v>-- Error --</v>
      </c>
      <c r="R186" s="16" t="s">
        <v>98</v>
      </c>
      <c r="T186" s="16" t="s">
        <v>99</v>
      </c>
      <c r="U186" s="17" t="e" cm="1">
        <f t="array" aca="1" ref="U186" ca="1">+U186:Y1019VLOOKUP(RiskRegister[[#This Row],[Residual Impact Level]],'Rating factors'!$F$4:$G$9,2,FALSE)</f>
        <v>#NAME?</v>
      </c>
      <c r="V186" s="16" t="s">
        <v>79</v>
      </c>
      <c r="W186" s="17" t="str">
        <f>VLOOKUP(RiskRegister[[#This Row],[Residual Likelihood Level]],'Rating factors'!$F$16:$G$21,2,FALSE)</f>
        <v>--- Error ---</v>
      </c>
      <c r="X186" s="17" t="str">
        <f ca="1">IFERROR(VLOOKUP(RiskRegister[[#This Row],[Residual Risk Rating]],'Rating factors'!$F$30:$G$44,2,FALSE),"-- Error --")</f>
        <v>-- Error --</v>
      </c>
      <c r="Y186" s="17" t="str">
        <f ca="1">IFERROR(RiskRegister[[#This Row],[Residual Impact Rating]]*RiskRegister[[#This Row],[Residual Likelihood Rating]],"-- Error --")</f>
        <v>-- Error --</v>
      </c>
      <c r="Z186" s="16" t="s">
        <v>100</v>
      </c>
      <c r="AB186" s="39"/>
      <c r="AD186" s="20"/>
    </row>
    <row r="187" spans="1:30" s="16" customFormat="1" hidden="1" x14ac:dyDescent="0.25">
      <c r="A187" s="16">
        <v>184</v>
      </c>
      <c r="G187" s="16" t="s">
        <v>77</v>
      </c>
      <c r="I187" s="16" t="s">
        <v>75</v>
      </c>
      <c r="L187" s="105" t="s">
        <v>99</v>
      </c>
      <c r="M187" s="17" t="str">
        <f>VLOOKUP(RiskRegister[[#This Row],[Inherent Impact LevelL3:L1020D1007L3:L1019]],'Rating factors'!$F$4:$G$9,2,FALSE)</f>
        <v>--- Error ---</v>
      </c>
      <c r="N187" s="16" t="s">
        <v>79</v>
      </c>
      <c r="O187" s="17" t="str">
        <f>VLOOKUP(RiskRegister[[#This Row],[Inherent Likelihood Level]],'Rating factors'!$F$16:$G$21,2,FALSE)</f>
        <v>--- Error ---</v>
      </c>
      <c r="P187" s="17" t="str">
        <f>IFERROR(VLOOKUP(RiskRegister[[#This Row],[Inherent Risk Rating]],'Rating factors'!$F$30:$G$44,2,FALSE),"-- Error --")</f>
        <v>-- Error --</v>
      </c>
      <c r="Q187" s="17" t="str">
        <f>IFERROR(RiskRegister[[#This Row],[Inherent Impact Rating]]*RiskRegister[[#This Row],[Inherent Likelihood Rating]],"-- Error --")</f>
        <v>-- Error --</v>
      </c>
      <c r="R187" s="16" t="s">
        <v>98</v>
      </c>
      <c r="T187" s="16" t="s">
        <v>99</v>
      </c>
      <c r="U187" s="17" t="e" cm="1">
        <f t="array" aca="1" ref="U187" ca="1">+U187:Y1019VLOOKUP(RiskRegister[[#This Row],[Residual Impact Level]],'Rating factors'!$F$4:$G$9,2,FALSE)</f>
        <v>#NAME?</v>
      </c>
      <c r="V187" s="16" t="s">
        <v>79</v>
      </c>
      <c r="W187" s="17" t="str">
        <f>VLOOKUP(RiskRegister[[#This Row],[Residual Likelihood Level]],'Rating factors'!$F$16:$G$21,2,FALSE)</f>
        <v>--- Error ---</v>
      </c>
      <c r="X187" s="17" t="str">
        <f ca="1">IFERROR(VLOOKUP(RiskRegister[[#This Row],[Residual Risk Rating]],'Rating factors'!$F$30:$G$44,2,FALSE),"-- Error --")</f>
        <v>-- Error --</v>
      </c>
      <c r="Y187" s="17" t="str">
        <f ca="1">IFERROR(RiskRegister[[#This Row],[Residual Impact Rating]]*RiskRegister[[#This Row],[Residual Likelihood Rating]],"-- Error --")</f>
        <v>-- Error --</v>
      </c>
      <c r="Z187" s="16" t="s">
        <v>100</v>
      </c>
      <c r="AB187" s="39"/>
      <c r="AD187" s="20"/>
    </row>
    <row r="188" spans="1:30" s="16" customFormat="1" hidden="1" x14ac:dyDescent="0.25">
      <c r="A188" s="16">
        <v>185</v>
      </c>
      <c r="G188" s="16" t="s">
        <v>77</v>
      </c>
      <c r="I188" s="16" t="s">
        <v>75</v>
      </c>
      <c r="L188" s="105" t="s">
        <v>99</v>
      </c>
      <c r="M188" s="17" t="str">
        <f>VLOOKUP(RiskRegister[[#This Row],[Inherent Impact LevelL3:L1020D1007L3:L1019]],'Rating factors'!$F$4:$G$9,2,FALSE)</f>
        <v>--- Error ---</v>
      </c>
      <c r="N188" s="16" t="s">
        <v>79</v>
      </c>
      <c r="O188" s="17" t="str">
        <f>VLOOKUP(RiskRegister[[#This Row],[Inherent Likelihood Level]],'Rating factors'!$F$16:$G$21,2,FALSE)</f>
        <v>--- Error ---</v>
      </c>
      <c r="P188" s="17" t="str">
        <f>IFERROR(VLOOKUP(RiskRegister[[#This Row],[Inherent Risk Rating]],'Rating factors'!$F$30:$G$44,2,FALSE),"-- Error --")</f>
        <v>-- Error --</v>
      </c>
      <c r="Q188" s="17" t="str">
        <f>IFERROR(RiskRegister[[#This Row],[Inherent Impact Rating]]*RiskRegister[[#This Row],[Inherent Likelihood Rating]],"-- Error --")</f>
        <v>-- Error --</v>
      </c>
      <c r="R188" s="16" t="s">
        <v>98</v>
      </c>
      <c r="T188" s="16" t="s">
        <v>99</v>
      </c>
      <c r="U188" s="17" t="e" cm="1">
        <f t="array" aca="1" ref="U188" ca="1">+U188:Y1019VLOOKUP(RiskRegister[[#This Row],[Residual Impact Level]],'Rating factors'!$F$4:$G$9,2,FALSE)</f>
        <v>#NAME?</v>
      </c>
      <c r="V188" s="16" t="s">
        <v>79</v>
      </c>
      <c r="W188" s="17" t="str">
        <f>VLOOKUP(RiskRegister[[#This Row],[Residual Likelihood Level]],'Rating factors'!$F$16:$G$21,2,FALSE)</f>
        <v>--- Error ---</v>
      </c>
      <c r="X188" s="17" t="str">
        <f ca="1">IFERROR(VLOOKUP(RiskRegister[[#This Row],[Residual Risk Rating]],'Rating factors'!$F$30:$G$44,2,FALSE),"-- Error --")</f>
        <v>-- Error --</v>
      </c>
      <c r="Y188" s="17" t="str">
        <f ca="1">IFERROR(RiskRegister[[#This Row],[Residual Impact Rating]]*RiskRegister[[#This Row],[Residual Likelihood Rating]],"-- Error --")</f>
        <v>-- Error --</v>
      </c>
      <c r="Z188" s="16" t="s">
        <v>100</v>
      </c>
      <c r="AB188" s="39"/>
      <c r="AD188" s="20"/>
    </row>
    <row r="189" spans="1:30" s="16" customFormat="1" hidden="1" x14ac:dyDescent="0.25">
      <c r="A189" s="16">
        <v>186</v>
      </c>
      <c r="G189" s="16" t="s">
        <v>77</v>
      </c>
      <c r="I189" s="16" t="s">
        <v>75</v>
      </c>
      <c r="L189" s="105" t="s">
        <v>99</v>
      </c>
      <c r="M189" s="17" t="str">
        <f>VLOOKUP(RiskRegister[[#This Row],[Inherent Impact LevelL3:L1020D1007L3:L1019]],'Rating factors'!$F$4:$G$9,2,FALSE)</f>
        <v>--- Error ---</v>
      </c>
      <c r="N189" s="16" t="s">
        <v>79</v>
      </c>
      <c r="O189" s="17" t="str">
        <f>VLOOKUP(RiskRegister[[#This Row],[Inherent Likelihood Level]],'Rating factors'!$F$16:$G$21,2,FALSE)</f>
        <v>--- Error ---</v>
      </c>
      <c r="P189" s="17" t="str">
        <f>IFERROR(VLOOKUP(RiskRegister[[#This Row],[Inherent Risk Rating]],'Rating factors'!$F$30:$G$44,2,FALSE),"-- Error --")</f>
        <v>-- Error --</v>
      </c>
      <c r="Q189" s="17" t="str">
        <f>IFERROR(RiskRegister[[#This Row],[Inherent Impact Rating]]*RiskRegister[[#This Row],[Inherent Likelihood Rating]],"-- Error --")</f>
        <v>-- Error --</v>
      </c>
      <c r="R189" s="16" t="s">
        <v>98</v>
      </c>
      <c r="T189" s="16" t="s">
        <v>99</v>
      </c>
      <c r="U189" s="17" t="e" cm="1">
        <f t="array" aca="1" ref="U189" ca="1">+U189:Y1019VLOOKUP(RiskRegister[[#This Row],[Residual Impact Level]],'Rating factors'!$F$4:$G$9,2,FALSE)</f>
        <v>#NAME?</v>
      </c>
      <c r="V189" s="16" t="s">
        <v>79</v>
      </c>
      <c r="W189" s="17" t="str">
        <f>VLOOKUP(RiskRegister[[#This Row],[Residual Likelihood Level]],'Rating factors'!$F$16:$G$21,2,FALSE)</f>
        <v>--- Error ---</v>
      </c>
      <c r="X189" s="17" t="str">
        <f ca="1">IFERROR(VLOOKUP(RiskRegister[[#This Row],[Residual Risk Rating]],'Rating factors'!$F$30:$G$44,2,FALSE),"-- Error --")</f>
        <v>-- Error --</v>
      </c>
      <c r="Y189" s="17" t="str">
        <f ca="1">IFERROR(RiskRegister[[#This Row],[Residual Impact Rating]]*RiskRegister[[#This Row],[Residual Likelihood Rating]],"-- Error --")</f>
        <v>-- Error --</v>
      </c>
      <c r="Z189" s="16" t="s">
        <v>100</v>
      </c>
      <c r="AB189" s="39"/>
      <c r="AD189" s="20"/>
    </row>
    <row r="190" spans="1:30" s="16" customFormat="1" hidden="1" x14ac:dyDescent="0.25">
      <c r="A190" s="16">
        <v>187</v>
      </c>
      <c r="G190" s="16" t="s">
        <v>77</v>
      </c>
      <c r="I190" s="16" t="s">
        <v>75</v>
      </c>
      <c r="L190" s="105" t="s">
        <v>99</v>
      </c>
      <c r="M190" s="17" t="str">
        <f>VLOOKUP(RiskRegister[[#This Row],[Inherent Impact LevelL3:L1020D1007L3:L1019]],'Rating factors'!$F$4:$G$9,2,FALSE)</f>
        <v>--- Error ---</v>
      </c>
      <c r="N190" s="16" t="s">
        <v>79</v>
      </c>
      <c r="O190" s="17" t="str">
        <f>VLOOKUP(RiskRegister[[#This Row],[Inherent Likelihood Level]],'Rating factors'!$F$16:$G$21,2,FALSE)</f>
        <v>--- Error ---</v>
      </c>
      <c r="P190" s="17" t="str">
        <f>IFERROR(VLOOKUP(RiskRegister[[#This Row],[Inherent Risk Rating]],'Rating factors'!$F$30:$G$44,2,FALSE),"-- Error --")</f>
        <v>-- Error --</v>
      </c>
      <c r="Q190" s="17" t="str">
        <f>IFERROR(RiskRegister[[#This Row],[Inherent Impact Rating]]*RiskRegister[[#This Row],[Inherent Likelihood Rating]],"-- Error --")</f>
        <v>-- Error --</v>
      </c>
      <c r="R190" s="16" t="s">
        <v>98</v>
      </c>
      <c r="T190" s="16" t="s">
        <v>99</v>
      </c>
      <c r="U190" s="17" t="e" cm="1">
        <f t="array" aca="1" ref="U190" ca="1">+U190:Y1019VLOOKUP(RiskRegister[[#This Row],[Residual Impact Level]],'Rating factors'!$F$4:$G$9,2,FALSE)</f>
        <v>#NAME?</v>
      </c>
      <c r="V190" s="16" t="s">
        <v>79</v>
      </c>
      <c r="W190" s="17" t="str">
        <f>VLOOKUP(RiskRegister[[#This Row],[Residual Likelihood Level]],'Rating factors'!$F$16:$G$21,2,FALSE)</f>
        <v>--- Error ---</v>
      </c>
      <c r="X190" s="17" t="str">
        <f ca="1">IFERROR(VLOOKUP(RiskRegister[[#This Row],[Residual Risk Rating]],'Rating factors'!$F$30:$G$44,2,FALSE),"-- Error --")</f>
        <v>-- Error --</v>
      </c>
      <c r="Y190" s="17" t="str">
        <f ca="1">IFERROR(RiskRegister[[#This Row],[Residual Impact Rating]]*RiskRegister[[#This Row],[Residual Likelihood Rating]],"-- Error --")</f>
        <v>-- Error --</v>
      </c>
      <c r="Z190" s="16" t="s">
        <v>100</v>
      </c>
      <c r="AB190" s="39"/>
      <c r="AD190" s="20"/>
    </row>
    <row r="191" spans="1:30" s="16" customFormat="1" hidden="1" x14ac:dyDescent="0.25">
      <c r="A191" s="16">
        <v>188</v>
      </c>
      <c r="G191" s="16" t="s">
        <v>77</v>
      </c>
      <c r="I191" s="16" t="s">
        <v>75</v>
      </c>
      <c r="L191" s="105" t="s">
        <v>99</v>
      </c>
      <c r="M191" s="17" t="str">
        <f>VLOOKUP(RiskRegister[[#This Row],[Inherent Impact LevelL3:L1020D1007L3:L1019]],'Rating factors'!$F$4:$G$9,2,FALSE)</f>
        <v>--- Error ---</v>
      </c>
      <c r="N191" s="16" t="s">
        <v>79</v>
      </c>
      <c r="O191" s="17" t="str">
        <f>VLOOKUP(RiskRegister[[#This Row],[Inherent Likelihood Level]],'Rating factors'!$F$16:$G$21,2,FALSE)</f>
        <v>--- Error ---</v>
      </c>
      <c r="P191" s="17" t="str">
        <f>IFERROR(VLOOKUP(RiskRegister[[#This Row],[Inherent Risk Rating]],'Rating factors'!$F$30:$G$44,2,FALSE),"-- Error --")</f>
        <v>-- Error --</v>
      </c>
      <c r="Q191" s="17" t="str">
        <f>IFERROR(RiskRegister[[#This Row],[Inherent Impact Rating]]*RiskRegister[[#This Row],[Inherent Likelihood Rating]],"-- Error --")</f>
        <v>-- Error --</v>
      </c>
      <c r="R191" s="16" t="s">
        <v>98</v>
      </c>
      <c r="T191" s="16" t="s">
        <v>99</v>
      </c>
      <c r="U191" s="17" t="e" cm="1">
        <f t="array" aca="1" ref="U191" ca="1">+U191:Y1019VLOOKUP(RiskRegister[[#This Row],[Residual Impact Level]],'Rating factors'!$F$4:$G$9,2,FALSE)</f>
        <v>#NAME?</v>
      </c>
      <c r="V191" s="16" t="s">
        <v>79</v>
      </c>
      <c r="W191" s="17" t="str">
        <f>VLOOKUP(RiskRegister[[#This Row],[Residual Likelihood Level]],'Rating factors'!$F$16:$G$21,2,FALSE)</f>
        <v>--- Error ---</v>
      </c>
      <c r="X191" s="17" t="str">
        <f ca="1">IFERROR(VLOOKUP(RiskRegister[[#This Row],[Residual Risk Rating]],'Rating factors'!$F$30:$G$44,2,FALSE),"-- Error --")</f>
        <v>-- Error --</v>
      </c>
      <c r="Y191" s="17" t="str">
        <f ca="1">IFERROR(RiskRegister[[#This Row],[Residual Impact Rating]]*RiskRegister[[#This Row],[Residual Likelihood Rating]],"-- Error --")</f>
        <v>-- Error --</v>
      </c>
      <c r="Z191" s="16" t="s">
        <v>100</v>
      </c>
      <c r="AB191" s="39"/>
      <c r="AD191" s="20"/>
    </row>
    <row r="192" spans="1:30" s="16" customFormat="1" hidden="1" x14ac:dyDescent="0.25">
      <c r="A192" s="16">
        <v>189</v>
      </c>
      <c r="G192" s="16" t="s">
        <v>77</v>
      </c>
      <c r="I192" s="16" t="s">
        <v>75</v>
      </c>
      <c r="L192" s="105" t="s">
        <v>99</v>
      </c>
      <c r="M192" s="17" t="str">
        <f>VLOOKUP(RiskRegister[[#This Row],[Inherent Impact LevelL3:L1020D1007L3:L1019]],'Rating factors'!$F$4:$G$9,2,FALSE)</f>
        <v>--- Error ---</v>
      </c>
      <c r="N192" s="16" t="s">
        <v>79</v>
      </c>
      <c r="O192" s="17" t="str">
        <f>VLOOKUP(RiskRegister[[#This Row],[Inherent Likelihood Level]],'Rating factors'!$F$16:$G$21,2,FALSE)</f>
        <v>--- Error ---</v>
      </c>
      <c r="P192" s="17" t="str">
        <f>IFERROR(VLOOKUP(RiskRegister[[#This Row],[Inherent Risk Rating]],'Rating factors'!$F$30:$G$44,2,FALSE),"-- Error --")</f>
        <v>-- Error --</v>
      </c>
      <c r="Q192" s="17" t="str">
        <f>IFERROR(RiskRegister[[#This Row],[Inherent Impact Rating]]*RiskRegister[[#This Row],[Inherent Likelihood Rating]],"-- Error --")</f>
        <v>-- Error --</v>
      </c>
      <c r="R192" s="16" t="s">
        <v>98</v>
      </c>
      <c r="T192" s="16" t="s">
        <v>99</v>
      </c>
      <c r="U192" s="17" t="e" cm="1">
        <f t="array" aca="1" ref="U192" ca="1">+U192:Y1019VLOOKUP(RiskRegister[[#This Row],[Residual Impact Level]],'Rating factors'!$F$4:$G$9,2,FALSE)</f>
        <v>#NAME?</v>
      </c>
      <c r="V192" s="16" t="s">
        <v>79</v>
      </c>
      <c r="W192" s="17" t="str">
        <f>VLOOKUP(RiskRegister[[#This Row],[Residual Likelihood Level]],'Rating factors'!$F$16:$G$21,2,FALSE)</f>
        <v>--- Error ---</v>
      </c>
      <c r="X192" s="17" t="str">
        <f ca="1">IFERROR(VLOOKUP(RiskRegister[[#This Row],[Residual Risk Rating]],'Rating factors'!$F$30:$G$44,2,FALSE),"-- Error --")</f>
        <v>-- Error --</v>
      </c>
      <c r="Y192" s="17" t="str">
        <f ca="1">IFERROR(RiskRegister[[#This Row],[Residual Impact Rating]]*RiskRegister[[#This Row],[Residual Likelihood Rating]],"-- Error --")</f>
        <v>-- Error --</v>
      </c>
      <c r="Z192" s="16" t="s">
        <v>100</v>
      </c>
      <c r="AB192" s="39"/>
      <c r="AD192" s="20"/>
    </row>
    <row r="193" spans="1:30" s="16" customFormat="1" hidden="1" x14ac:dyDescent="0.25">
      <c r="A193" s="16">
        <v>190</v>
      </c>
      <c r="G193" s="16" t="s">
        <v>77</v>
      </c>
      <c r="I193" s="16" t="s">
        <v>75</v>
      </c>
      <c r="L193" s="105" t="s">
        <v>99</v>
      </c>
      <c r="M193" s="17" t="str">
        <f>VLOOKUP(RiskRegister[[#This Row],[Inherent Impact LevelL3:L1020D1007L3:L1019]],'Rating factors'!$F$4:$G$9,2,FALSE)</f>
        <v>--- Error ---</v>
      </c>
      <c r="N193" s="16" t="s">
        <v>79</v>
      </c>
      <c r="O193" s="17" t="str">
        <f>VLOOKUP(RiskRegister[[#This Row],[Inherent Likelihood Level]],'Rating factors'!$F$16:$G$21,2,FALSE)</f>
        <v>--- Error ---</v>
      </c>
      <c r="P193" s="17" t="str">
        <f>IFERROR(VLOOKUP(RiskRegister[[#This Row],[Inherent Risk Rating]],'Rating factors'!$F$30:$G$44,2,FALSE),"-- Error --")</f>
        <v>-- Error --</v>
      </c>
      <c r="Q193" s="17" t="str">
        <f>IFERROR(RiskRegister[[#This Row],[Inherent Impact Rating]]*RiskRegister[[#This Row],[Inherent Likelihood Rating]],"-- Error --")</f>
        <v>-- Error --</v>
      </c>
      <c r="R193" s="16" t="s">
        <v>98</v>
      </c>
      <c r="T193" s="16" t="s">
        <v>99</v>
      </c>
      <c r="U193" s="17" t="e" cm="1">
        <f t="array" aca="1" ref="U193" ca="1">+U193:Y1019VLOOKUP(RiskRegister[[#This Row],[Residual Impact Level]],'Rating factors'!$F$4:$G$9,2,FALSE)</f>
        <v>#NAME?</v>
      </c>
      <c r="V193" s="16" t="s">
        <v>79</v>
      </c>
      <c r="W193" s="17" t="str">
        <f>VLOOKUP(RiskRegister[[#This Row],[Residual Likelihood Level]],'Rating factors'!$F$16:$G$21,2,FALSE)</f>
        <v>--- Error ---</v>
      </c>
      <c r="X193" s="17" t="str">
        <f ca="1">IFERROR(VLOOKUP(RiskRegister[[#This Row],[Residual Risk Rating]],'Rating factors'!$F$30:$G$44,2,FALSE),"-- Error --")</f>
        <v>-- Error --</v>
      </c>
      <c r="Y193" s="17" t="str">
        <f ca="1">IFERROR(RiskRegister[[#This Row],[Residual Impact Rating]]*RiskRegister[[#This Row],[Residual Likelihood Rating]],"-- Error --")</f>
        <v>-- Error --</v>
      </c>
      <c r="Z193" s="16" t="s">
        <v>100</v>
      </c>
      <c r="AB193" s="39"/>
      <c r="AD193" s="20"/>
    </row>
    <row r="194" spans="1:30" s="16" customFormat="1" hidden="1" x14ac:dyDescent="0.25">
      <c r="A194" s="16">
        <v>191</v>
      </c>
      <c r="G194" s="16" t="s">
        <v>77</v>
      </c>
      <c r="I194" s="16" t="s">
        <v>75</v>
      </c>
      <c r="L194" s="105" t="s">
        <v>99</v>
      </c>
      <c r="M194" s="17" t="str">
        <f>VLOOKUP(RiskRegister[[#This Row],[Inherent Impact LevelL3:L1020D1007L3:L1019]],'Rating factors'!$F$4:$G$9,2,FALSE)</f>
        <v>--- Error ---</v>
      </c>
      <c r="N194" s="16" t="s">
        <v>79</v>
      </c>
      <c r="O194" s="17" t="str">
        <f>VLOOKUP(RiskRegister[[#This Row],[Inherent Likelihood Level]],'Rating factors'!$F$16:$G$21,2,FALSE)</f>
        <v>--- Error ---</v>
      </c>
      <c r="P194" s="17" t="str">
        <f>IFERROR(VLOOKUP(RiskRegister[[#This Row],[Inherent Risk Rating]],'Rating factors'!$F$30:$G$44,2,FALSE),"-- Error --")</f>
        <v>-- Error --</v>
      </c>
      <c r="Q194" s="17" t="str">
        <f>IFERROR(RiskRegister[[#This Row],[Inherent Impact Rating]]*RiskRegister[[#This Row],[Inherent Likelihood Rating]],"-- Error --")</f>
        <v>-- Error --</v>
      </c>
      <c r="R194" s="16" t="s">
        <v>98</v>
      </c>
      <c r="T194" s="16" t="s">
        <v>99</v>
      </c>
      <c r="U194" s="17" t="e" cm="1">
        <f t="array" aca="1" ref="U194" ca="1">+U194:Y1019VLOOKUP(RiskRegister[[#This Row],[Residual Impact Level]],'Rating factors'!$F$4:$G$9,2,FALSE)</f>
        <v>#NAME?</v>
      </c>
      <c r="V194" s="16" t="s">
        <v>79</v>
      </c>
      <c r="W194" s="17" t="str">
        <f>VLOOKUP(RiskRegister[[#This Row],[Residual Likelihood Level]],'Rating factors'!$F$16:$G$21,2,FALSE)</f>
        <v>--- Error ---</v>
      </c>
      <c r="X194" s="17" t="str">
        <f ca="1">IFERROR(VLOOKUP(RiskRegister[[#This Row],[Residual Risk Rating]],'Rating factors'!$F$30:$G$44,2,FALSE),"-- Error --")</f>
        <v>-- Error --</v>
      </c>
      <c r="Y194" s="17" t="str">
        <f ca="1">IFERROR(RiskRegister[[#This Row],[Residual Impact Rating]]*RiskRegister[[#This Row],[Residual Likelihood Rating]],"-- Error --")</f>
        <v>-- Error --</v>
      </c>
      <c r="Z194" s="16" t="s">
        <v>100</v>
      </c>
      <c r="AB194" s="39"/>
      <c r="AD194" s="20"/>
    </row>
    <row r="195" spans="1:30" s="16" customFormat="1" hidden="1" x14ac:dyDescent="0.25">
      <c r="A195" s="16">
        <v>192</v>
      </c>
      <c r="G195" s="16" t="s">
        <v>77</v>
      </c>
      <c r="I195" s="16" t="s">
        <v>75</v>
      </c>
      <c r="L195" s="105" t="s">
        <v>99</v>
      </c>
      <c r="M195" s="17" t="str">
        <f>VLOOKUP(RiskRegister[[#This Row],[Inherent Impact LevelL3:L1020D1007L3:L1019]],'Rating factors'!$F$4:$G$9,2,FALSE)</f>
        <v>--- Error ---</v>
      </c>
      <c r="N195" s="16" t="s">
        <v>79</v>
      </c>
      <c r="O195" s="17" t="str">
        <f>VLOOKUP(RiskRegister[[#This Row],[Inherent Likelihood Level]],'Rating factors'!$F$16:$G$21,2,FALSE)</f>
        <v>--- Error ---</v>
      </c>
      <c r="P195" s="17" t="str">
        <f>IFERROR(VLOOKUP(RiskRegister[[#This Row],[Inherent Risk Rating]],'Rating factors'!$F$30:$G$44,2,FALSE),"-- Error --")</f>
        <v>-- Error --</v>
      </c>
      <c r="Q195" s="17" t="str">
        <f>IFERROR(RiskRegister[[#This Row],[Inherent Impact Rating]]*RiskRegister[[#This Row],[Inherent Likelihood Rating]],"-- Error --")</f>
        <v>-- Error --</v>
      </c>
      <c r="R195" s="16" t="s">
        <v>98</v>
      </c>
      <c r="T195" s="16" t="s">
        <v>99</v>
      </c>
      <c r="U195" s="17" t="e" cm="1">
        <f t="array" aca="1" ref="U195" ca="1">+U195:Y1019VLOOKUP(RiskRegister[[#This Row],[Residual Impact Level]],'Rating factors'!$F$4:$G$9,2,FALSE)</f>
        <v>#NAME?</v>
      </c>
      <c r="V195" s="16" t="s">
        <v>79</v>
      </c>
      <c r="W195" s="17" t="str">
        <f>VLOOKUP(RiskRegister[[#This Row],[Residual Likelihood Level]],'Rating factors'!$F$16:$G$21,2,FALSE)</f>
        <v>--- Error ---</v>
      </c>
      <c r="X195" s="17" t="str">
        <f ca="1">IFERROR(VLOOKUP(RiskRegister[[#This Row],[Residual Risk Rating]],'Rating factors'!$F$30:$G$44,2,FALSE),"-- Error --")</f>
        <v>-- Error --</v>
      </c>
      <c r="Y195" s="17" t="str">
        <f ca="1">IFERROR(RiskRegister[[#This Row],[Residual Impact Rating]]*RiskRegister[[#This Row],[Residual Likelihood Rating]],"-- Error --")</f>
        <v>-- Error --</v>
      </c>
      <c r="Z195" s="16" t="s">
        <v>100</v>
      </c>
      <c r="AB195" s="39"/>
      <c r="AD195" s="20"/>
    </row>
    <row r="196" spans="1:30" s="16" customFormat="1" hidden="1" x14ac:dyDescent="0.25">
      <c r="A196" s="16">
        <v>193</v>
      </c>
      <c r="G196" s="16" t="s">
        <v>77</v>
      </c>
      <c r="I196" s="16" t="s">
        <v>75</v>
      </c>
      <c r="L196" s="105" t="s">
        <v>99</v>
      </c>
      <c r="M196" s="17" t="str">
        <f>VLOOKUP(RiskRegister[[#This Row],[Inherent Impact LevelL3:L1020D1007L3:L1019]],'Rating factors'!$F$4:$G$9,2,FALSE)</f>
        <v>--- Error ---</v>
      </c>
      <c r="N196" s="16" t="s">
        <v>79</v>
      </c>
      <c r="O196" s="17" t="str">
        <f>VLOOKUP(RiskRegister[[#This Row],[Inherent Likelihood Level]],'Rating factors'!$F$16:$G$21,2,FALSE)</f>
        <v>--- Error ---</v>
      </c>
      <c r="P196" s="17" t="str">
        <f>IFERROR(VLOOKUP(RiskRegister[[#This Row],[Inherent Risk Rating]],'Rating factors'!$F$30:$G$44,2,FALSE),"-- Error --")</f>
        <v>-- Error --</v>
      </c>
      <c r="Q196" s="17" t="str">
        <f>IFERROR(RiskRegister[[#This Row],[Inherent Impact Rating]]*RiskRegister[[#This Row],[Inherent Likelihood Rating]],"-- Error --")</f>
        <v>-- Error --</v>
      </c>
      <c r="R196" s="16" t="s">
        <v>98</v>
      </c>
      <c r="T196" s="16" t="s">
        <v>99</v>
      </c>
      <c r="U196" s="17" t="e" cm="1">
        <f t="array" aca="1" ref="U196" ca="1">+U196:Y1019VLOOKUP(RiskRegister[[#This Row],[Residual Impact Level]],'Rating factors'!$F$4:$G$9,2,FALSE)</f>
        <v>#NAME?</v>
      </c>
      <c r="V196" s="16" t="s">
        <v>79</v>
      </c>
      <c r="W196" s="17" t="str">
        <f>VLOOKUP(RiskRegister[[#This Row],[Residual Likelihood Level]],'Rating factors'!$F$16:$G$21,2,FALSE)</f>
        <v>--- Error ---</v>
      </c>
      <c r="X196" s="17" t="str">
        <f ca="1">IFERROR(VLOOKUP(RiskRegister[[#This Row],[Residual Risk Rating]],'Rating factors'!$F$30:$G$44,2,FALSE),"-- Error --")</f>
        <v>-- Error --</v>
      </c>
      <c r="Y196" s="17" t="str">
        <f ca="1">IFERROR(RiskRegister[[#This Row],[Residual Impact Rating]]*RiskRegister[[#This Row],[Residual Likelihood Rating]],"-- Error --")</f>
        <v>-- Error --</v>
      </c>
      <c r="Z196" s="16" t="s">
        <v>100</v>
      </c>
      <c r="AB196" s="39"/>
      <c r="AD196" s="20"/>
    </row>
    <row r="197" spans="1:30" s="16" customFormat="1" hidden="1" x14ac:dyDescent="0.25">
      <c r="A197" s="16">
        <v>194</v>
      </c>
      <c r="G197" s="16" t="s">
        <v>77</v>
      </c>
      <c r="I197" s="16" t="s">
        <v>75</v>
      </c>
      <c r="L197" s="105" t="s">
        <v>99</v>
      </c>
      <c r="M197" s="17" t="str">
        <f>VLOOKUP(RiskRegister[[#This Row],[Inherent Impact LevelL3:L1020D1007L3:L1019]],'Rating factors'!$F$4:$G$9,2,FALSE)</f>
        <v>--- Error ---</v>
      </c>
      <c r="N197" s="16" t="s">
        <v>79</v>
      </c>
      <c r="O197" s="17" t="str">
        <f>VLOOKUP(RiskRegister[[#This Row],[Inherent Likelihood Level]],'Rating factors'!$F$16:$G$21,2,FALSE)</f>
        <v>--- Error ---</v>
      </c>
      <c r="P197" s="17" t="str">
        <f>IFERROR(VLOOKUP(RiskRegister[[#This Row],[Inherent Risk Rating]],'Rating factors'!$F$30:$G$44,2,FALSE),"-- Error --")</f>
        <v>-- Error --</v>
      </c>
      <c r="Q197" s="17" t="str">
        <f>IFERROR(RiskRegister[[#This Row],[Inherent Impact Rating]]*RiskRegister[[#This Row],[Inherent Likelihood Rating]],"-- Error --")</f>
        <v>-- Error --</v>
      </c>
      <c r="R197" s="16" t="s">
        <v>98</v>
      </c>
      <c r="T197" s="16" t="s">
        <v>99</v>
      </c>
      <c r="U197" s="17" t="e" cm="1">
        <f t="array" aca="1" ref="U197" ca="1">+U197:Y1019VLOOKUP(RiskRegister[[#This Row],[Residual Impact Level]],'Rating factors'!$F$4:$G$9,2,FALSE)</f>
        <v>#NAME?</v>
      </c>
      <c r="V197" s="16" t="s">
        <v>79</v>
      </c>
      <c r="W197" s="17" t="str">
        <f>VLOOKUP(RiskRegister[[#This Row],[Residual Likelihood Level]],'Rating factors'!$F$16:$G$21,2,FALSE)</f>
        <v>--- Error ---</v>
      </c>
      <c r="X197" s="17" t="str">
        <f ca="1">IFERROR(VLOOKUP(RiskRegister[[#This Row],[Residual Risk Rating]],'Rating factors'!$F$30:$G$44,2,FALSE),"-- Error --")</f>
        <v>-- Error --</v>
      </c>
      <c r="Y197" s="17" t="str">
        <f ca="1">IFERROR(RiskRegister[[#This Row],[Residual Impact Rating]]*RiskRegister[[#This Row],[Residual Likelihood Rating]],"-- Error --")</f>
        <v>-- Error --</v>
      </c>
      <c r="Z197" s="16" t="s">
        <v>100</v>
      </c>
      <c r="AB197" s="39"/>
      <c r="AD197" s="20"/>
    </row>
    <row r="198" spans="1:30" s="16" customFormat="1" hidden="1" x14ac:dyDescent="0.25">
      <c r="A198" s="16">
        <v>195</v>
      </c>
      <c r="G198" s="16" t="s">
        <v>77</v>
      </c>
      <c r="I198" s="16" t="s">
        <v>75</v>
      </c>
      <c r="L198" s="105" t="s">
        <v>99</v>
      </c>
      <c r="M198" s="17" t="str">
        <f>VLOOKUP(RiskRegister[[#This Row],[Inherent Impact LevelL3:L1020D1007L3:L1019]],'Rating factors'!$F$4:$G$9,2,FALSE)</f>
        <v>--- Error ---</v>
      </c>
      <c r="N198" s="16" t="s">
        <v>79</v>
      </c>
      <c r="O198" s="17" t="str">
        <f>VLOOKUP(RiskRegister[[#This Row],[Inherent Likelihood Level]],'Rating factors'!$F$16:$G$21,2,FALSE)</f>
        <v>--- Error ---</v>
      </c>
      <c r="P198" s="17" t="str">
        <f>IFERROR(VLOOKUP(RiskRegister[[#This Row],[Inherent Risk Rating]],'Rating factors'!$F$30:$G$44,2,FALSE),"-- Error --")</f>
        <v>-- Error --</v>
      </c>
      <c r="Q198" s="17" t="str">
        <f>IFERROR(RiskRegister[[#This Row],[Inherent Impact Rating]]*RiskRegister[[#This Row],[Inherent Likelihood Rating]],"-- Error --")</f>
        <v>-- Error --</v>
      </c>
      <c r="R198" s="16" t="s">
        <v>98</v>
      </c>
      <c r="T198" s="16" t="s">
        <v>99</v>
      </c>
      <c r="U198" s="17" t="e" cm="1">
        <f t="array" aca="1" ref="U198" ca="1">+U198:Y1019VLOOKUP(RiskRegister[[#This Row],[Residual Impact Level]],'Rating factors'!$F$4:$G$9,2,FALSE)</f>
        <v>#NAME?</v>
      </c>
      <c r="V198" s="16" t="s">
        <v>79</v>
      </c>
      <c r="W198" s="17" t="str">
        <f>VLOOKUP(RiskRegister[[#This Row],[Residual Likelihood Level]],'Rating factors'!$F$16:$G$21,2,FALSE)</f>
        <v>--- Error ---</v>
      </c>
      <c r="X198" s="17" t="str">
        <f ca="1">IFERROR(VLOOKUP(RiskRegister[[#This Row],[Residual Risk Rating]],'Rating factors'!$F$30:$G$44,2,FALSE),"-- Error --")</f>
        <v>-- Error --</v>
      </c>
      <c r="Y198" s="17" t="str">
        <f ca="1">IFERROR(RiskRegister[[#This Row],[Residual Impact Rating]]*RiskRegister[[#This Row],[Residual Likelihood Rating]],"-- Error --")</f>
        <v>-- Error --</v>
      </c>
      <c r="Z198" s="16" t="s">
        <v>100</v>
      </c>
      <c r="AB198" s="39"/>
      <c r="AD198" s="20"/>
    </row>
    <row r="199" spans="1:30" s="16" customFormat="1" hidden="1" x14ac:dyDescent="0.25">
      <c r="A199" s="16">
        <v>196</v>
      </c>
      <c r="G199" s="16" t="s">
        <v>77</v>
      </c>
      <c r="I199" s="16" t="s">
        <v>75</v>
      </c>
      <c r="L199" s="105" t="s">
        <v>99</v>
      </c>
      <c r="M199" s="17" t="str">
        <f>VLOOKUP(RiskRegister[[#This Row],[Inherent Impact LevelL3:L1020D1007L3:L1019]],'Rating factors'!$F$4:$G$9,2,FALSE)</f>
        <v>--- Error ---</v>
      </c>
      <c r="N199" s="16" t="s">
        <v>79</v>
      </c>
      <c r="O199" s="17" t="str">
        <f>VLOOKUP(RiskRegister[[#This Row],[Inherent Likelihood Level]],'Rating factors'!$F$16:$G$21,2,FALSE)</f>
        <v>--- Error ---</v>
      </c>
      <c r="P199" s="17" t="str">
        <f>IFERROR(VLOOKUP(RiskRegister[[#This Row],[Inherent Risk Rating]],'Rating factors'!$F$30:$G$44,2,FALSE),"-- Error --")</f>
        <v>-- Error --</v>
      </c>
      <c r="Q199" s="17" t="str">
        <f>IFERROR(RiskRegister[[#This Row],[Inherent Impact Rating]]*RiskRegister[[#This Row],[Inherent Likelihood Rating]],"-- Error --")</f>
        <v>-- Error --</v>
      </c>
      <c r="R199" s="16" t="s">
        <v>98</v>
      </c>
      <c r="T199" s="16" t="s">
        <v>99</v>
      </c>
      <c r="U199" s="17" t="e" cm="1">
        <f t="array" aca="1" ref="U199" ca="1">+U199:Y1019VLOOKUP(RiskRegister[[#This Row],[Residual Impact Level]],'Rating factors'!$F$4:$G$9,2,FALSE)</f>
        <v>#NAME?</v>
      </c>
      <c r="V199" s="16" t="s">
        <v>79</v>
      </c>
      <c r="W199" s="17" t="str">
        <f>VLOOKUP(RiskRegister[[#This Row],[Residual Likelihood Level]],'Rating factors'!$F$16:$G$21,2,FALSE)</f>
        <v>--- Error ---</v>
      </c>
      <c r="X199" s="17" t="str">
        <f ca="1">IFERROR(VLOOKUP(RiskRegister[[#This Row],[Residual Risk Rating]],'Rating factors'!$F$30:$G$44,2,FALSE),"-- Error --")</f>
        <v>-- Error --</v>
      </c>
      <c r="Y199" s="17" t="str">
        <f ca="1">IFERROR(RiskRegister[[#This Row],[Residual Impact Rating]]*RiskRegister[[#This Row],[Residual Likelihood Rating]],"-- Error --")</f>
        <v>-- Error --</v>
      </c>
      <c r="Z199" s="16" t="s">
        <v>100</v>
      </c>
      <c r="AB199" s="39"/>
      <c r="AD199" s="20"/>
    </row>
    <row r="200" spans="1:30" s="16" customFormat="1" hidden="1" x14ac:dyDescent="0.25">
      <c r="A200" s="16">
        <v>197</v>
      </c>
      <c r="G200" s="16" t="s">
        <v>77</v>
      </c>
      <c r="I200" s="16" t="s">
        <v>75</v>
      </c>
      <c r="L200" s="105" t="s">
        <v>99</v>
      </c>
      <c r="M200" s="17" t="str">
        <f>VLOOKUP(RiskRegister[[#This Row],[Inherent Impact LevelL3:L1020D1007L3:L1019]],'Rating factors'!$F$4:$G$9,2,FALSE)</f>
        <v>--- Error ---</v>
      </c>
      <c r="N200" s="16" t="s">
        <v>79</v>
      </c>
      <c r="O200" s="17" t="str">
        <f>VLOOKUP(RiskRegister[[#This Row],[Inherent Likelihood Level]],'Rating factors'!$F$16:$G$21,2,FALSE)</f>
        <v>--- Error ---</v>
      </c>
      <c r="P200" s="17" t="str">
        <f>IFERROR(VLOOKUP(RiskRegister[[#This Row],[Inherent Risk Rating]],'Rating factors'!$F$30:$G$44,2,FALSE),"-- Error --")</f>
        <v>-- Error --</v>
      </c>
      <c r="Q200" s="17" t="str">
        <f>IFERROR(RiskRegister[[#This Row],[Inherent Impact Rating]]*RiskRegister[[#This Row],[Inherent Likelihood Rating]],"-- Error --")</f>
        <v>-- Error --</v>
      </c>
      <c r="R200" s="16" t="s">
        <v>98</v>
      </c>
      <c r="T200" s="16" t="s">
        <v>99</v>
      </c>
      <c r="U200" s="17" t="e" cm="1">
        <f t="array" aca="1" ref="U200" ca="1">+U200:Y1019VLOOKUP(RiskRegister[[#This Row],[Residual Impact Level]],'Rating factors'!$F$4:$G$9,2,FALSE)</f>
        <v>#NAME?</v>
      </c>
      <c r="V200" s="16" t="s">
        <v>79</v>
      </c>
      <c r="W200" s="17" t="str">
        <f>VLOOKUP(RiskRegister[[#This Row],[Residual Likelihood Level]],'Rating factors'!$F$16:$G$21,2,FALSE)</f>
        <v>--- Error ---</v>
      </c>
      <c r="X200" s="17" t="str">
        <f ca="1">IFERROR(VLOOKUP(RiskRegister[[#This Row],[Residual Risk Rating]],'Rating factors'!$F$30:$G$44,2,FALSE),"-- Error --")</f>
        <v>-- Error --</v>
      </c>
      <c r="Y200" s="17" t="str">
        <f ca="1">IFERROR(RiskRegister[[#This Row],[Residual Impact Rating]]*RiskRegister[[#This Row],[Residual Likelihood Rating]],"-- Error --")</f>
        <v>-- Error --</v>
      </c>
      <c r="Z200" s="16" t="s">
        <v>100</v>
      </c>
      <c r="AB200" s="39"/>
      <c r="AD200" s="20"/>
    </row>
    <row r="201" spans="1:30" s="16" customFormat="1" hidden="1" x14ac:dyDescent="0.25">
      <c r="A201" s="16">
        <v>198</v>
      </c>
      <c r="G201" s="16" t="s">
        <v>77</v>
      </c>
      <c r="I201" s="16" t="s">
        <v>75</v>
      </c>
      <c r="L201" s="105" t="s">
        <v>99</v>
      </c>
      <c r="M201" s="17" t="str">
        <f>VLOOKUP(RiskRegister[[#This Row],[Inherent Impact LevelL3:L1020D1007L3:L1019]],'Rating factors'!$F$4:$G$9,2,FALSE)</f>
        <v>--- Error ---</v>
      </c>
      <c r="N201" s="16" t="s">
        <v>79</v>
      </c>
      <c r="O201" s="17" t="str">
        <f>VLOOKUP(RiskRegister[[#This Row],[Inherent Likelihood Level]],'Rating factors'!$F$16:$G$21,2,FALSE)</f>
        <v>--- Error ---</v>
      </c>
      <c r="P201" s="17" t="str">
        <f>IFERROR(VLOOKUP(RiskRegister[[#This Row],[Inherent Risk Rating]],'Rating factors'!$F$30:$G$44,2,FALSE),"-- Error --")</f>
        <v>-- Error --</v>
      </c>
      <c r="Q201" s="17" t="str">
        <f>IFERROR(RiskRegister[[#This Row],[Inherent Impact Rating]]*RiskRegister[[#This Row],[Inherent Likelihood Rating]],"-- Error --")</f>
        <v>-- Error --</v>
      </c>
      <c r="R201" s="16" t="s">
        <v>98</v>
      </c>
      <c r="T201" s="16" t="s">
        <v>99</v>
      </c>
      <c r="U201" s="17" t="e" cm="1">
        <f t="array" aca="1" ref="U201" ca="1">+U201:Y1019VLOOKUP(RiskRegister[[#This Row],[Residual Impact Level]],'Rating factors'!$F$4:$G$9,2,FALSE)</f>
        <v>#NAME?</v>
      </c>
      <c r="V201" s="16" t="s">
        <v>79</v>
      </c>
      <c r="W201" s="17" t="str">
        <f>VLOOKUP(RiskRegister[[#This Row],[Residual Likelihood Level]],'Rating factors'!$F$16:$G$21,2,FALSE)</f>
        <v>--- Error ---</v>
      </c>
      <c r="X201" s="17" t="str">
        <f ca="1">IFERROR(VLOOKUP(RiskRegister[[#This Row],[Residual Risk Rating]],'Rating factors'!$F$30:$G$44,2,FALSE),"-- Error --")</f>
        <v>-- Error --</v>
      </c>
      <c r="Y201" s="17" t="str">
        <f ca="1">IFERROR(RiskRegister[[#This Row],[Residual Impact Rating]]*RiskRegister[[#This Row],[Residual Likelihood Rating]],"-- Error --")</f>
        <v>-- Error --</v>
      </c>
      <c r="Z201" s="16" t="s">
        <v>100</v>
      </c>
      <c r="AB201" s="39"/>
      <c r="AD201" s="20"/>
    </row>
    <row r="202" spans="1:30" s="16" customFormat="1" hidden="1" x14ac:dyDescent="0.25">
      <c r="A202" s="16">
        <v>199</v>
      </c>
      <c r="G202" s="16" t="s">
        <v>77</v>
      </c>
      <c r="I202" s="16" t="s">
        <v>75</v>
      </c>
      <c r="L202" s="105" t="s">
        <v>99</v>
      </c>
      <c r="M202" s="17" t="str">
        <f>VLOOKUP(RiskRegister[[#This Row],[Inherent Impact LevelL3:L1020D1007L3:L1019]],'Rating factors'!$F$4:$G$9,2,FALSE)</f>
        <v>--- Error ---</v>
      </c>
      <c r="N202" s="16" t="s">
        <v>79</v>
      </c>
      <c r="O202" s="17" t="str">
        <f>VLOOKUP(RiskRegister[[#This Row],[Inherent Likelihood Level]],'Rating factors'!$F$16:$G$21,2,FALSE)</f>
        <v>--- Error ---</v>
      </c>
      <c r="P202" s="17" t="str">
        <f>IFERROR(VLOOKUP(RiskRegister[[#This Row],[Inherent Risk Rating]],'Rating factors'!$F$30:$G$44,2,FALSE),"-- Error --")</f>
        <v>-- Error --</v>
      </c>
      <c r="Q202" s="17" t="str">
        <f>IFERROR(RiskRegister[[#This Row],[Inherent Impact Rating]]*RiskRegister[[#This Row],[Inherent Likelihood Rating]],"-- Error --")</f>
        <v>-- Error --</v>
      </c>
      <c r="R202" s="16" t="s">
        <v>98</v>
      </c>
      <c r="T202" s="16" t="s">
        <v>99</v>
      </c>
      <c r="U202" s="17" t="e" cm="1">
        <f t="array" aca="1" ref="U202" ca="1">+U202:Y1019VLOOKUP(RiskRegister[[#This Row],[Residual Impact Level]],'Rating factors'!$F$4:$G$9,2,FALSE)</f>
        <v>#NAME?</v>
      </c>
      <c r="V202" s="16" t="s">
        <v>79</v>
      </c>
      <c r="W202" s="17" t="str">
        <f>VLOOKUP(RiskRegister[[#This Row],[Residual Likelihood Level]],'Rating factors'!$F$16:$G$21,2,FALSE)</f>
        <v>--- Error ---</v>
      </c>
      <c r="X202" s="17" t="str">
        <f ca="1">IFERROR(VLOOKUP(RiskRegister[[#This Row],[Residual Risk Rating]],'Rating factors'!$F$30:$G$44,2,FALSE),"-- Error --")</f>
        <v>-- Error --</v>
      </c>
      <c r="Y202" s="17" t="str">
        <f ca="1">IFERROR(RiskRegister[[#This Row],[Residual Impact Rating]]*RiskRegister[[#This Row],[Residual Likelihood Rating]],"-- Error --")</f>
        <v>-- Error --</v>
      </c>
      <c r="Z202" s="16" t="s">
        <v>100</v>
      </c>
      <c r="AB202" s="39"/>
      <c r="AD202" s="20"/>
    </row>
    <row r="203" spans="1:30" s="16" customFormat="1" hidden="1" x14ac:dyDescent="0.25">
      <c r="A203" s="16">
        <v>200</v>
      </c>
      <c r="G203" s="16" t="s">
        <v>77</v>
      </c>
      <c r="I203" s="16" t="s">
        <v>75</v>
      </c>
      <c r="L203" s="105" t="s">
        <v>99</v>
      </c>
      <c r="M203" s="17" t="str">
        <f>VLOOKUP(RiskRegister[[#This Row],[Inherent Impact LevelL3:L1020D1007L3:L1019]],'Rating factors'!$F$4:$G$9,2,FALSE)</f>
        <v>--- Error ---</v>
      </c>
      <c r="N203" s="16" t="s">
        <v>79</v>
      </c>
      <c r="O203" s="17" t="str">
        <f>VLOOKUP(RiskRegister[[#This Row],[Inherent Likelihood Level]],'Rating factors'!$F$16:$G$21,2,FALSE)</f>
        <v>--- Error ---</v>
      </c>
      <c r="P203" s="17" t="str">
        <f>IFERROR(VLOOKUP(RiskRegister[[#This Row],[Inherent Risk Rating]],'Rating factors'!$F$30:$G$44,2,FALSE),"-- Error --")</f>
        <v>-- Error --</v>
      </c>
      <c r="Q203" s="17" t="str">
        <f>IFERROR(RiskRegister[[#This Row],[Inherent Impact Rating]]*RiskRegister[[#This Row],[Inherent Likelihood Rating]],"-- Error --")</f>
        <v>-- Error --</v>
      </c>
      <c r="R203" s="16" t="s">
        <v>98</v>
      </c>
      <c r="T203" s="16" t="s">
        <v>99</v>
      </c>
      <c r="U203" s="17" t="e" cm="1">
        <f t="array" aca="1" ref="U203" ca="1">+U203:Y1019VLOOKUP(RiskRegister[[#This Row],[Residual Impact Level]],'Rating factors'!$F$4:$G$9,2,FALSE)</f>
        <v>#NAME?</v>
      </c>
      <c r="V203" s="16" t="s">
        <v>79</v>
      </c>
      <c r="W203" s="17" t="str">
        <f>VLOOKUP(RiskRegister[[#This Row],[Residual Likelihood Level]],'Rating factors'!$F$16:$G$21,2,FALSE)</f>
        <v>--- Error ---</v>
      </c>
      <c r="X203" s="17" t="str">
        <f ca="1">IFERROR(VLOOKUP(RiskRegister[[#This Row],[Residual Risk Rating]],'Rating factors'!$F$30:$G$44,2,FALSE),"-- Error --")</f>
        <v>-- Error --</v>
      </c>
      <c r="Y203" s="17" t="str">
        <f ca="1">IFERROR(RiskRegister[[#This Row],[Residual Impact Rating]]*RiskRegister[[#This Row],[Residual Likelihood Rating]],"-- Error --")</f>
        <v>-- Error --</v>
      </c>
      <c r="Z203" s="16" t="s">
        <v>100</v>
      </c>
      <c r="AB203" s="39"/>
      <c r="AD203" s="20"/>
    </row>
    <row r="204" spans="1:30" s="16" customFormat="1" hidden="1" x14ac:dyDescent="0.25">
      <c r="A204" s="16">
        <v>201</v>
      </c>
      <c r="G204" s="16" t="s">
        <v>77</v>
      </c>
      <c r="I204" s="16" t="s">
        <v>75</v>
      </c>
      <c r="L204" s="105" t="s">
        <v>99</v>
      </c>
      <c r="M204" s="17" t="str">
        <f>VLOOKUP(RiskRegister[[#This Row],[Inherent Impact LevelL3:L1020D1007L3:L1019]],'Rating factors'!$F$4:$G$9,2,FALSE)</f>
        <v>--- Error ---</v>
      </c>
      <c r="N204" s="16" t="s">
        <v>79</v>
      </c>
      <c r="O204" s="17" t="str">
        <f>VLOOKUP(RiskRegister[[#This Row],[Inherent Likelihood Level]],'Rating factors'!$F$16:$G$21,2,FALSE)</f>
        <v>--- Error ---</v>
      </c>
      <c r="P204" s="17" t="str">
        <f>IFERROR(VLOOKUP(RiskRegister[[#This Row],[Inherent Risk Rating]],'Rating factors'!$F$30:$G$44,2,FALSE),"-- Error --")</f>
        <v>-- Error --</v>
      </c>
      <c r="Q204" s="17" t="str">
        <f>IFERROR(RiskRegister[[#This Row],[Inherent Impact Rating]]*RiskRegister[[#This Row],[Inherent Likelihood Rating]],"-- Error --")</f>
        <v>-- Error --</v>
      </c>
      <c r="R204" s="16" t="s">
        <v>98</v>
      </c>
      <c r="T204" s="16" t="s">
        <v>99</v>
      </c>
      <c r="U204" s="17" t="e" cm="1">
        <f t="array" aca="1" ref="U204" ca="1">+U204:Y1019VLOOKUP(RiskRegister[[#This Row],[Residual Impact Level]],'Rating factors'!$F$4:$G$9,2,FALSE)</f>
        <v>#NAME?</v>
      </c>
      <c r="V204" s="16" t="s">
        <v>79</v>
      </c>
      <c r="W204" s="17" t="str">
        <f>VLOOKUP(RiskRegister[[#This Row],[Residual Likelihood Level]],'Rating factors'!$F$16:$G$21,2,FALSE)</f>
        <v>--- Error ---</v>
      </c>
      <c r="X204" s="17" t="str">
        <f ca="1">IFERROR(VLOOKUP(RiskRegister[[#This Row],[Residual Risk Rating]],'Rating factors'!$F$30:$G$44,2,FALSE),"-- Error --")</f>
        <v>-- Error --</v>
      </c>
      <c r="Y204" s="17" t="str">
        <f ca="1">IFERROR(RiskRegister[[#This Row],[Residual Impact Rating]]*RiskRegister[[#This Row],[Residual Likelihood Rating]],"-- Error --")</f>
        <v>-- Error --</v>
      </c>
      <c r="Z204" s="16" t="s">
        <v>100</v>
      </c>
      <c r="AB204" s="39"/>
      <c r="AD204" s="20"/>
    </row>
    <row r="205" spans="1:30" s="16" customFormat="1" hidden="1" x14ac:dyDescent="0.25">
      <c r="A205" s="16">
        <v>202</v>
      </c>
      <c r="G205" s="16" t="s">
        <v>77</v>
      </c>
      <c r="I205" s="16" t="s">
        <v>75</v>
      </c>
      <c r="L205" s="105" t="s">
        <v>99</v>
      </c>
      <c r="M205" s="17" t="str">
        <f>VLOOKUP(RiskRegister[[#This Row],[Inherent Impact LevelL3:L1020D1007L3:L1019]],'Rating factors'!$F$4:$G$9,2,FALSE)</f>
        <v>--- Error ---</v>
      </c>
      <c r="N205" s="16" t="s">
        <v>79</v>
      </c>
      <c r="O205" s="17" t="str">
        <f>VLOOKUP(RiskRegister[[#This Row],[Inherent Likelihood Level]],'Rating factors'!$F$16:$G$21,2,FALSE)</f>
        <v>--- Error ---</v>
      </c>
      <c r="P205" s="17" t="str">
        <f>IFERROR(VLOOKUP(RiskRegister[[#This Row],[Inherent Risk Rating]],'Rating factors'!$F$30:$G$44,2,FALSE),"-- Error --")</f>
        <v>-- Error --</v>
      </c>
      <c r="Q205" s="17" t="str">
        <f>IFERROR(RiskRegister[[#This Row],[Inherent Impact Rating]]*RiskRegister[[#This Row],[Inherent Likelihood Rating]],"-- Error --")</f>
        <v>-- Error --</v>
      </c>
      <c r="R205" s="16" t="s">
        <v>98</v>
      </c>
      <c r="T205" s="16" t="s">
        <v>99</v>
      </c>
      <c r="U205" s="17" t="e" cm="1">
        <f t="array" aca="1" ref="U205" ca="1">+U205:Y1019VLOOKUP(RiskRegister[[#This Row],[Residual Impact Level]],'Rating factors'!$F$4:$G$9,2,FALSE)</f>
        <v>#NAME?</v>
      </c>
      <c r="V205" s="16" t="s">
        <v>79</v>
      </c>
      <c r="W205" s="17" t="str">
        <f>VLOOKUP(RiskRegister[[#This Row],[Residual Likelihood Level]],'Rating factors'!$F$16:$G$21,2,FALSE)</f>
        <v>--- Error ---</v>
      </c>
      <c r="X205" s="17" t="str">
        <f ca="1">IFERROR(VLOOKUP(RiskRegister[[#This Row],[Residual Risk Rating]],'Rating factors'!$F$30:$G$44,2,FALSE),"-- Error --")</f>
        <v>-- Error --</v>
      </c>
      <c r="Y205" s="17" t="str">
        <f ca="1">IFERROR(RiskRegister[[#This Row],[Residual Impact Rating]]*RiskRegister[[#This Row],[Residual Likelihood Rating]],"-- Error --")</f>
        <v>-- Error --</v>
      </c>
      <c r="Z205" s="16" t="s">
        <v>100</v>
      </c>
      <c r="AB205" s="39"/>
      <c r="AD205" s="20"/>
    </row>
    <row r="206" spans="1:30" s="16" customFormat="1" hidden="1" x14ac:dyDescent="0.25">
      <c r="A206" s="16">
        <v>203</v>
      </c>
      <c r="G206" s="16" t="s">
        <v>77</v>
      </c>
      <c r="I206" s="16" t="s">
        <v>75</v>
      </c>
      <c r="L206" s="105" t="s">
        <v>99</v>
      </c>
      <c r="M206" s="17" t="str">
        <f>VLOOKUP(RiskRegister[[#This Row],[Inherent Impact LevelL3:L1020D1007L3:L1019]],'Rating factors'!$F$4:$G$9,2,FALSE)</f>
        <v>--- Error ---</v>
      </c>
      <c r="N206" s="16" t="s">
        <v>79</v>
      </c>
      <c r="O206" s="17" t="str">
        <f>VLOOKUP(RiskRegister[[#This Row],[Inherent Likelihood Level]],'Rating factors'!$F$16:$G$21,2,FALSE)</f>
        <v>--- Error ---</v>
      </c>
      <c r="P206" s="17" t="str">
        <f>IFERROR(VLOOKUP(RiskRegister[[#This Row],[Inherent Risk Rating]],'Rating factors'!$F$30:$G$44,2,FALSE),"-- Error --")</f>
        <v>-- Error --</v>
      </c>
      <c r="Q206" s="17" t="str">
        <f>IFERROR(RiskRegister[[#This Row],[Inherent Impact Rating]]*RiskRegister[[#This Row],[Inherent Likelihood Rating]],"-- Error --")</f>
        <v>-- Error --</v>
      </c>
      <c r="R206" s="16" t="s">
        <v>98</v>
      </c>
      <c r="T206" s="16" t="s">
        <v>99</v>
      </c>
      <c r="U206" s="17" t="e" cm="1">
        <f t="array" aca="1" ref="U206" ca="1">+U206:Y1019VLOOKUP(RiskRegister[[#This Row],[Residual Impact Level]],'Rating factors'!$F$4:$G$9,2,FALSE)</f>
        <v>#NAME?</v>
      </c>
      <c r="V206" s="16" t="s">
        <v>79</v>
      </c>
      <c r="W206" s="17" t="str">
        <f>VLOOKUP(RiskRegister[[#This Row],[Residual Likelihood Level]],'Rating factors'!$F$16:$G$21,2,FALSE)</f>
        <v>--- Error ---</v>
      </c>
      <c r="X206" s="17" t="str">
        <f ca="1">IFERROR(VLOOKUP(RiskRegister[[#This Row],[Residual Risk Rating]],'Rating factors'!$F$30:$G$44,2,FALSE),"-- Error --")</f>
        <v>-- Error --</v>
      </c>
      <c r="Y206" s="17" t="str">
        <f ca="1">IFERROR(RiskRegister[[#This Row],[Residual Impact Rating]]*RiskRegister[[#This Row],[Residual Likelihood Rating]],"-- Error --")</f>
        <v>-- Error --</v>
      </c>
      <c r="Z206" s="16" t="s">
        <v>100</v>
      </c>
      <c r="AB206" s="39"/>
      <c r="AD206" s="20"/>
    </row>
    <row r="207" spans="1:30" s="16" customFormat="1" hidden="1" x14ac:dyDescent="0.25">
      <c r="A207" s="16">
        <v>204</v>
      </c>
      <c r="G207" s="16" t="s">
        <v>77</v>
      </c>
      <c r="I207" s="16" t="s">
        <v>75</v>
      </c>
      <c r="L207" s="105" t="s">
        <v>99</v>
      </c>
      <c r="M207" s="17" t="str">
        <f>VLOOKUP(RiskRegister[[#This Row],[Inherent Impact LevelL3:L1020D1007L3:L1019]],'Rating factors'!$F$4:$G$9,2,FALSE)</f>
        <v>--- Error ---</v>
      </c>
      <c r="N207" s="16" t="s">
        <v>79</v>
      </c>
      <c r="O207" s="17" t="str">
        <f>VLOOKUP(RiskRegister[[#This Row],[Inherent Likelihood Level]],'Rating factors'!$F$16:$G$21,2,FALSE)</f>
        <v>--- Error ---</v>
      </c>
      <c r="P207" s="17" t="str">
        <f>IFERROR(VLOOKUP(RiskRegister[[#This Row],[Inherent Risk Rating]],'Rating factors'!$F$30:$G$44,2,FALSE),"-- Error --")</f>
        <v>-- Error --</v>
      </c>
      <c r="Q207" s="17" t="str">
        <f>IFERROR(RiskRegister[[#This Row],[Inherent Impact Rating]]*RiskRegister[[#This Row],[Inherent Likelihood Rating]],"-- Error --")</f>
        <v>-- Error --</v>
      </c>
      <c r="R207" s="16" t="s">
        <v>98</v>
      </c>
      <c r="T207" s="16" t="s">
        <v>99</v>
      </c>
      <c r="U207" s="17" t="e" cm="1">
        <f t="array" aca="1" ref="U207" ca="1">+U207:Y1019VLOOKUP(RiskRegister[[#This Row],[Residual Impact Level]],'Rating factors'!$F$4:$G$9,2,FALSE)</f>
        <v>#NAME?</v>
      </c>
      <c r="V207" s="16" t="s">
        <v>79</v>
      </c>
      <c r="W207" s="17" t="str">
        <f>VLOOKUP(RiskRegister[[#This Row],[Residual Likelihood Level]],'Rating factors'!$F$16:$G$21,2,FALSE)</f>
        <v>--- Error ---</v>
      </c>
      <c r="X207" s="17" t="str">
        <f ca="1">IFERROR(VLOOKUP(RiskRegister[[#This Row],[Residual Risk Rating]],'Rating factors'!$F$30:$G$44,2,FALSE),"-- Error --")</f>
        <v>-- Error --</v>
      </c>
      <c r="Y207" s="17" t="str">
        <f ca="1">IFERROR(RiskRegister[[#This Row],[Residual Impact Rating]]*RiskRegister[[#This Row],[Residual Likelihood Rating]],"-- Error --")</f>
        <v>-- Error --</v>
      </c>
      <c r="Z207" s="16" t="s">
        <v>100</v>
      </c>
      <c r="AB207" s="39"/>
      <c r="AD207" s="20"/>
    </row>
    <row r="208" spans="1:30" s="16" customFormat="1" hidden="1" x14ac:dyDescent="0.25">
      <c r="A208" s="16">
        <v>205</v>
      </c>
      <c r="G208" s="16" t="s">
        <v>77</v>
      </c>
      <c r="I208" s="16" t="s">
        <v>75</v>
      </c>
      <c r="L208" s="105" t="s">
        <v>99</v>
      </c>
      <c r="M208" s="17" t="str">
        <f>VLOOKUP(RiskRegister[[#This Row],[Inherent Impact LevelL3:L1020D1007L3:L1019]],'Rating factors'!$F$4:$G$9,2,FALSE)</f>
        <v>--- Error ---</v>
      </c>
      <c r="N208" s="16" t="s">
        <v>79</v>
      </c>
      <c r="O208" s="17" t="str">
        <f>VLOOKUP(RiskRegister[[#This Row],[Inherent Likelihood Level]],'Rating factors'!$F$16:$G$21,2,FALSE)</f>
        <v>--- Error ---</v>
      </c>
      <c r="P208" s="17" t="str">
        <f>IFERROR(VLOOKUP(RiskRegister[[#This Row],[Inherent Risk Rating]],'Rating factors'!$F$30:$G$44,2,FALSE),"-- Error --")</f>
        <v>-- Error --</v>
      </c>
      <c r="Q208" s="17" t="str">
        <f>IFERROR(RiskRegister[[#This Row],[Inherent Impact Rating]]*RiskRegister[[#This Row],[Inherent Likelihood Rating]],"-- Error --")</f>
        <v>-- Error --</v>
      </c>
      <c r="R208" s="16" t="s">
        <v>98</v>
      </c>
      <c r="T208" s="16" t="s">
        <v>99</v>
      </c>
      <c r="U208" s="17" t="e" cm="1">
        <f t="array" aca="1" ref="U208" ca="1">+U208:Y1019VLOOKUP(RiskRegister[[#This Row],[Residual Impact Level]],'Rating factors'!$F$4:$G$9,2,FALSE)</f>
        <v>#NAME?</v>
      </c>
      <c r="V208" s="16" t="s">
        <v>79</v>
      </c>
      <c r="W208" s="17" t="str">
        <f>VLOOKUP(RiskRegister[[#This Row],[Residual Likelihood Level]],'Rating factors'!$F$16:$G$21,2,FALSE)</f>
        <v>--- Error ---</v>
      </c>
      <c r="X208" s="17" t="str">
        <f ca="1">IFERROR(VLOOKUP(RiskRegister[[#This Row],[Residual Risk Rating]],'Rating factors'!$F$30:$G$44,2,FALSE),"-- Error --")</f>
        <v>-- Error --</v>
      </c>
      <c r="Y208" s="17" t="str">
        <f ca="1">IFERROR(RiskRegister[[#This Row],[Residual Impact Rating]]*RiskRegister[[#This Row],[Residual Likelihood Rating]],"-- Error --")</f>
        <v>-- Error --</v>
      </c>
      <c r="Z208" s="16" t="s">
        <v>100</v>
      </c>
      <c r="AB208" s="39"/>
      <c r="AD208" s="20"/>
    </row>
    <row r="209" spans="1:30" s="16" customFormat="1" hidden="1" x14ac:dyDescent="0.25">
      <c r="A209" s="16">
        <v>206</v>
      </c>
      <c r="G209" s="16" t="s">
        <v>77</v>
      </c>
      <c r="I209" s="16" t="s">
        <v>75</v>
      </c>
      <c r="L209" s="105" t="s">
        <v>99</v>
      </c>
      <c r="M209" s="17" t="str">
        <f>VLOOKUP(RiskRegister[[#This Row],[Inherent Impact LevelL3:L1020D1007L3:L1019]],'Rating factors'!$F$4:$G$9,2,FALSE)</f>
        <v>--- Error ---</v>
      </c>
      <c r="N209" s="16" t="s">
        <v>79</v>
      </c>
      <c r="O209" s="17" t="str">
        <f>VLOOKUP(RiskRegister[[#This Row],[Inherent Likelihood Level]],'Rating factors'!$F$16:$G$21,2,FALSE)</f>
        <v>--- Error ---</v>
      </c>
      <c r="P209" s="17" t="str">
        <f>IFERROR(VLOOKUP(RiskRegister[[#This Row],[Inherent Risk Rating]],'Rating factors'!$F$30:$G$44,2,FALSE),"-- Error --")</f>
        <v>-- Error --</v>
      </c>
      <c r="Q209" s="17" t="str">
        <f>IFERROR(RiskRegister[[#This Row],[Inherent Impact Rating]]*RiskRegister[[#This Row],[Inherent Likelihood Rating]],"-- Error --")</f>
        <v>-- Error --</v>
      </c>
      <c r="R209" s="16" t="s">
        <v>98</v>
      </c>
      <c r="T209" s="16" t="s">
        <v>99</v>
      </c>
      <c r="U209" s="17" t="e" cm="1">
        <f t="array" aca="1" ref="U209" ca="1">+U209:Y1019VLOOKUP(RiskRegister[[#This Row],[Residual Impact Level]],'Rating factors'!$F$4:$G$9,2,FALSE)</f>
        <v>#NAME?</v>
      </c>
      <c r="V209" s="16" t="s">
        <v>79</v>
      </c>
      <c r="W209" s="17" t="str">
        <f>VLOOKUP(RiskRegister[[#This Row],[Residual Likelihood Level]],'Rating factors'!$F$16:$G$21,2,FALSE)</f>
        <v>--- Error ---</v>
      </c>
      <c r="X209" s="17" t="str">
        <f ca="1">IFERROR(VLOOKUP(RiskRegister[[#This Row],[Residual Risk Rating]],'Rating factors'!$F$30:$G$44,2,FALSE),"-- Error --")</f>
        <v>-- Error --</v>
      </c>
      <c r="Y209" s="17" t="str">
        <f ca="1">IFERROR(RiskRegister[[#This Row],[Residual Impact Rating]]*RiskRegister[[#This Row],[Residual Likelihood Rating]],"-- Error --")</f>
        <v>-- Error --</v>
      </c>
      <c r="Z209" s="16" t="s">
        <v>100</v>
      </c>
      <c r="AB209" s="39"/>
      <c r="AD209" s="20"/>
    </row>
    <row r="210" spans="1:30" s="16" customFormat="1" hidden="1" x14ac:dyDescent="0.25">
      <c r="A210" s="16">
        <v>207</v>
      </c>
      <c r="G210" s="16" t="s">
        <v>77</v>
      </c>
      <c r="I210" s="16" t="s">
        <v>75</v>
      </c>
      <c r="L210" s="105" t="s">
        <v>99</v>
      </c>
      <c r="M210" s="17" t="str">
        <f>VLOOKUP(RiskRegister[[#This Row],[Inherent Impact LevelL3:L1020D1007L3:L1019]],'Rating factors'!$F$4:$G$9,2,FALSE)</f>
        <v>--- Error ---</v>
      </c>
      <c r="N210" s="16" t="s">
        <v>79</v>
      </c>
      <c r="O210" s="17" t="str">
        <f>VLOOKUP(RiskRegister[[#This Row],[Inherent Likelihood Level]],'Rating factors'!$F$16:$G$21,2,FALSE)</f>
        <v>--- Error ---</v>
      </c>
      <c r="P210" s="17" t="str">
        <f>IFERROR(VLOOKUP(RiskRegister[[#This Row],[Inherent Risk Rating]],'Rating factors'!$F$30:$G$44,2,FALSE),"-- Error --")</f>
        <v>-- Error --</v>
      </c>
      <c r="Q210" s="17" t="str">
        <f>IFERROR(RiskRegister[[#This Row],[Inherent Impact Rating]]*RiskRegister[[#This Row],[Inherent Likelihood Rating]],"-- Error --")</f>
        <v>-- Error --</v>
      </c>
      <c r="R210" s="16" t="s">
        <v>98</v>
      </c>
      <c r="T210" s="16" t="s">
        <v>99</v>
      </c>
      <c r="U210" s="17" t="e" cm="1">
        <f t="array" aca="1" ref="U210" ca="1">+U210:Y1019VLOOKUP(RiskRegister[[#This Row],[Residual Impact Level]],'Rating factors'!$F$4:$G$9,2,FALSE)</f>
        <v>#NAME?</v>
      </c>
      <c r="V210" s="16" t="s">
        <v>79</v>
      </c>
      <c r="W210" s="17" t="str">
        <f>VLOOKUP(RiskRegister[[#This Row],[Residual Likelihood Level]],'Rating factors'!$F$16:$G$21,2,FALSE)</f>
        <v>--- Error ---</v>
      </c>
      <c r="X210" s="17" t="str">
        <f ca="1">IFERROR(VLOOKUP(RiskRegister[[#This Row],[Residual Risk Rating]],'Rating factors'!$F$30:$G$44,2,FALSE),"-- Error --")</f>
        <v>-- Error --</v>
      </c>
      <c r="Y210" s="17" t="str">
        <f ca="1">IFERROR(RiskRegister[[#This Row],[Residual Impact Rating]]*RiskRegister[[#This Row],[Residual Likelihood Rating]],"-- Error --")</f>
        <v>-- Error --</v>
      </c>
      <c r="Z210" s="16" t="s">
        <v>100</v>
      </c>
      <c r="AB210" s="39"/>
      <c r="AD210" s="20"/>
    </row>
    <row r="211" spans="1:30" s="16" customFormat="1" hidden="1" x14ac:dyDescent="0.25">
      <c r="A211" s="16">
        <v>208</v>
      </c>
      <c r="G211" s="16" t="s">
        <v>77</v>
      </c>
      <c r="I211" s="16" t="s">
        <v>75</v>
      </c>
      <c r="L211" s="105" t="s">
        <v>99</v>
      </c>
      <c r="M211" s="17" t="str">
        <f>VLOOKUP(RiskRegister[[#This Row],[Inherent Impact LevelL3:L1020D1007L3:L1019]],'Rating factors'!$F$4:$G$9,2,FALSE)</f>
        <v>--- Error ---</v>
      </c>
      <c r="N211" s="16" t="s">
        <v>79</v>
      </c>
      <c r="O211" s="17" t="str">
        <f>VLOOKUP(RiskRegister[[#This Row],[Inherent Likelihood Level]],'Rating factors'!$F$16:$G$21,2,FALSE)</f>
        <v>--- Error ---</v>
      </c>
      <c r="P211" s="17" t="str">
        <f>IFERROR(VLOOKUP(RiskRegister[[#This Row],[Inherent Risk Rating]],'Rating factors'!$F$30:$G$44,2,FALSE),"-- Error --")</f>
        <v>-- Error --</v>
      </c>
      <c r="Q211" s="17" t="str">
        <f>IFERROR(RiskRegister[[#This Row],[Inherent Impact Rating]]*RiskRegister[[#This Row],[Inherent Likelihood Rating]],"-- Error --")</f>
        <v>-- Error --</v>
      </c>
      <c r="R211" s="16" t="s">
        <v>98</v>
      </c>
      <c r="T211" s="16" t="s">
        <v>99</v>
      </c>
      <c r="U211" s="17" t="e" cm="1">
        <f t="array" aca="1" ref="U211" ca="1">+U211:Y1019VLOOKUP(RiskRegister[[#This Row],[Residual Impact Level]],'Rating factors'!$F$4:$G$9,2,FALSE)</f>
        <v>#NAME?</v>
      </c>
      <c r="V211" s="16" t="s">
        <v>79</v>
      </c>
      <c r="W211" s="17" t="str">
        <f>VLOOKUP(RiskRegister[[#This Row],[Residual Likelihood Level]],'Rating factors'!$F$16:$G$21,2,FALSE)</f>
        <v>--- Error ---</v>
      </c>
      <c r="X211" s="17" t="str">
        <f ca="1">IFERROR(VLOOKUP(RiskRegister[[#This Row],[Residual Risk Rating]],'Rating factors'!$F$30:$G$44,2,FALSE),"-- Error --")</f>
        <v>-- Error --</v>
      </c>
      <c r="Y211" s="17" t="str">
        <f ca="1">IFERROR(RiskRegister[[#This Row],[Residual Impact Rating]]*RiskRegister[[#This Row],[Residual Likelihood Rating]],"-- Error --")</f>
        <v>-- Error --</v>
      </c>
      <c r="Z211" s="16" t="s">
        <v>100</v>
      </c>
      <c r="AB211" s="39"/>
      <c r="AD211" s="20"/>
    </row>
    <row r="212" spans="1:30" s="16" customFormat="1" hidden="1" x14ac:dyDescent="0.25">
      <c r="A212" s="16">
        <v>209</v>
      </c>
      <c r="G212" s="16" t="s">
        <v>77</v>
      </c>
      <c r="I212" s="16" t="s">
        <v>75</v>
      </c>
      <c r="L212" s="105" t="s">
        <v>99</v>
      </c>
      <c r="M212" s="17" t="str">
        <f>VLOOKUP(RiskRegister[[#This Row],[Inherent Impact LevelL3:L1020D1007L3:L1019]],'Rating factors'!$F$4:$G$9,2,FALSE)</f>
        <v>--- Error ---</v>
      </c>
      <c r="N212" s="16" t="s">
        <v>79</v>
      </c>
      <c r="O212" s="17" t="str">
        <f>VLOOKUP(RiskRegister[[#This Row],[Inherent Likelihood Level]],'Rating factors'!$F$16:$G$21,2,FALSE)</f>
        <v>--- Error ---</v>
      </c>
      <c r="P212" s="17" t="str">
        <f>IFERROR(VLOOKUP(RiskRegister[[#This Row],[Inherent Risk Rating]],'Rating factors'!$F$30:$G$44,2,FALSE),"-- Error --")</f>
        <v>-- Error --</v>
      </c>
      <c r="Q212" s="17" t="str">
        <f>IFERROR(RiskRegister[[#This Row],[Inherent Impact Rating]]*RiskRegister[[#This Row],[Inherent Likelihood Rating]],"-- Error --")</f>
        <v>-- Error --</v>
      </c>
      <c r="R212" s="16" t="s">
        <v>98</v>
      </c>
      <c r="T212" s="16" t="s">
        <v>99</v>
      </c>
      <c r="U212" s="17" t="e" cm="1">
        <f t="array" aca="1" ref="U212" ca="1">+U212:Y1019VLOOKUP(RiskRegister[[#This Row],[Residual Impact Level]],'Rating factors'!$F$4:$G$9,2,FALSE)</f>
        <v>#NAME?</v>
      </c>
      <c r="V212" s="16" t="s">
        <v>79</v>
      </c>
      <c r="W212" s="17" t="str">
        <f>VLOOKUP(RiskRegister[[#This Row],[Residual Likelihood Level]],'Rating factors'!$F$16:$G$21,2,FALSE)</f>
        <v>--- Error ---</v>
      </c>
      <c r="X212" s="17" t="str">
        <f ca="1">IFERROR(VLOOKUP(RiskRegister[[#This Row],[Residual Risk Rating]],'Rating factors'!$F$30:$G$44,2,FALSE),"-- Error --")</f>
        <v>-- Error --</v>
      </c>
      <c r="Y212" s="17" t="str">
        <f ca="1">IFERROR(RiskRegister[[#This Row],[Residual Impact Rating]]*RiskRegister[[#This Row],[Residual Likelihood Rating]],"-- Error --")</f>
        <v>-- Error --</v>
      </c>
      <c r="Z212" s="16" t="s">
        <v>100</v>
      </c>
      <c r="AB212" s="39"/>
      <c r="AD212" s="20"/>
    </row>
    <row r="213" spans="1:30" s="16" customFormat="1" hidden="1" x14ac:dyDescent="0.25">
      <c r="A213" s="16">
        <v>210</v>
      </c>
      <c r="G213" s="16" t="s">
        <v>77</v>
      </c>
      <c r="I213" s="16" t="s">
        <v>75</v>
      </c>
      <c r="L213" s="105" t="s">
        <v>99</v>
      </c>
      <c r="M213" s="17" t="str">
        <f>VLOOKUP(RiskRegister[[#This Row],[Inherent Impact LevelL3:L1020D1007L3:L1019]],'Rating factors'!$F$4:$G$9,2,FALSE)</f>
        <v>--- Error ---</v>
      </c>
      <c r="N213" s="16" t="s">
        <v>79</v>
      </c>
      <c r="O213" s="17" t="str">
        <f>VLOOKUP(RiskRegister[[#This Row],[Inherent Likelihood Level]],'Rating factors'!$F$16:$G$21,2,FALSE)</f>
        <v>--- Error ---</v>
      </c>
      <c r="P213" s="17" t="str">
        <f>IFERROR(VLOOKUP(RiskRegister[[#This Row],[Inherent Risk Rating]],'Rating factors'!$F$30:$G$44,2,FALSE),"-- Error --")</f>
        <v>-- Error --</v>
      </c>
      <c r="Q213" s="17" t="str">
        <f>IFERROR(RiskRegister[[#This Row],[Inherent Impact Rating]]*RiskRegister[[#This Row],[Inherent Likelihood Rating]],"-- Error --")</f>
        <v>-- Error --</v>
      </c>
      <c r="R213" s="16" t="s">
        <v>98</v>
      </c>
      <c r="T213" s="16" t="s">
        <v>99</v>
      </c>
      <c r="U213" s="17" t="e" cm="1">
        <f t="array" aca="1" ref="U213" ca="1">+U213:Y1019VLOOKUP(RiskRegister[[#This Row],[Residual Impact Level]],'Rating factors'!$F$4:$G$9,2,FALSE)</f>
        <v>#NAME?</v>
      </c>
      <c r="V213" s="16" t="s">
        <v>79</v>
      </c>
      <c r="W213" s="17" t="str">
        <f>VLOOKUP(RiskRegister[[#This Row],[Residual Likelihood Level]],'Rating factors'!$F$16:$G$21,2,FALSE)</f>
        <v>--- Error ---</v>
      </c>
      <c r="X213" s="17" t="str">
        <f ca="1">IFERROR(VLOOKUP(RiskRegister[[#This Row],[Residual Risk Rating]],'Rating factors'!$F$30:$G$44,2,FALSE),"-- Error --")</f>
        <v>-- Error --</v>
      </c>
      <c r="Y213" s="17" t="str">
        <f ca="1">IFERROR(RiskRegister[[#This Row],[Residual Impact Rating]]*RiskRegister[[#This Row],[Residual Likelihood Rating]],"-- Error --")</f>
        <v>-- Error --</v>
      </c>
      <c r="Z213" s="16" t="s">
        <v>100</v>
      </c>
      <c r="AB213" s="39"/>
      <c r="AD213" s="20"/>
    </row>
    <row r="214" spans="1:30" s="16" customFormat="1" hidden="1" x14ac:dyDescent="0.25">
      <c r="A214" s="16">
        <v>211</v>
      </c>
      <c r="G214" s="16" t="s">
        <v>77</v>
      </c>
      <c r="I214" s="16" t="s">
        <v>75</v>
      </c>
      <c r="L214" s="105" t="s">
        <v>99</v>
      </c>
      <c r="M214" s="17" t="str">
        <f>VLOOKUP(RiskRegister[[#This Row],[Inherent Impact LevelL3:L1020D1007L3:L1019]],'Rating factors'!$F$4:$G$9,2,FALSE)</f>
        <v>--- Error ---</v>
      </c>
      <c r="N214" s="16" t="s">
        <v>79</v>
      </c>
      <c r="O214" s="17" t="str">
        <f>VLOOKUP(RiskRegister[[#This Row],[Inherent Likelihood Level]],'Rating factors'!$F$16:$G$21,2,FALSE)</f>
        <v>--- Error ---</v>
      </c>
      <c r="P214" s="17" t="str">
        <f>IFERROR(VLOOKUP(RiskRegister[[#This Row],[Inherent Risk Rating]],'Rating factors'!$F$30:$G$44,2,FALSE),"-- Error --")</f>
        <v>-- Error --</v>
      </c>
      <c r="Q214" s="17" t="str">
        <f>IFERROR(RiskRegister[[#This Row],[Inherent Impact Rating]]*RiskRegister[[#This Row],[Inherent Likelihood Rating]],"-- Error --")</f>
        <v>-- Error --</v>
      </c>
      <c r="R214" s="16" t="s">
        <v>98</v>
      </c>
      <c r="T214" s="16" t="s">
        <v>99</v>
      </c>
      <c r="U214" s="17" t="e" cm="1">
        <f t="array" aca="1" ref="U214" ca="1">+U214:Y1019VLOOKUP(RiskRegister[[#This Row],[Residual Impact Level]],'Rating factors'!$F$4:$G$9,2,FALSE)</f>
        <v>#NAME?</v>
      </c>
      <c r="V214" s="16" t="s">
        <v>79</v>
      </c>
      <c r="W214" s="17" t="str">
        <f>VLOOKUP(RiskRegister[[#This Row],[Residual Likelihood Level]],'Rating factors'!$F$16:$G$21,2,FALSE)</f>
        <v>--- Error ---</v>
      </c>
      <c r="X214" s="17" t="str">
        <f ca="1">IFERROR(VLOOKUP(RiskRegister[[#This Row],[Residual Risk Rating]],'Rating factors'!$F$30:$G$44,2,FALSE),"-- Error --")</f>
        <v>-- Error --</v>
      </c>
      <c r="Y214" s="17" t="str">
        <f ca="1">IFERROR(RiskRegister[[#This Row],[Residual Impact Rating]]*RiskRegister[[#This Row],[Residual Likelihood Rating]],"-- Error --")</f>
        <v>-- Error --</v>
      </c>
      <c r="Z214" s="16" t="s">
        <v>100</v>
      </c>
      <c r="AB214" s="39"/>
      <c r="AD214" s="20"/>
    </row>
    <row r="215" spans="1:30" s="16" customFormat="1" hidden="1" x14ac:dyDescent="0.25">
      <c r="A215" s="16">
        <v>212</v>
      </c>
      <c r="G215" s="16" t="s">
        <v>77</v>
      </c>
      <c r="I215" s="16" t="s">
        <v>75</v>
      </c>
      <c r="L215" s="105" t="s">
        <v>99</v>
      </c>
      <c r="M215" s="17" t="str">
        <f>VLOOKUP(RiskRegister[[#This Row],[Inherent Impact LevelL3:L1020D1007L3:L1019]],'Rating factors'!$F$4:$G$9,2,FALSE)</f>
        <v>--- Error ---</v>
      </c>
      <c r="N215" s="16" t="s">
        <v>79</v>
      </c>
      <c r="O215" s="17" t="str">
        <f>VLOOKUP(RiskRegister[[#This Row],[Inherent Likelihood Level]],'Rating factors'!$F$16:$G$21,2,FALSE)</f>
        <v>--- Error ---</v>
      </c>
      <c r="P215" s="17" t="str">
        <f>IFERROR(VLOOKUP(RiskRegister[[#This Row],[Inherent Risk Rating]],'Rating factors'!$F$30:$G$44,2,FALSE),"-- Error --")</f>
        <v>-- Error --</v>
      </c>
      <c r="Q215" s="17" t="str">
        <f>IFERROR(RiskRegister[[#This Row],[Inherent Impact Rating]]*RiskRegister[[#This Row],[Inherent Likelihood Rating]],"-- Error --")</f>
        <v>-- Error --</v>
      </c>
      <c r="R215" s="16" t="s">
        <v>98</v>
      </c>
      <c r="T215" s="16" t="s">
        <v>99</v>
      </c>
      <c r="U215" s="17" t="e" cm="1">
        <f t="array" aca="1" ref="U215" ca="1">+U215:Y1019VLOOKUP(RiskRegister[[#This Row],[Residual Impact Level]],'Rating factors'!$F$4:$G$9,2,FALSE)</f>
        <v>#NAME?</v>
      </c>
      <c r="V215" s="16" t="s">
        <v>79</v>
      </c>
      <c r="W215" s="17" t="str">
        <f>VLOOKUP(RiskRegister[[#This Row],[Residual Likelihood Level]],'Rating factors'!$F$16:$G$21,2,FALSE)</f>
        <v>--- Error ---</v>
      </c>
      <c r="X215" s="17" t="str">
        <f ca="1">IFERROR(VLOOKUP(RiskRegister[[#This Row],[Residual Risk Rating]],'Rating factors'!$F$30:$G$44,2,FALSE),"-- Error --")</f>
        <v>-- Error --</v>
      </c>
      <c r="Y215" s="17" t="str">
        <f ca="1">IFERROR(RiskRegister[[#This Row],[Residual Impact Rating]]*RiskRegister[[#This Row],[Residual Likelihood Rating]],"-- Error --")</f>
        <v>-- Error --</v>
      </c>
      <c r="Z215" s="16" t="s">
        <v>100</v>
      </c>
      <c r="AB215" s="39"/>
      <c r="AD215" s="20"/>
    </row>
    <row r="216" spans="1:30" s="16" customFormat="1" hidden="1" x14ac:dyDescent="0.25">
      <c r="A216" s="16">
        <v>213</v>
      </c>
      <c r="G216" s="16" t="s">
        <v>77</v>
      </c>
      <c r="I216" s="16" t="s">
        <v>75</v>
      </c>
      <c r="L216" s="105" t="s">
        <v>99</v>
      </c>
      <c r="M216" s="17" t="str">
        <f>VLOOKUP(RiskRegister[[#This Row],[Inherent Impact LevelL3:L1020D1007L3:L1019]],'Rating factors'!$F$4:$G$9,2,FALSE)</f>
        <v>--- Error ---</v>
      </c>
      <c r="N216" s="16" t="s">
        <v>79</v>
      </c>
      <c r="O216" s="17" t="str">
        <f>VLOOKUP(RiskRegister[[#This Row],[Inherent Likelihood Level]],'Rating factors'!$F$16:$G$21,2,FALSE)</f>
        <v>--- Error ---</v>
      </c>
      <c r="P216" s="17" t="str">
        <f>IFERROR(VLOOKUP(RiskRegister[[#This Row],[Inherent Risk Rating]],'Rating factors'!$F$30:$G$44,2,FALSE),"-- Error --")</f>
        <v>-- Error --</v>
      </c>
      <c r="Q216" s="17" t="str">
        <f>IFERROR(RiskRegister[[#This Row],[Inherent Impact Rating]]*RiskRegister[[#This Row],[Inherent Likelihood Rating]],"-- Error --")</f>
        <v>-- Error --</v>
      </c>
      <c r="R216" s="16" t="s">
        <v>98</v>
      </c>
      <c r="T216" s="16" t="s">
        <v>99</v>
      </c>
      <c r="U216" s="17" t="e" cm="1">
        <f t="array" aca="1" ref="U216" ca="1">+U216:Y1019VLOOKUP(RiskRegister[[#This Row],[Residual Impact Level]],'Rating factors'!$F$4:$G$9,2,FALSE)</f>
        <v>#NAME?</v>
      </c>
      <c r="V216" s="16" t="s">
        <v>79</v>
      </c>
      <c r="W216" s="17" t="str">
        <f>VLOOKUP(RiskRegister[[#This Row],[Residual Likelihood Level]],'Rating factors'!$F$16:$G$21,2,FALSE)</f>
        <v>--- Error ---</v>
      </c>
      <c r="X216" s="17" t="str">
        <f ca="1">IFERROR(VLOOKUP(RiskRegister[[#This Row],[Residual Risk Rating]],'Rating factors'!$F$30:$G$44,2,FALSE),"-- Error --")</f>
        <v>-- Error --</v>
      </c>
      <c r="Y216" s="17" t="str">
        <f ca="1">IFERROR(RiskRegister[[#This Row],[Residual Impact Rating]]*RiskRegister[[#This Row],[Residual Likelihood Rating]],"-- Error --")</f>
        <v>-- Error --</v>
      </c>
      <c r="Z216" s="16" t="s">
        <v>100</v>
      </c>
      <c r="AB216" s="39"/>
      <c r="AD216" s="20"/>
    </row>
    <row r="217" spans="1:30" s="16" customFormat="1" hidden="1" x14ac:dyDescent="0.25">
      <c r="A217" s="16">
        <v>214</v>
      </c>
      <c r="G217" s="16" t="s">
        <v>77</v>
      </c>
      <c r="I217" s="16" t="s">
        <v>75</v>
      </c>
      <c r="L217" s="105" t="s">
        <v>99</v>
      </c>
      <c r="M217" s="17" t="str">
        <f>VLOOKUP(RiskRegister[[#This Row],[Inherent Impact LevelL3:L1020D1007L3:L1019]],'Rating factors'!$F$4:$G$9,2,FALSE)</f>
        <v>--- Error ---</v>
      </c>
      <c r="N217" s="16" t="s">
        <v>79</v>
      </c>
      <c r="O217" s="17" t="str">
        <f>VLOOKUP(RiskRegister[[#This Row],[Inherent Likelihood Level]],'Rating factors'!$F$16:$G$21,2,FALSE)</f>
        <v>--- Error ---</v>
      </c>
      <c r="P217" s="17" t="str">
        <f>IFERROR(VLOOKUP(RiskRegister[[#This Row],[Inherent Risk Rating]],'Rating factors'!$F$30:$G$44,2,FALSE),"-- Error --")</f>
        <v>-- Error --</v>
      </c>
      <c r="Q217" s="17" t="str">
        <f>IFERROR(RiskRegister[[#This Row],[Inherent Impact Rating]]*RiskRegister[[#This Row],[Inherent Likelihood Rating]],"-- Error --")</f>
        <v>-- Error --</v>
      </c>
      <c r="R217" s="16" t="s">
        <v>98</v>
      </c>
      <c r="T217" s="16" t="s">
        <v>99</v>
      </c>
      <c r="U217" s="17" t="e" cm="1">
        <f t="array" aca="1" ref="U217" ca="1">+U217:Y1019VLOOKUP(RiskRegister[[#This Row],[Residual Impact Level]],'Rating factors'!$F$4:$G$9,2,FALSE)</f>
        <v>#NAME?</v>
      </c>
      <c r="V217" s="16" t="s">
        <v>79</v>
      </c>
      <c r="W217" s="17" t="str">
        <f>VLOOKUP(RiskRegister[[#This Row],[Residual Likelihood Level]],'Rating factors'!$F$16:$G$21,2,FALSE)</f>
        <v>--- Error ---</v>
      </c>
      <c r="X217" s="17" t="str">
        <f ca="1">IFERROR(VLOOKUP(RiskRegister[[#This Row],[Residual Risk Rating]],'Rating factors'!$F$30:$G$44,2,FALSE),"-- Error --")</f>
        <v>-- Error --</v>
      </c>
      <c r="Y217" s="17" t="str">
        <f ca="1">IFERROR(RiskRegister[[#This Row],[Residual Impact Rating]]*RiskRegister[[#This Row],[Residual Likelihood Rating]],"-- Error --")</f>
        <v>-- Error --</v>
      </c>
      <c r="Z217" s="16" t="s">
        <v>100</v>
      </c>
      <c r="AB217" s="39"/>
      <c r="AD217" s="20"/>
    </row>
    <row r="218" spans="1:30" s="16" customFormat="1" hidden="1" x14ac:dyDescent="0.25">
      <c r="A218" s="16">
        <v>215</v>
      </c>
      <c r="G218" s="16" t="s">
        <v>77</v>
      </c>
      <c r="I218" s="16" t="s">
        <v>75</v>
      </c>
      <c r="L218" s="105" t="s">
        <v>99</v>
      </c>
      <c r="M218" s="17" t="str">
        <f>VLOOKUP(RiskRegister[[#This Row],[Inherent Impact LevelL3:L1020D1007L3:L1019]],'Rating factors'!$F$4:$G$9,2,FALSE)</f>
        <v>--- Error ---</v>
      </c>
      <c r="N218" s="16" t="s">
        <v>79</v>
      </c>
      <c r="O218" s="17" t="str">
        <f>VLOOKUP(RiskRegister[[#This Row],[Inherent Likelihood Level]],'Rating factors'!$F$16:$G$21,2,FALSE)</f>
        <v>--- Error ---</v>
      </c>
      <c r="P218" s="17" t="str">
        <f>IFERROR(VLOOKUP(RiskRegister[[#This Row],[Inherent Risk Rating]],'Rating factors'!$F$30:$G$44,2,FALSE),"-- Error --")</f>
        <v>-- Error --</v>
      </c>
      <c r="Q218" s="17" t="str">
        <f>IFERROR(RiskRegister[[#This Row],[Inherent Impact Rating]]*RiskRegister[[#This Row],[Inherent Likelihood Rating]],"-- Error --")</f>
        <v>-- Error --</v>
      </c>
      <c r="R218" s="16" t="s">
        <v>98</v>
      </c>
      <c r="T218" s="16" t="s">
        <v>99</v>
      </c>
      <c r="U218" s="17" t="e" cm="1">
        <f t="array" aca="1" ref="U218" ca="1">+U218:Y1019VLOOKUP(RiskRegister[[#This Row],[Residual Impact Level]],'Rating factors'!$F$4:$G$9,2,FALSE)</f>
        <v>#NAME?</v>
      </c>
      <c r="V218" s="16" t="s">
        <v>79</v>
      </c>
      <c r="W218" s="17" t="str">
        <f>VLOOKUP(RiskRegister[[#This Row],[Residual Likelihood Level]],'Rating factors'!$F$16:$G$21,2,FALSE)</f>
        <v>--- Error ---</v>
      </c>
      <c r="X218" s="17" t="str">
        <f ca="1">IFERROR(VLOOKUP(RiskRegister[[#This Row],[Residual Risk Rating]],'Rating factors'!$F$30:$G$44,2,FALSE),"-- Error --")</f>
        <v>-- Error --</v>
      </c>
      <c r="Y218" s="17" t="str">
        <f ca="1">IFERROR(RiskRegister[[#This Row],[Residual Impact Rating]]*RiskRegister[[#This Row],[Residual Likelihood Rating]],"-- Error --")</f>
        <v>-- Error --</v>
      </c>
      <c r="Z218" s="16" t="s">
        <v>100</v>
      </c>
      <c r="AB218" s="39"/>
      <c r="AD218" s="20"/>
    </row>
    <row r="219" spans="1:30" s="16" customFormat="1" hidden="1" x14ac:dyDescent="0.25">
      <c r="A219" s="16">
        <v>216</v>
      </c>
      <c r="G219" s="16" t="s">
        <v>77</v>
      </c>
      <c r="I219" s="16" t="s">
        <v>75</v>
      </c>
      <c r="L219" s="105" t="s">
        <v>99</v>
      </c>
      <c r="M219" s="17" t="str">
        <f>VLOOKUP(RiskRegister[[#This Row],[Inherent Impact LevelL3:L1020D1007L3:L1019]],'Rating factors'!$F$4:$G$9,2,FALSE)</f>
        <v>--- Error ---</v>
      </c>
      <c r="N219" s="16" t="s">
        <v>79</v>
      </c>
      <c r="O219" s="17" t="str">
        <f>VLOOKUP(RiskRegister[[#This Row],[Inherent Likelihood Level]],'Rating factors'!$F$16:$G$21,2,FALSE)</f>
        <v>--- Error ---</v>
      </c>
      <c r="P219" s="17" t="str">
        <f>IFERROR(VLOOKUP(RiskRegister[[#This Row],[Inherent Risk Rating]],'Rating factors'!$F$30:$G$44,2,FALSE),"-- Error --")</f>
        <v>-- Error --</v>
      </c>
      <c r="Q219" s="17" t="str">
        <f>IFERROR(RiskRegister[[#This Row],[Inherent Impact Rating]]*RiskRegister[[#This Row],[Inherent Likelihood Rating]],"-- Error --")</f>
        <v>-- Error --</v>
      </c>
      <c r="R219" s="16" t="s">
        <v>98</v>
      </c>
      <c r="T219" s="16" t="s">
        <v>99</v>
      </c>
      <c r="U219" s="17" t="e" cm="1">
        <f t="array" aca="1" ref="U219" ca="1">+U219:Y1019VLOOKUP(RiskRegister[[#This Row],[Residual Impact Level]],'Rating factors'!$F$4:$G$9,2,FALSE)</f>
        <v>#NAME?</v>
      </c>
      <c r="V219" s="16" t="s">
        <v>79</v>
      </c>
      <c r="W219" s="17" t="str">
        <f>VLOOKUP(RiskRegister[[#This Row],[Residual Likelihood Level]],'Rating factors'!$F$16:$G$21,2,FALSE)</f>
        <v>--- Error ---</v>
      </c>
      <c r="X219" s="17" t="str">
        <f ca="1">IFERROR(VLOOKUP(RiskRegister[[#This Row],[Residual Risk Rating]],'Rating factors'!$F$30:$G$44,2,FALSE),"-- Error --")</f>
        <v>-- Error --</v>
      </c>
      <c r="Y219" s="17" t="str">
        <f ca="1">IFERROR(RiskRegister[[#This Row],[Residual Impact Rating]]*RiskRegister[[#This Row],[Residual Likelihood Rating]],"-- Error --")</f>
        <v>-- Error --</v>
      </c>
      <c r="Z219" s="16" t="s">
        <v>100</v>
      </c>
      <c r="AB219" s="39"/>
      <c r="AD219" s="20"/>
    </row>
    <row r="220" spans="1:30" s="16" customFormat="1" hidden="1" x14ac:dyDescent="0.25">
      <c r="A220" s="16">
        <v>217</v>
      </c>
      <c r="G220" s="16" t="s">
        <v>77</v>
      </c>
      <c r="I220" s="16" t="s">
        <v>75</v>
      </c>
      <c r="L220" s="105" t="s">
        <v>99</v>
      </c>
      <c r="M220" s="17" t="str">
        <f>VLOOKUP(RiskRegister[[#This Row],[Inherent Impact LevelL3:L1020D1007L3:L1019]],'Rating factors'!$F$4:$G$9,2,FALSE)</f>
        <v>--- Error ---</v>
      </c>
      <c r="N220" s="16" t="s">
        <v>79</v>
      </c>
      <c r="O220" s="17" t="str">
        <f>VLOOKUP(RiskRegister[[#This Row],[Inherent Likelihood Level]],'Rating factors'!$F$16:$G$21,2,FALSE)</f>
        <v>--- Error ---</v>
      </c>
      <c r="P220" s="17" t="str">
        <f>IFERROR(VLOOKUP(RiskRegister[[#This Row],[Inherent Risk Rating]],'Rating factors'!$F$30:$G$44,2,FALSE),"-- Error --")</f>
        <v>-- Error --</v>
      </c>
      <c r="Q220" s="17" t="str">
        <f>IFERROR(RiskRegister[[#This Row],[Inherent Impact Rating]]*RiskRegister[[#This Row],[Inherent Likelihood Rating]],"-- Error --")</f>
        <v>-- Error --</v>
      </c>
      <c r="R220" s="16" t="s">
        <v>98</v>
      </c>
      <c r="T220" s="16" t="s">
        <v>99</v>
      </c>
      <c r="U220" s="17" t="e" cm="1">
        <f t="array" aca="1" ref="U220" ca="1">+U220:Y1019VLOOKUP(RiskRegister[[#This Row],[Residual Impact Level]],'Rating factors'!$F$4:$G$9,2,FALSE)</f>
        <v>#NAME?</v>
      </c>
      <c r="V220" s="16" t="s">
        <v>79</v>
      </c>
      <c r="W220" s="17" t="str">
        <f>VLOOKUP(RiskRegister[[#This Row],[Residual Likelihood Level]],'Rating factors'!$F$16:$G$21,2,FALSE)</f>
        <v>--- Error ---</v>
      </c>
      <c r="X220" s="17" t="str">
        <f ca="1">IFERROR(VLOOKUP(RiskRegister[[#This Row],[Residual Risk Rating]],'Rating factors'!$F$30:$G$44,2,FALSE),"-- Error --")</f>
        <v>-- Error --</v>
      </c>
      <c r="Y220" s="17" t="str">
        <f ca="1">IFERROR(RiskRegister[[#This Row],[Residual Impact Rating]]*RiskRegister[[#This Row],[Residual Likelihood Rating]],"-- Error --")</f>
        <v>-- Error --</v>
      </c>
      <c r="Z220" s="16" t="s">
        <v>100</v>
      </c>
      <c r="AB220" s="39"/>
      <c r="AD220" s="20"/>
    </row>
    <row r="221" spans="1:30" s="16" customFormat="1" hidden="1" x14ac:dyDescent="0.25">
      <c r="A221" s="16">
        <v>218</v>
      </c>
      <c r="G221" s="16" t="s">
        <v>77</v>
      </c>
      <c r="I221" s="16" t="s">
        <v>75</v>
      </c>
      <c r="L221" s="105" t="s">
        <v>99</v>
      </c>
      <c r="M221" s="17" t="str">
        <f>VLOOKUP(RiskRegister[[#This Row],[Inherent Impact LevelL3:L1020D1007L3:L1019]],'Rating factors'!$F$4:$G$9,2,FALSE)</f>
        <v>--- Error ---</v>
      </c>
      <c r="N221" s="16" t="s">
        <v>79</v>
      </c>
      <c r="O221" s="17" t="str">
        <f>VLOOKUP(RiskRegister[[#This Row],[Inherent Likelihood Level]],'Rating factors'!$F$16:$G$21,2,FALSE)</f>
        <v>--- Error ---</v>
      </c>
      <c r="P221" s="17" t="str">
        <f>IFERROR(VLOOKUP(RiskRegister[[#This Row],[Inherent Risk Rating]],'Rating factors'!$F$30:$G$44,2,FALSE),"-- Error --")</f>
        <v>-- Error --</v>
      </c>
      <c r="Q221" s="17" t="str">
        <f>IFERROR(RiskRegister[[#This Row],[Inherent Impact Rating]]*RiskRegister[[#This Row],[Inherent Likelihood Rating]],"-- Error --")</f>
        <v>-- Error --</v>
      </c>
      <c r="R221" s="16" t="s">
        <v>98</v>
      </c>
      <c r="T221" s="16" t="s">
        <v>99</v>
      </c>
      <c r="U221" s="17" t="e" cm="1">
        <f t="array" aca="1" ref="U221" ca="1">+U221:Y1019VLOOKUP(RiskRegister[[#This Row],[Residual Impact Level]],'Rating factors'!$F$4:$G$9,2,FALSE)</f>
        <v>#NAME?</v>
      </c>
      <c r="V221" s="16" t="s">
        <v>79</v>
      </c>
      <c r="W221" s="17" t="str">
        <f>VLOOKUP(RiskRegister[[#This Row],[Residual Likelihood Level]],'Rating factors'!$F$16:$G$21,2,FALSE)</f>
        <v>--- Error ---</v>
      </c>
      <c r="X221" s="17" t="str">
        <f ca="1">IFERROR(VLOOKUP(RiskRegister[[#This Row],[Residual Risk Rating]],'Rating factors'!$F$30:$G$44,2,FALSE),"-- Error --")</f>
        <v>-- Error --</v>
      </c>
      <c r="Y221" s="17" t="str">
        <f ca="1">IFERROR(RiskRegister[[#This Row],[Residual Impact Rating]]*RiskRegister[[#This Row],[Residual Likelihood Rating]],"-- Error --")</f>
        <v>-- Error --</v>
      </c>
      <c r="Z221" s="16" t="s">
        <v>100</v>
      </c>
      <c r="AB221" s="39"/>
      <c r="AD221" s="20"/>
    </row>
    <row r="222" spans="1:30" s="16" customFormat="1" hidden="1" x14ac:dyDescent="0.25">
      <c r="A222" s="16">
        <v>219</v>
      </c>
      <c r="G222" s="16" t="s">
        <v>77</v>
      </c>
      <c r="I222" s="16" t="s">
        <v>75</v>
      </c>
      <c r="L222" s="105" t="s">
        <v>99</v>
      </c>
      <c r="M222" s="17" t="str">
        <f>VLOOKUP(RiskRegister[[#This Row],[Inherent Impact LevelL3:L1020D1007L3:L1019]],'Rating factors'!$F$4:$G$9,2,FALSE)</f>
        <v>--- Error ---</v>
      </c>
      <c r="N222" s="16" t="s">
        <v>79</v>
      </c>
      <c r="O222" s="17" t="str">
        <f>VLOOKUP(RiskRegister[[#This Row],[Inherent Likelihood Level]],'Rating factors'!$F$16:$G$21,2,FALSE)</f>
        <v>--- Error ---</v>
      </c>
      <c r="P222" s="17" t="str">
        <f>IFERROR(VLOOKUP(RiskRegister[[#This Row],[Inherent Risk Rating]],'Rating factors'!$F$30:$G$44,2,FALSE),"-- Error --")</f>
        <v>-- Error --</v>
      </c>
      <c r="Q222" s="17" t="str">
        <f>IFERROR(RiskRegister[[#This Row],[Inherent Impact Rating]]*RiskRegister[[#This Row],[Inherent Likelihood Rating]],"-- Error --")</f>
        <v>-- Error --</v>
      </c>
      <c r="R222" s="16" t="s">
        <v>98</v>
      </c>
      <c r="T222" s="16" t="s">
        <v>99</v>
      </c>
      <c r="U222" s="17" t="e" cm="1">
        <f t="array" aca="1" ref="U222" ca="1">+U222:Y1019VLOOKUP(RiskRegister[[#This Row],[Residual Impact Level]],'Rating factors'!$F$4:$G$9,2,FALSE)</f>
        <v>#NAME?</v>
      </c>
      <c r="V222" s="16" t="s">
        <v>79</v>
      </c>
      <c r="W222" s="17" t="str">
        <f>VLOOKUP(RiskRegister[[#This Row],[Residual Likelihood Level]],'Rating factors'!$F$16:$G$21,2,FALSE)</f>
        <v>--- Error ---</v>
      </c>
      <c r="X222" s="17" t="str">
        <f ca="1">IFERROR(VLOOKUP(RiskRegister[[#This Row],[Residual Risk Rating]],'Rating factors'!$F$30:$G$44,2,FALSE),"-- Error --")</f>
        <v>-- Error --</v>
      </c>
      <c r="Y222" s="17" t="str">
        <f ca="1">IFERROR(RiskRegister[[#This Row],[Residual Impact Rating]]*RiskRegister[[#This Row],[Residual Likelihood Rating]],"-- Error --")</f>
        <v>-- Error --</v>
      </c>
      <c r="Z222" s="16" t="s">
        <v>100</v>
      </c>
      <c r="AB222" s="39"/>
      <c r="AD222" s="20"/>
    </row>
    <row r="223" spans="1:30" s="16" customFormat="1" hidden="1" x14ac:dyDescent="0.25">
      <c r="A223" s="16">
        <v>220</v>
      </c>
      <c r="G223" s="16" t="s">
        <v>77</v>
      </c>
      <c r="I223" s="16" t="s">
        <v>75</v>
      </c>
      <c r="L223" s="105" t="s">
        <v>99</v>
      </c>
      <c r="M223" s="17" t="str">
        <f>VLOOKUP(RiskRegister[[#This Row],[Inherent Impact LevelL3:L1020D1007L3:L1019]],'Rating factors'!$F$4:$G$9,2,FALSE)</f>
        <v>--- Error ---</v>
      </c>
      <c r="N223" s="16" t="s">
        <v>79</v>
      </c>
      <c r="O223" s="17" t="str">
        <f>VLOOKUP(RiskRegister[[#This Row],[Inherent Likelihood Level]],'Rating factors'!$F$16:$G$21,2,FALSE)</f>
        <v>--- Error ---</v>
      </c>
      <c r="P223" s="17" t="str">
        <f>IFERROR(VLOOKUP(RiskRegister[[#This Row],[Inherent Risk Rating]],'Rating factors'!$F$30:$G$44,2,FALSE),"-- Error --")</f>
        <v>-- Error --</v>
      </c>
      <c r="Q223" s="17" t="str">
        <f>IFERROR(RiskRegister[[#This Row],[Inherent Impact Rating]]*RiskRegister[[#This Row],[Inherent Likelihood Rating]],"-- Error --")</f>
        <v>-- Error --</v>
      </c>
      <c r="R223" s="16" t="s">
        <v>98</v>
      </c>
      <c r="T223" s="16" t="s">
        <v>99</v>
      </c>
      <c r="U223" s="17" t="e" cm="1">
        <f t="array" aca="1" ref="U223" ca="1">+U223:Y1019VLOOKUP(RiskRegister[[#This Row],[Residual Impact Level]],'Rating factors'!$F$4:$G$9,2,FALSE)</f>
        <v>#NAME?</v>
      </c>
      <c r="V223" s="16" t="s">
        <v>79</v>
      </c>
      <c r="W223" s="17" t="str">
        <f>VLOOKUP(RiskRegister[[#This Row],[Residual Likelihood Level]],'Rating factors'!$F$16:$G$21,2,FALSE)</f>
        <v>--- Error ---</v>
      </c>
      <c r="X223" s="17" t="str">
        <f ca="1">IFERROR(VLOOKUP(RiskRegister[[#This Row],[Residual Risk Rating]],'Rating factors'!$F$30:$G$44,2,FALSE),"-- Error --")</f>
        <v>-- Error --</v>
      </c>
      <c r="Y223" s="17" t="str">
        <f ca="1">IFERROR(RiskRegister[[#This Row],[Residual Impact Rating]]*RiskRegister[[#This Row],[Residual Likelihood Rating]],"-- Error --")</f>
        <v>-- Error --</v>
      </c>
      <c r="Z223" s="16" t="s">
        <v>100</v>
      </c>
      <c r="AB223" s="39"/>
      <c r="AD223" s="20"/>
    </row>
    <row r="224" spans="1:30" s="16" customFormat="1" hidden="1" x14ac:dyDescent="0.25">
      <c r="A224" s="16">
        <v>221</v>
      </c>
      <c r="G224" s="16" t="s">
        <v>77</v>
      </c>
      <c r="I224" s="16" t="s">
        <v>75</v>
      </c>
      <c r="L224" s="105" t="s">
        <v>99</v>
      </c>
      <c r="M224" s="17" t="str">
        <f>VLOOKUP(RiskRegister[[#This Row],[Inherent Impact LevelL3:L1020D1007L3:L1019]],'Rating factors'!$F$4:$G$9,2,FALSE)</f>
        <v>--- Error ---</v>
      </c>
      <c r="N224" s="16" t="s">
        <v>79</v>
      </c>
      <c r="O224" s="17" t="str">
        <f>VLOOKUP(RiskRegister[[#This Row],[Inherent Likelihood Level]],'Rating factors'!$F$16:$G$21,2,FALSE)</f>
        <v>--- Error ---</v>
      </c>
      <c r="P224" s="17" t="str">
        <f>IFERROR(VLOOKUP(RiskRegister[[#This Row],[Inherent Risk Rating]],'Rating factors'!$F$30:$G$44,2,FALSE),"-- Error --")</f>
        <v>-- Error --</v>
      </c>
      <c r="Q224" s="17" t="str">
        <f>IFERROR(RiskRegister[[#This Row],[Inherent Impact Rating]]*RiskRegister[[#This Row],[Inherent Likelihood Rating]],"-- Error --")</f>
        <v>-- Error --</v>
      </c>
      <c r="R224" s="16" t="s">
        <v>98</v>
      </c>
      <c r="T224" s="16" t="s">
        <v>99</v>
      </c>
      <c r="U224" s="17" t="e" cm="1">
        <f t="array" aca="1" ref="U224" ca="1">+U224:Y1019VLOOKUP(RiskRegister[[#This Row],[Residual Impact Level]],'Rating factors'!$F$4:$G$9,2,FALSE)</f>
        <v>#NAME?</v>
      </c>
      <c r="V224" s="16" t="s">
        <v>79</v>
      </c>
      <c r="W224" s="17" t="str">
        <f>VLOOKUP(RiskRegister[[#This Row],[Residual Likelihood Level]],'Rating factors'!$F$16:$G$21,2,FALSE)</f>
        <v>--- Error ---</v>
      </c>
      <c r="X224" s="17" t="str">
        <f ca="1">IFERROR(VLOOKUP(RiskRegister[[#This Row],[Residual Risk Rating]],'Rating factors'!$F$30:$G$44,2,FALSE),"-- Error --")</f>
        <v>-- Error --</v>
      </c>
      <c r="Y224" s="17" t="str">
        <f ca="1">IFERROR(RiskRegister[[#This Row],[Residual Impact Rating]]*RiskRegister[[#This Row],[Residual Likelihood Rating]],"-- Error --")</f>
        <v>-- Error --</v>
      </c>
      <c r="Z224" s="16" t="s">
        <v>100</v>
      </c>
      <c r="AB224" s="39"/>
      <c r="AD224" s="20"/>
    </row>
    <row r="225" spans="1:30" s="16" customFormat="1" hidden="1" x14ac:dyDescent="0.25">
      <c r="A225" s="16">
        <v>222</v>
      </c>
      <c r="G225" s="16" t="s">
        <v>77</v>
      </c>
      <c r="I225" s="16" t="s">
        <v>75</v>
      </c>
      <c r="L225" s="105" t="s">
        <v>99</v>
      </c>
      <c r="M225" s="17" t="str">
        <f>VLOOKUP(RiskRegister[[#This Row],[Inherent Impact LevelL3:L1020D1007L3:L1019]],'Rating factors'!$F$4:$G$9,2,FALSE)</f>
        <v>--- Error ---</v>
      </c>
      <c r="N225" s="16" t="s">
        <v>79</v>
      </c>
      <c r="O225" s="17" t="str">
        <f>VLOOKUP(RiskRegister[[#This Row],[Inherent Likelihood Level]],'Rating factors'!$F$16:$G$21,2,FALSE)</f>
        <v>--- Error ---</v>
      </c>
      <c r="P225" s="17" t="str">
        <f>IFERROR(VLOOKUP(RiskRegister[[#This Row],[Inherent Risk Rating]],'Rating factors'!$F$30:$G$44,2,FALSE),"-- Error --")</f>
        <v>-- Error --</v>
      </c>
      <c r="Q225" s="17" t="str">
        <f>IFERROR(RiskRegister[[#This Row],[Inherent Impact Rating]]*RiskRegister[[#This Row],[Inherent Likelihood Rating]],"-- Error --")</f>
        <v>-- Error --</v>
      </c>
      <c r="R225" s="16" t="s">
        <v>98</v>
      </c>
      <c r="T225" s="16" t="s">
        <v>99</v>
      </c>
      <c r="U225" s="17" t="e" cm="1">
        <f t="array" aca="1" ref="U225" ca="1">+U225:Y1019VLOOKUP(RiskRegister[[#This Row],[Residual Impact Level]],'Rating factors'!$F$4:$G$9,2,FALSE)</f>
        <v>#NAME?</v>
      </c>
      <c r="V225" s="16" t="s">
        <v>79</v>
      </c>
      <c r="W225" s="17" t="str">
        <f>VLOOKUP(RiskRegister[[#This Row],[Residual Likelihood Level]],'Rating factors'!$F$16:$G$21,2,FALSE)</f>
        <v>--- Error ---</v>
      </c>
      <c r="X225" s="17" t="str">
        <f ca="1">IFERROR(VLOOKUP(RiskRegister[[#This Row],[Residual Risk Rating]],'Rating factors'!$F$30:$G$44,2,FALSE),"-- Error --")</f>
        <v>-- Error --</v>
      </c>
      <c r="Y225" s="17" t="str">
        <f ca="1">IFERROR(RiskRegister[[#This Row],[Residual Impact Rating]]*RiskRegister[[#This Row],[Residual Likelihood Rating]],"-- Error --")</f>
        <v>-- Error --</v>
      </c>
      <c r="Z225" s="16" t="s">
        <v>100</v>
      </c>
      <c r="AB225" s="39"/>
      <c r="AD225" s="20"/>
    </row>
    <row r="226" spans="1:30" s="16" customFormat="1" hidden="1" x14ac:dyDescent="0.25">
      <c r="A226" s="16">
        <v>223</v>
      </c>
      <c r="G226" s="16" t="s">
        <v>77</v>
      </c>
      <c r="I226" s="16" t="s">
        <v>75</v>
      </c>
      <c r="L226" s="105" t="s">
        <v>99</v>
      </c>
      <c r="M226" s="17" t="str">
        <f>VLOOKUP(RiskRegister[[#This Row],[Inherent Impact LevelL3:L1020D1007L3:L1019]],'Rating factors'!$F$4:$G$9,2,FALSE)</f>
        <v>--- Error ---</v>
      </c>
      <c r="N226" s="16" t="s">
        <v>79</v>
      </c>
      <c r="O226" s="17" t="str">
        <f>VLOOKUP(RiskRegister[[#This Row],[Inherent Likelihood Level]],'Rating factors'!$F$16:$G$21,2,FALSE)</f>
        <v>--- Error ---</v>
      </c>
      <c r="P226" s="17" t="str">
        <f>IFERROR(VLOOKUP(RiskRegister[[#This Row],[Inherent Risk Rating]],'Rating factors'!$F$30:$G$44,2,FALSE),"-- Error --")</f>
        <v>-- Error --</v>
      </c>
      <c r="Q226" s="17" t="str">
        <f>IFERROR(RiskRegister[[#This Row],[Inherent Impact Rating]]*RiskRegister[[#This Row],[Inherent Likelihood Rating]],"-- Error --")</f>
        <v>-- Error --</v>
      </c>
      <c r="R226" s="16" t="s">
        <v>98</v>
      </c>
      <c r="T226" s="16" t="s">
        <v>99</v>
      </c>
      <c r="U226" s="17" t="e" cm="1">
        <f t="array" aca="1" ref="U226" ca="1">+U226:Y1019VLOOKUP(RiskRegister[[#This Row],[Residual Impact Level]],'Rating factors'!$F$4:$G$9,2,FALSE)</f>
        <v>#NAME?</v>
      </c>
      <c r="V226" s="16" t="s">
        <v>79</v>
      </c>
      <c r="W226" s="17" t="str">
        <f>VLOOKUP(RiskRegister[[#This Row],[Residual Likelihood Level]],'Rating factors'!$F$16:$G$21,2,FALSE)</f>
        <v>--- Error ---</v>
      </c>
      <c r="X226" s="17" t="str">
        <f ca="1">IFERROR(VLOOKUP(RiskRegister[[#This Row],[Residual Risk Rating]],'Rating factors'!$F$30:$G$44,2,FALSE),"-- Error --")</f>
        <v>-- Error --</v>
      </c>
      <c r="Y226" s="17" t="str">
        <f ca="1">IFERROR(RiskRegister[[#This Row],[Residual Impact Rating]]*RiskRegister[[#This Row],[Residual Likelihood Rating]],"-- Error --")</f>
        <v>-- Error --</v>
      </c>
      <c r="Z226" s="16" t="s">
        <v>100</v>
      </c>
      <c r="AB226" s="39"/>
      <c r="AD226" s="20"/>
    </row>
    <row r="227" spans="1:30" s="16" customFormat="1" hidden="1" x14ac:dyDescent="0.25">
      <c r="A227" s="16">
        <v>224</v>
      </c>
      <c r="G227" s="16" t="s">
        <v>77</v>
      </c>
      <c r="I227" s="16" t="s">
        <v>75</v>
      </c>
      <c r="L227" s="105" t="s">
        <v>99</v>
      </c>
      <c r="M227" s="17" t="str">
        <f>VLOOKUP(RiskRegister[[#This Row],[Inherent Impact LevelL3:L1020D1007L3:L1019]],'Rating factors'!$F$4:$G$9,2,FALSE)</f>
        <v>--- Error ---</v>
      </c>
      <c r="N227" s="16" t="s">
        <v>79</v>
      </c>
      <c r="O227" s="17" t="str">
        <f>VLOOKUP(RiskRegister[[#This Row],[Inherent Likelihood Level]],'Rating factors'!$F$16:$G$21,2,FALSE)</f>
        <v>--- Error ---</v>
      </c>
      <c r="P227" s="17" t="str">
        <f>IFERROR(VLOOKUP(RiskRegister[[#This Row],[Inherent Risk Rating]],'Rating factors'!$F$30:$G$44,2,FALSE),"-- Error --")</f>
        <v>-- Error --</v>
      </c>
      <c r="Q227" s="17" t="str">
        <f>IFERROR(RiskRegister[[#This Row],[Inherent Impact Rating]]*RiskRegister[[#This Row],[Inherent Likelihood Rating]],"-- Error --")</f>
        <v>-- Error --</v>
      </c>
      <c r="R227" s="16" t="s">
        <v>98</v>
      </c>
      <c r="T227" s="16" t="s">
        <v>99</v>
      </c>
      <c r="U227" s="17" t="e" cm="1">
        <f t="array" aca="1" ref="U227" ca="1">+U227:Y1019VLOOKUP(RiskRegister[[#This Row],[Residual Impact Level]],'Rating factors'!$F$4:$G$9,2,FALSE)</f>
        <v>#NAME?</v>
      </c>
      <c r="V227" s="16" t="s">
        <v>79</v>
      </c>
      <c r="W227" s="17" t="str">
        <f>VLOOKUP(RiskRegister[[#This Row],[Residual Likelihood Level]],'Rating factors'!$F$16:$G$21,2,FALSE)</f>
        <v>--- Error ---</v>
      </c>
      <c r="X227" s="17" t="str">
        <f ca="1">IFERROR(VLOOKUP(RiskRegister[[#This Row],[Residual Risk Rating]],'Rating factors'!$F$30:$G$44,2,FALSE),"-- Error --")</f>
        <v>-- Error --</v>
      </c>
      <c r="Y227" s="17" t="str">
        <f ca="1">IFERROR(RiskRegister[[#This Row],[Residual Impact Rating]]*RiskRegister[[#This Row],[Residual Likelihood Rating]],"-- Error --")</f>
        <v>-- Error --</v>
      </c>
      <c r="Z227" s="16" t="s">
        <v>100</v>
      </c>
      <c r="AB227" s="39"/>
      <c r="AD227" s="20"/>
    </row>
    <row r="228" spans="1:30" s="16" customFormat="1" hidden="1" x14ac:dyDescent="0.25">
      <c r="A228" s="16">
        <v>225</v>
      </c>
      <c r="G228" s="16" t="s">
        <v>77</v>
      </c>
      <c r="I228" s="16" t="s">
        <v>75</v>
      </c>
      <c r="L228" s="105" t="s">
        <v>99</v>
      </c>
      <c r="M228" s="17" t="str">
        <f>VLOOKUP(RiskRegister[[#This Row],[Inherent Impact LevelL3:L1020D1007L3:L1019]],'Rating factors'!$F$4:$G$9,2,FALSE)</f>
        <v>--- Error ---</v>
      </c>
      <c r="N228" s="16" t="s">
        <v>79</v>
      </c>
      <c r="O228" s="17" t="str">
        <f>VLOOKUP(RiskRegister[[#This Row],[Inherent Likelihood Level]],'Rating factors'!$F$16:$G$21,2,FALSE)</f>
        <v>--- Error ---</v>
      </c>
      <c r="P228" s="17" t="str">
        <f>IFERROR(VLOOKUP(RiskRegister[[#This Row],[Inherent Risk Rating]],'Rating factors'!$F$30:$G$44,2,FALSE),"-- Error --")</f>
        <v>-- Error --</v>
      </c>
      <c r="Q228" s="17" t="str">
        <f>IFERROR(RiskRegister[[#This Row],[Inherent Impact Rating]]*RiskRegister[[#This Row],[Inherent Likelihood Rating]],"-- Error --")</f>
        <v>-- Error --</v>
      </c>
      <c r="R228" s="16" t="s">
        <v>98</v>
      </c>
      <c r="T228" s="16" t="s">
        <v>99</v>
      </c>
      <c r="U228" s="17" t="e" cm="1">
        <f t="array" aca="1" ref="U228" ca="1">+U228:Y1019VLOOKUP(RiskRegister[[#This Row],[Residual Impact Level]],'Rating factors'!$F$4:$G$9,2,FALSE)</f>
        <v>#NAME?</v>
      </c>
      <c r="V228" s="16" t="s">
        <v>79</v>
      </c>
      <c r="W228" s="17" t="str">
        <f>VLOOKUP(RiskRegister[[#This Row],[Residual Likelihood Level]],'Rating factors'!$F$16:$G$21,2,FALSE)</f>
        <v>--- Error ---</v>
      </c>
      <c r="X228" s="17" t="str">
        <f ca="1">IFERROR(VLOOKUP(RiskRegister[[#This Row],[Residual Risk Rating]],'Rating factors'!$F$30:$G$44,2,FALSE),"-- Error --")</f>
        <v>-- Error --</v>
      </c>
      <c r="Y228" s="17" t="str">
        <f ca="1">IFERROR(RiskRegister[[#This Row],[Residual Impact Rating]]*RiskRegister[[#This Row],[Residual Likelihood Rating]],"-- Error --")</f>
        <v>-- Error --</v>
      </c>
      <c r="Z228" s="16" t="s">
        <v>100</v>
      </c>
      <c r="AB228" s="39"/>
      <c r="AD228" s="20"/>
    </row>
    <row r="229" spans="1:30" s="16" customFormat="1" hidden="1" x14ac:dyDescent="0.25">
      <c r="A229" s="16">
        <v>226</v>
      </c>
      <c r="G229" s="16" t="s">
        <v>77</v>
      </c>
      <c r="I229" s="16" t="s">
        <v>75</v>
      </c>
      <c r="L229" s="105" t="s">
        <v>99</v>
      </c>
      <c r="M229" s="17" t="str">
        <f>VLOOKUP(RiskRegister[[#This Row],[Inherent Impact LevelL3:L1020D1007L3:L1019]],'Rating factors'!$F$4:$G$9,2,FALSE)</f>
        <v>--- Error ---</v>
      </c>
      <c r="N229" s="16" t="s">
        <v>79</v>
      </c>
      <c r="O229" s="17" t="str">
        <f>VLOOKUP(RiskRegister[[#This Row],[Inherent Likelihood Level]],'Rating factors'!$F$16:$G$21,2,FALSE)</f>
        <v>--- Error ---</v>
      </c>
      <c r="P229" s="17" t="str">
        <f>IFERROR(VLOOKUP(RiskRegister[[#This Row],[Inherent Risk Rating]],'Rating factors'!$F$30:$G$44,2,FALSE),"-- Error --")</f>
        <v>-- Error --</v>
      </c>
      <c r="Q229" s="17" t="str">
        <f>IFERROR(RiskRegister[[#This Row],[Inherent Impact Rating]]*RiskRegister[[#This Row],[Inherent Likelihood Rating]],"-- Error --")</f>
        <v>-- Error --</v>
      </c>
      <c r="R229" s="16" t="s">
        <v>98</v>
      </c>
      <c r="T229" s="16" t="s">
        <v>99</v>
      </c>
      <c r="U229" s="17" t="e" cm="1">
        <f t="array" aca="1" ref="U229" ca="1">+U229:Y1019VLOOKUP(RiskRegister[[#This Row],[Residual Impact Level]],'Rating factors'!$F$4:$G$9,2,FALSE)</f>
        <v>#NAME?</v>
      </c>
      <c r="V229" s="16" t="s">
        <v>79</v>
      </c>
      <c r="W229" s="17" t="str">
        <f>VLOOKUP(RiskRegister[[#This Row],[Residual Likelihood Level]],'Rating factors'!$F$16:$G$21,2,FALSE)</f>
        <v>--- Error ---</v>
      </c>
      <c r="X229" s="17" t="str">
        <f ca="1">IFERROR(VLOOKUP(RiskRegister[[#This Row],[Residual Risk Rating]],'Rating factors'!$F$30:$G$44,2,FALSE),"-- Error --")</f>
        <v>-- Error --</v>
      </c>
      <c r="Y229" s="17" t="str">
        <f ca="1">IFERROR(RiskRegister[[#This Row],[Residual Impact Rating]]*RiskRegister[[#This Row],[Residual Likelihood Rating]],"-- Error --")</f>
        <v>-- Error --</v>
      </c>
      <c r="Z229" s="16" t="s">
        <v>100</v>
      </c>
      <c r="AB229" s="39"/>
      <c r="AD229" s="20"/>
    </row>
    <row r="230" spans="1:30" s="16" customFormat="1" hidden="1" x14ac:dyDescent="0.25">
      <c r="A230" s="16">
        <v>227</v>
      </c>
      <c r="G230" s="16" t="s">
        <v>77</v>
      </c>
      <c r="I230" s="16" t="s">
        <v>75</v>
      </c>
      <c r="L230" s="105" t="s">
        <v>99</v>
      </c>
      <c r="M230" s="17" t="str">
        <f>VLOOKUP(RiskRegister[[#This Row],[Inherent Impact LevelL3:L1020D1007L3:L1019]],'Rating factors'!$F$4:$G$9,2,FALSE)</f>
        <v>--- Error ---</v>
      </c>
      <c r="N230" s="16" t="s">
        <v>79</v>
      </c>
      <c r="O230" s="17" t="str">
        <f>VLOOKUP(RiskRegister[[#This Row],[Inherent Likelihood Level]],'Rating factors'!$F$16:$G$21,2,FALSE)</f>
        <v>--- Error ---</v>
      </c>
      <c r="P230" s="17" t="str">
        <f>IFERROR(VLOOKUP(RiskRegister[[#This Row],[Inherent Risk Rating]],'Rating factors'!$F$30:$G$44,2,FALSE),"-- Error --")</f>
        <v>-- Error --</v>
      </c>
      <c r="Q230" s="17" t="str">
        <f>IFERROR(RiskRegister[[#This Row],[Inherent Impact Rating]]*RiskRegister[[#This Row],[Inherent Likelihood Rating]],"-- Error --")</f>
        <v>-- Error --</v>
      </c>
      <c r="R230" s="16" t="s">
        <v>98</v>
      </c>
      <c r="T230" s="16" t="s">
        <v>99</v>
      </c>
      <c r="U230" s="17" t="e" cm="1">
        <f t="array" aca="1" ref="U230" ca="1">+U230:Y1019VLOOKUP(RiskRegister[[#This Row],[Residual Impact Level]],'Rating factors'!$F$4:$G$9,2,FALSE)</f>
        <v>#NAME?</v>
      </c>
      <c r="V230" s="16" t="s">
        <v>79</v>
      </c>
      <c r="W230" s="17" t="str">
        <f>VLOOKUP(RiskRegister[[#This Row],[Residual Likelihood Level]],'Rating factors'!$F$16:$G$21,2,FALSE)</f>
        <v>--- Error ---</v>
      </c>
      <c r="X230" s="17" t="str">
        <f ca="1">IFERROR(VLOOKUP(RiskRegister[[#This Row],[Residual Risk Rating]],'Rating factors'!$F$30:$G$44,2,FALSE),"-- Error --")</f>
        <v>-- Error --</v>
      </c>
      <c r="Y230" s="17" t="str">
        <f ca="1">IFERROR(RiskRegister[[#This Row],[Residual Impact Rating]]*RiskRegister[[#This Row],[Residual Likelihood Rating]],"-- Error --")</f>
        <v>-- Error --</v>
      </c>
      <c r="Z230" s="16" t="s">
        <v>100</v>
      </c>
      <c r="AB230" s="39"/>
      <c r="AD230" s="20"/>
    </row>
    <row r="231" spans="1:30" s="16" customFormat="1" hidden="1" x14ac:dyDescent="0.25">
      <c r="A231" s="16">
        <v>228</v>
      </c>
      <c r="G231" s="16" t="s">
        <v>77</v>
      </c>
      <c r="I231" s="16" t="s">
        <v>75</v>
      </c>
      <c r="L231" s="105" t="s">
        <v>99</v>
      </c>
      <c r="M231" s="17" t="str">
        <f>VLOOKUP(RiskRegister[[#This Row],[Inherent Impact LevelL3:L1020D1007L3:L1019]],'Rating factors'!$F$4:$G$9,2,FALSE)</f>
        <v>--- Error ---</v>
      </c>
      <c r="N231" s="16" t="s">
        <v>79</v>
      </c>
      <c r="O231" s="17" t="str">
        <f>VLOOKUP(RiskRegister[[#This Row],[Inherent Likelihood Level]],'Rating factors'!$F$16:$G$21,2,FALSE)</f>
        <v>--- Error ---</v>
      </c>
      <c r="P231" s="17" t="str">
        <f>IFERROR(VLOOKUP(RiskRegister[[#This Row],[Inherent Risk Rating]],'Rating factors'!$F$30:$G$44,2,FALSE),"-- Error --")</f>
        <v>-- Error --</v>
      </c>
      <c r="Q231" s="17" t="str">
        <f>IFERROR(RiskRegister[[#This Row],[Inherent Impact Rating]]*RiskRegister[[#This Row],[Inherent Likelihood Rating]],"-- Error --")</f>
        <v>-- Error --</v>
      </c>
      <c r="R231" s="16" t="s">
        <v>98</v>
      </c>
      <c r="T231" s="16" t="s">
        <v>99</v>
      </c>
      <c r="U231" s="17" t="e" cm="1">
        <f t="array" aca="1" ref="U231" ca="1">+U231:Y1019VLOOKUP(RiskRegister[[#This Row],[Residual Impact Level]],'Rating factors'!$F$4:$G$9,2,FALSE)</f>
        <v>#NAME?</v>
      </c>
      <c r="V231" s="16" t="s">
        <v>79</v>
      </c>
      <c r="W231" s="17" t="str">
        <f>VLOOKUP(RiskRegister[[#This Row],[Residual Likelihood Level]],'Rating factors'!$F$16:$G$21,2,FALSE)</f>
        <v>--- Error ---</v>
      </c>
      <c r="X231" s="17" t="str">
        <f ca="1">IFERROR(VLOOKUP(RiskRegister[[#This Row],[Residual Risk Rating]],'Rating factors'!$F$30:$G$44,2,FALSE),"-- Error --")</f>
        <v>-- Error --</v>
      </c>
      <c r="Y231" s="17" t="str">
        <f ca="1">IFERROR(RiskRegister[[#This Row],[Residual Impact Rating]]*RiskRegister[[#This Row],[Residual Likelihood Rating]],"-- Error --")</f>
        <v>-- Error --</v>
      </c>
      <c r="Z231" s="16" t="s">
        <v>100</v>
      </c>
      <c r="AB231" s="39"/>
      <c r="AD231" s="20"/>
    </row>
    <row r="232" spans="1:30" s="16" customFormat="1" hidden="1" x14ac:dyDescent="0.25">
      <c r="A232" s="16">
        <v>229</v>
      </c>
      <c r="G232" s="16" t="s">
        <v>77</v>
      </c>
      <c r="I232" s="16" t="s">
        <v>75</v>
      </c>
      <c r="L232" s="105" t="s">
        <v>99</v>
      </c>
      <c r="M232" s="17" t="str">
        <f>VLOOKUP(RiskRegister[[#This Row],[Inherent Impact LevelL3:L1020D1007L3:L1019]],'Rating factors'!$F$4:$G$9,2,FALSE)</f>
        <v>--- Error ---</v>
      </c>
      <c r="N232" s="16" t="s">
        <v>79</v>
      </c>
      <c r="O232" s="17" t="str">
        <f>VLOOKUP(RiskRegister[[#This Row],[Inherent Likelihood Level]],'Rating factors'!$F$16:$G$21,2,FALSE)</f>
        <v>--- Error ---</v>
      </c>
      <c r="P232" s="17" t="str">
        <f>IFERROR(VLOOKUP(RiskRegister[[#This Row],[Inherent Risk Rating]],'Rating factors'!$F$30:$G$44,2,FALSE),"-- Error --")</f>
        <v>-- Error --</v>
      </c>
      <c r="Q232" s="17" t="str">
        <f>IFERROR(RiskRegister[[#This Row],[Inherent Impact Rating]]*RiskRegister[[#This Row],[Inherent Likelihood Rating]],"-- Error --")</f>
        <v>-- Error --</v>
      </c>
      <c r="R232" s="16" t="s">
        <v>98</v>
      </c>
      <c r="T232" s="16" t="s">
        <v>99</v>
      </c>
      <c r="U232" s="17" t="e" cm="1">
        <f t="array" aca="1" ref="U232" ca="1">+U232:Y1019VLOOKUP(RiskRegister[[#This Row],[Residual Impact Level]],'Rating factors'!$F$4:$G$9,2,FALSE)</f>
        <v>#NAME?</v>
      </c>
      <c r="V232" s="16" t="s">
        <v>79</v>
      </c>
      <c r="W232" s="17" t="str">
        <f>VLOOKUP(RiskRegister[[#This Row],[Residual Likelihood Level]],'Rating factors'!$F$16:$G$21,2,FALSE)</f>
        <v>--- Error ---</v>
      </c>
      <c r="X232" s="17" t="str">
        <f ca="1">IFERROR(VLOOKUP(RiskRegister[[#This Row],[Residual Risk Rating]],'Rating factors'!$F$30:$G$44,2,FALSE),"-- Error --")</f>
        <v>-- Error --</v>
      </c>
      <c r="Y232" s="17" t="str">
        <f ca="1">IFERROR(RiskRegister[[#This Row],[Residual Impact Rating]]*RiskRegister[[#This Row],[Residual Likelihood Rating]],"-- Error --")</f>
        <v>-- Error --</v>
      </c>
      <c r="Z232" s="16" t="s">
        <v>100</v>
      </c>
      <c r="AB232" s="39"/>
      <c r="AD232" s="20"/>
    </row>
    <row r="233" spans="1:30" s="16" customFormat="1" hidden="1" x14ac:dyDescent="0.25">
      <c r="A233" s="16">
        <v>230</v>
      </c>
      <c r="G233" s="16" t="s">
        <v>77</v>
      </c>
      <c r="I233" s="16" t="s">
        <v>75</v>
      </c>
      <c r="L233" s="105" t="s">
        <v>99</v>
      </c>
      <c r="M233" s="17" t="str">
        <f>VLOOKUP(RiskRegister[[#This Row],[Inherent Impact LevelL3:L1020D1007L3:L1019]],'Rating factors'!$F$4:$G$9,2,FALSE)</f>
        <v>--- Error ---</v>
      </c>
      <c r="N233" s="16" t="s">
        <v>79</v>
      </c>
      <c r="O233" s="17" t="str">
        <f>VLOOKUP(RiskRegister[[#This Row],[Inherent Likelihood Level]],'Rating factors'!$F$16:$G$21,2,FALSE)</f>
        <v>--- Error ---</v>
      </c>
      <c r="P233" s="17" t="str">
        <f>IFERROR(VLOOKUP(RiskRegister[[#This Row],[Inherent Risk Rating]],'Rating factors'!$F$30:$G$44,2,FALSE),"-- Error --")</f>
        <v>-- Error --</v>
      </c>
      <c r="Q233" s="17" t="str">
        <f>IFERROR(RiskRegister[[#This Row],[Inherent Impact Rating]]*RiskRegister[[#This Row],[Inherent Likelihood Rating]],"-- Error --")</f>
        <v>-- Error --</v>
      </c>
      <c r="R233" s="16" t="s">
        <v>98</v>
      </c>
      <c r="T233" s="16" t="s">
        <v>99</v>
      </c>
      <c r="U233" s="17" t="e" cm="1">
        <f t="array" aca="1" ref="U233" ca="1">+U233:Y1019VLOOKUP(RiskRegister[[#This Row],[Residual Impact Level]],'Rating factors'!$F$4:$G$9,2,FALSE)</f>
        <v>#NAME?</v>
      </c>
      <c r="V233" s="16" t="s">
        <v>79</v>
      </c>
      <c r="W233" s="17" t="str">
        <f>VLOOKUP(RiskRegister[[#This Row],[Residual Likelihood Level]],'Rating factors'!$F$16:$G$21,2,FALSE)</f>
        <v>--- Error ---</v>
      </c>
      <c r="X233" s="17" t="str">
        <f ca="1">IFERROR(VLOOKUP(RiskRegister[[#This Row],[Residual Risk Rating]],'Rating factors'!$F$30:$G$44,2,FALSE),"-- Error --")</f>
        <v>-- Error --</v>
      </c>
      <c r="Y233" s="17" t="str">
        <f ca="1">IFERROR(RiskRegister[[#This Row],[Residual Impact Rating]]*RiskRegister[[#This Row],[Residual Likelihood Rating]],"-- Error --")</f>
        <v>-- Error --</v>
      </c>
      <c r="Z233" s="16" t="s">
        <v>100</v>
      </c>
      <c r="AB233" s="39"/>
      <c r="AD233" s="20"/>
    </row>
    <row r="234" spans="1:30" s="16" customFormat="1" hidden="1" x14ac:dyDescent="0.25">
      <c r="A234" s="16">
        <v>231</v>
      </c>
      <c r="G234" s="16" t="s">
        <v>77</v>
      </c>
      <c r="I234" s="16" t="s">
        <v>75</v>
      </c>
      <c r="L234" s="105" t="s">
        <v>99</v>
      </c>
      <c r="M234" s="17" t="str">
        <f>VLOOKUP(RiskRegister[[#This Row],[Inherent Impact LevelL3:L1020D1007L3:L1019]],'Rating factors'!$F$4:$G$9,2,FALSE)</f>
        <v>--- Error ---</v>
      </c>
      <c r="N234" s="16" t="s">
        <v>79</v>
      </c>
      <c r="O234" s="17" t="str">
        <f>VLOOKUP(RiskRegister[[#This Row],[Inherent Likelihood Level]],'Rating factors'!$F$16:$G$21,2,FALSE)</f>
        <v>--- Error ---</v>
      </c>
      <c r="P234" s="17" t="str">
        <f>IFERROR(VLOOKUP(RiskRegister[[#This Row],[Inherent Risk Rating]],'Rating factors'!$F$30:$G$44,2,FALSE),"-- Error --")</f>
        <v>-- Error --</v>
      </c>
      <c r="Q234" s="17" t="str">
        <f>IFERROR(RiskRegister[[#This Row],[Inherent Impact Rating]]*RiskRegister[[#This Row],[Inherent Likelihood Rating]],"-- Error --")</f>
        <v>-- Error --</v>
      </c>
      <c r="R234" s="16" t="s">
        <v>98</v>
      </c>
      <c r="T234" s="16" t="s">
        <v>99</v>
      </c>
      <c r="U234" s="17" t="e" cm="1">
        <f t="array" aca="1" ref="U234" ca="1">+U234:Y1019VLOOKUP(RiskRegister[[#This Row],[Residual Impact Level]],'Rating factors'!$F$4:$G$9,2,FALSE)</f>
        <v>#NAME?</v>
      </c>
      <c r="V234" s="16" t="s">
        <v>79</v>
      </c>
      <c r="W234" s="17" t="str">
        <f>VLOOKUP(RiskRegister[[#This Row],[Residual Likelihood Level]],'Rating factors'!$F$16:$G$21,2,FALSE)</f>
        <v>--- Error ---</v>
      </c>
      <c r="X234" s="17" t="str">
        <f ca="1">IFERROR(VLOOKUP(RiskRegister[[#This Row],[Residual Risk Rating]],'Rating factors'!$F$30:$G$44,2,FALSE),"-- Error --")</f>
        <v>-- Error --</v>
      </c>
      <c r="Y234" s="17" t="str">
        <f ca="1">IFERROR(RiskRegister[[#This Row],[Residual Impact Rating]]*RiskRegister[[#This Row],[Residual Likelihood Rating]],"-- Error --")</f>
        <v>-- Error --</v>
      </c>
      <c r="Z234" s="16" t="s">
        <v>100</v>
      </c>
      <c r="AB234" s="39"/>
      <c r="AD234" s="20"/>
    </row>
    <row r="235" spans="1:30" s="16" customFormat="1" hidden="1" x14ac:dyDescent="0.25">
      <c r="A235" s="16">
        <v>232</v>
      </c>
      <c r="G235" s="16" t="s">
        <v>77</v>
      </c>
      <c r="I235" s="16" t="s">
        <v>75</v>
      </c>
      <c r="L235" s="105" t="s">
        <v>99</v>
      </c>
      <c r="M235" s="17" t="str">
        <f>VLOOKUP(RiskRegister[[#This Row],[Inherent Impact LevelL3:L1020D1007L3:L1019]],'Rating factors'!$F$4:$G$9,2,FALSE)</f>
        <v>--- Error ---</v>
      </c>
      <c r="N235" s="16" t="s">
        <v>79</v>
      </c>
      <c r="O235" s="17" t="str">
        <f>VLOOKUP(RiskRegister[[#This Row],[Inherent Likelihood Level]],'Rating factors'!$F$16:$G$21,2,FALSE)</f>
        <v>--- Error ---</v>
      </c>
      <c r="P235" s="17" t="str">
        <f>IFERROR(VLOOKUP(RiskRegister[[#This Row],[Inherent Risk Rating]],'Rating factors'!$F$30:$G$44,2,FALSE),"-- Error --")</f>
        <v>-- Error --</v>
      </c>
      <c r="Q235" s="17" t="str">
        <f>IFERROR(RiskRegister[[#This Row],[Inherent Impact Rating]]*RiskRegister[[#This Row],[Inherent Likelihood Rating]],"-- Error --")</f>
        <v>-- Error --</v>
      </c>
      <c r="R235" s="16" t="s">
        <v>98</v>
      </c>
      <c r="T235" s="16" t="s">
        <v>99</v>
      </c>
      <c r="U235" s="17" t="e" cm="1">
        <f t="array" aca="1" ref="U235" ca="1">+U235:Y1019VLOOKUP(RiskRegister[[#This Row],[Residual Impact Level]],'Rating factors'!$F$4:$G$9,2,FALSE)</f>
        <v>#NAME?</v>
      </c>
      <c r="V235" s="16" t="s">
        <v>79</v>
      </c>
      <c r="W235" s="17" t="str">
        <f>VLOOKUP(RiskRegister[[#This Row],[Residual Likelihood Level]],'Rating factors'!$F$16:$G$21,2,FALSE)</f>
        <v>--- Error ---</v>
      </c>
      <c r="X235" s="17" t="str">
        <f ca="1">IFERROR(VLOOKUP(RiskRegister[[#This Row],[Residual Risk Rating]],'Rating factors'!$F$30:$G$44,2,FALSE),"-- Error --")</f>
        <v>-- Error --</v>
      </c>
      <c r="Y235" s="17" t="str">
        <f ca="1">IFERROR(RiskRegister[[#This Row],[Residual Impact Rating]]*RiskRegister[[#This Row],[Residual Likelihood Rating]],"-- Error --")</f>
        <v>-- Error --</v>
      </c>
      <c r="Z235" s="16" t="s">
        <v>100</v>
      </c>
      <c r="AB235" s="39"/>
      <c r="AD235" s="20"/>
    </row>
    <row r="236" spans="1:30" s="16" customFormat="1" hidden="1" x14ac:dyDescent="0.25">
      <c r="A236" s="16">
        <v>233</v>
      </c>
      <c r="G236" s="16" t="s">
        <v>77</v>
      </c>
      <c r="I236" s="16" t="s">
        <v>75</v>
      </c>
      <c r="L236" s="105" t="s">
        <v>99</v>
      </c>
      <c r="M236" s="17" t="str">
        <f>VLOOKUP(RiskRegister[[#This Row],[Inherent Impact LevelL3:L1020D1007L3:L1019]],'Rating factors'!$F$4:$G$9,2,FALSE)</f>
        <v>--- Error ---</v>
      </c>
      <c r="N236" s="16" t="s">
        <v>79</v>
      </c>
      <c r="O236" s="17" t="str">
        <f>VLOOKUP(RiskRegister[[#This Row],[Inherent Likelihood Level]],'Rating factors'!$F$16:$G$21,2,FALSE)</f>
        <v>--- Error ---</v>
      </c>
      <c r="P236" s="17" t="str">
        <f>IFERROR(VLOOKUP(RiskRegister[[#This Row],[Inherent Risk Rating]],'Rating factors'!$F$30:$G$44,2,FALSE),"-- Error --")</f>
        <v>-- Error --</v>
      </c>
      <c r="Q236" s="17" t="str">
        <f>IFERROR(RiskRegister[[#This Row],[Inherent Impact Rating]]*RiskRegister[[#This Row],[Inherent Likelihood Rating]],"-- Error --")</f>
        <v>-- Error --</v>
      </c>
      <c r="R236" s="16" t="s">
        <v>98</v>
      </c>
      <c r="T236" s="16" t="s">
        <v>99</v>
      </c>
      <c r="U236" s="17" t="e" cm="1">
        <f t="array" aca="1" ref="U236" ca="1">+U236:Y1019VLOOKUP(RiskRegister[[#This Row],[Residual Impact Level]],'Rating factors'!$F$4:$G$9,2,FALSE)</f>
        <v>#NAME?</v>
      </c>
      <c r="V236" s="16" t="s">
        <v>79</v>
      </c>
      <c r="W236" s="17" t="str">
        <f>VLOOKUP(RiskRegister[[#This Row],[Residual Likelihood Level]],'Rating factors'!$F$16:$G$21,2,FALSE)</f>
        <v>--- Error ---</v>
      </c>
      <c r="X236" s="17" t="str">
        <f ca="1">IFERROR(VLOOKUP(RiskRegister[[#This Row],[Residual Risk Rating]],'Rating factors'!$F$30:$G$44,2,FALSE),"-- Error --")</f>
        <v>-- Error --</v>
      </c>
      <c r="Y236" s="17" t="str">
        <f ca="1">IFERROR(RiskRegister[[#This Row],[Residual Impact Rating]]*RiskRegister[[#This Row],[Residual Likelihood Rating]],"-- Error --")</f>
        <v>-- Error --</v>
      </c>
      <c r="Z236" s="16" t="s">
        <v>100</v>
      </c>
      <c r="AB236" s="39"/>
      <c r="AD236" s="20"/>
    </row>
    <row r="237" spans="1:30" s="16" customFormat="1" hidden="1" x14ac:dyDescent="0.25">
      <c r="A237" s="16">
        <v>234</v>
      </c>
      <c r="G237" s="16" t="s">
        <v>77</v>
      </c>
      <c r="I237" s="16" t="s">
        <v>75</v>
      </c>
      <c r="L237" s="105" t="s">
        <v>99</v>
      </c>
      <c r="M237" s="17" t="str">
        <f>VLOOKUP(RiskRegister[[#This Row],[Inherent Impact LevelL3:L1020D1007L3:L1019]],'Rating factors'!$F$4:$G$9,2,FALSE)</f>
        <v>--- Error ---</v>
      </c>
      <c r="N237" s="16" t="s">
        <v>79</v>
      </c>
      <c r="O237" s="17" t="str">
        <f>VLOOKUP(RiskRegister[[#This Row],[Inherent Likelihood Level]],'Rating factors'!$F$16:$G$21,2,FALSE)</f>
        <v>--- Error ---</v>
      </c>
      <c r="P237" s="17" t="str">
        <f>IFERROR(VLOOKUP(RiskRegister[[#This Row],[Inherent Risk Rating]],'Rating factors'!$F$30:$G$44,2,FALSE),"-- Error --")</f>
        <v>-- Error --</v>
      </c>
      <c r="Q237" s="17" t="str">
        <f>IFERROR(RiskRegister[[#This Row],[Inherent Impact Rating]]*RiskRegister[[#This Row],[Inherent Likelihood Rating]],"-- Error --")</f>
        <v>-- Error --</v>
      </c>
      <c r="R237" s="16" t="s">
        <v>98</v>
      </c>
      <c r="T237" s="16" t="s">
        <v>99</v>
      </c>
      <c r="U237" s="17" t="e" cm="1">
        <f t="array" aca="1" ref="U237" ca="1">+U237:Y1019VLOOKUP(RiskRegister[[#This Row],[Residual Impact Level]],'Rating factors'!$F$4:$G$9,2,FALSE)</f>
        <v>#NAME?</v>
      </c>
      <c r="V237" s="16" t="s">
        <v>79</v>
      </c>
      <c r="W237" s="17" t="str">
        <f>VLOOKUP(RiskRegister[[#This Row],[Residual Likelihood Level]],'Rating factors'!$F$16:$G$21,2,FALSE)</f>
        <v>--- Error ---</v>
      </c>
      <c r="X237" s="17" t="str">
        <f ca="1">IFERROR(VLOOKUP(RiskRegister[[#This Row],[Residual Risk Rating]],'Rating factors'!$F$30:$G$44,2,FALSE),"-- Error --")</f>
        <v>-- Error --</v>
      </c>
      <c r="Y237" s="17" t="str">
        <f ca="1">IFERROR(RiskRegister[[#This Row],[Residual Impact Rating]]*RiskRegister[[#This Row],[Residual Likelihood Rating]],"-- Error --")</f>
        <v>-- Error --</v>
      </c>
      <c r="Z237" s="16" t="s">
        <v>100</v>
      </c>
      <c r="AB237" s="39"/>
      <c r="AD237" s="20"/>
    </row>
    <row r="238" spans="1:30" s="16" customFormat="1" hidden="1" x14ac:dyDescent="0.25">
      <c r="A238" s="16">
        <v>235</v>
      </c>
      <c r="G238" s="16" t="s">
        <v>77</v>
      </c>
      <c r="I238" s="16" t="s">
        <v>75</v>
      </c>
      <c r="L238" s="105" t="s">
        <v>99</v>
      </c>
      <c r="M238" s="17" t="str">
        <f>VLOOKUP(RiskRegister[[#This Row],[Inherent Impact LevelL3:L1020D1007L3:L1019]],'Rating factors'!$F$4:$G$9,2,FALSE)</f>
        <v>--- Error ---</v>
      </c>
      <c r="N238" s="16" t="s">
        <v>79</v>
      </c>
      <c r="O238" s="17" t="str">
        <f>VLOOKUP(RiskRegister[[#This Row],[Inherent Likelihood Level]],'Rating factors'!$F$16:$G$21,2,FALSE)</f>
        <v>--- Error ---</v>
      </c>
      <c r="P238" s="17" t="str">
        <f>IFERROR(VLOOKUP(RiskRegister[[#This Row],[Inherent Risk Rating]],'Rating factors'!$F$30:$G$44,2,FALSE),"-- Error --")</f>
        <v>-- Error --</v>
      </c>
      <c r="Q238" s="17" t="str">
        <f>IFERROR(RiskRegister[[#This Row],[Inherent Impact Rating]]*RiskRegister[[#This Row],[Inherent Likelihood Rating]],"-- Error --")</f>
        <v>-- Error --</v>
      </c>
      <c r="R238" s="16" t="s">
        <v>98</v>
      </c>
      <c r="T238" s="16" t="s">
        <v>99</v>
      </c>
      <c r="U238" s="17" t="e" cm="1">
        <f t="array" aca="1" ref="U238" ca="1">+U238:Y1019VLOOKUP(RiskRegister[[#This Row],[Residual Impact Level]],'Rating factors'!$F$4:$G$9,2,FALSE)</f>
        <v>#NAME?</v>
      </c>
      <c r="V238" s="16" t="s">
        <v>79</v>
      </c>
      <c r="W238" s="17" t="str">
        <f>VLOOKUP(RiskRegister[[#This Row],[Residual Likelihood Level]],'Rating factors'!$F$16:$G$21,2,FALSE)</f>
        <v>--- Error ---</v>
      </c>
      <c r="X238" s="17" t="str">
        <f ca="1">IFERROR(VLOOKUP(RiskRegister[[#This Row],[Residual Risk Rating]],'Rating factors'!$F$30:$G$44,2,FALSE),"-- Error --")</f>
        <v>-- Error --</v>
      </c>
      <c r="Y238" s="17" t="str">
        <f ca="1">IFERROR(RiskRegister[[#This Row],[Residual Impact Rating]]*RiskRegister[[#This Row],[Residual Likelihood Rating]],"-- Error --")</f>
        <v>-- Error --</v>
      </c>
      <c r="Z238" s="16" t="s">
        <v>100</v>
      </c>
      <c r="AB238" s="39"/>
      <c r="AD238" s="20"/>
    </row>
    <row r="239" spans="1:30" s="16" customFormat="1" hidden="1" x14ac:dyDescent="0.25">
      <c r="A239" s="16">
        <v>236</v>
      </c>
      <c r="G239" s="16" t="s">
        <v>77</v>
      </c>
      <c r="I239" s="16" t="s">
        <v>75</v>
      </c>
      <c r="L239" s="105" t="s">
        <v>99</v>
      </c>
      <c r="M239" s="17" t="str">
        <f>VLOOKUP(RiskRegister[[#This Row],[Inherent Impact LevelL3:L1020D1007L3:L1019]],'Rating factors'!$F$4:$G$9,2,FALSE)</f>
        <v>--- Error ---</v>
      </c>
      <c r="N239" s="16" t="s">
        <v>79</v>
      </c>
      <c r="O239" s="17" t="str">
        <f>VLOOKUP(RiskRegister[[#This Row],[Inherent Likelihood Level]],'Rating factors'!$F$16:$G$21,2,FALSE)</f>
        <v>--- Error ---</v>
      </c>
      <c r="P239" s="17" t="str">
        <f>IFERROR(VLOOKUP(RiskRegister[[#This Row],[Inherent Risk Rating]],'Rating factors'!$F$30:$G$44,2,FALSE),"-- Error --")</f>
        <v>-- Error --</v>
      </c>
      <c r="Q239" s="17" t="str">
        <f>IFERROR(RiskRegister[[#This Row],[Inherent Impact Rating]]*RiskRegister[[#This Row],[Inherent Likelihood Rating]],"-- Error --")</f>
        <v>-- Error --</v>
      </c>
      <c r="R239" s="16" t="s">
        <v>98</v>
      </c>
      <c r="T239" s="16" t="s">
        <v>99</v>
      </c>
      <c r="U239" s="17" t="e" cm="1">
        <f t="array" aca="1" ref="U239" ca="1">+U239:Y1019VLOOKUP(RiskRegister[[#This Row],[Residual Impact Level]],'Rating factors'!$F$4:$G$9,2,FALSE)</f>
        <v>#NAME?</v>
      </c>
      <c r="V239" s="16" t="s">
        <v>79</v>
      </c>
      <c r="W239" s="17" t="str">
        <f>VLOOKUP(RiskRegister[[#This Row],[Residual Likelihood Level]],'Rating factors'!$F$16:$G$21,2,FALSE)</f>
        <v>--- Error ---</v>
      </c>
      <c r="X239" s="17" t="str">
        <f ca="1">IFERROR(VLOOKUP(RiskRegister[[#This Row],[Residual Risk Rating]],'Rating factors'!$F$30:$G$44,2,FALSE),"-- Error --")</f>
        <v>-- Error --</v>
      </c>
      <c r="Y239" s="17" t="str">
        <f ca="1">IFERROR(RiskRegister[[#This Row],[Residual Impact Rating]]*RiskRegister[[#This Row],[Residual Likelihood Rating]],"-- Error --")</f>
        <v>-- Error --</v>
      </c>
      <c r="Z239" s="16" t="s">
        <v>100</v>
      </c>
      <c r="AB239" s="39"/>
      <c r="AD239" s="20"/>
    </row>
    <row r="240" spans="1:30" s="16" customFormat="1" hidden="1" x14ac:dyDescent="0.25">
      <c r="A240" s="16">
        <v>237</v>
      </c>
      <c r="G240" s="16" t="s">
        <v>77</v>
      </c>
      <c r="I240" s="16" t="s">
        <v>75</v>
      </c>
      <c r="L240" s="105" t="s">
        <v>99</v>
      </c>
      <c r="M240" s="17" t="str">
        <f>VLOOKUP(RiskRegister[[#This Row],[Inherent Impact LevelL3:L1020D1007L3:L1019]],'Rating factors'!$F$4:$G$9,2,FALSE)</f>
        <v>--- Error ---</v>
      </c>
      <c r="N240" s="16" t="s">
        <v>79</v>
      </c>
      <c r="O240" s="17" t="str">
        <f>VLOOKUP(RiskRegister[[#This Row],[Inherent Likelihood Level]],'Rating factors'!$F$16:$G$21,2,FALSE)</f>
        <v>--- Error ---</v>
      </c>
      <c r="P240" s="17" t="str">
        <f>IFERROR(VLOOKUP(RiskRegister[[#This Row],[Inherent Risk Rating]],'Rating factors'!$F$30:$G$44,2,FALSE),"-- Error --")</f>
        <v>-- Error --</v>
      </c>
      <c r="Q240" s="17" t="str">
        <f>IFERROR(RiskRegister[[#This Row],[Inherent Impact Rating]]*RiskRegister[[#This Row],[Inherent Likelihood Rating]],"-- Error --")</f>
        <v>-- Error --</v>
      </c>
      <c r="R240" s="16" t="s">
        <v>98</v>
      </c>
      <c r="T240" s="16" t="s">
        <v>99</v>
      </c>
      <c r="U240" s="17" t="e" cm="1">
        <f t="array" aca="1" ref="U240" ca="1">+U240:Y1019VLOOKUP(RiskRegister[[#This Row],[Residual Impact Level]],'Rating factors'!$F$4:$G$9,2,FALSE)</f>
        <v>#NAME?</v>
      </c>
      <c r="V240" s="16" t="s">
        <v>79</v>
      </c>
      <c r="W240" s="17" t="str">
        <f>VLOOKUP(RiskRegister[[#This Row],[Residual Likelihood Level]],'Rating factors'!$F$16:$G$21,2,FALSE)</f>
        <v>--- Error ---</v>
      </c>
      <c r="X240" s="17" t="str">
        <f ca="1">IFERROR(VLOOKUP(RiskRegister[[#This Row],[Residual Risk Rating]],'Rating factors'!$F$30:$G$44,2,FALSE),"-- Error --")</f>
        <v>-- Error --</v>
      </c>
      <c r="Y240" s="17" t="str">
        <f ca="1">IFERROR(RiskRegister[[#This Row],[Residual Impact Rating]]*RiskRegister[[#This Row],[Residual Likelihood Rating]],"-- Error --")</f>
        <v>-- Error --</v>
      </c>
      <c r="Z240" s="16" t="s">
        <v>100</v>
      </c>
      <c r="AB240" s="39"/>
      <c r="AD240" s="20"/>
    </row>
    <row r="241" spans="1:30" s="16" customFormat="1" hidden="1" x14ac:dyDescent="0.25">
      <c r="A241" s="16">
        <v>238</v>
      </c>
      <c r="G241" s="16" t="s">
        <v>77</v>
      </c>
      <c r="I241" s="16" t="s">
        <v>75</v>
      </c>
      <c r="L241" s="105" t="s">
        <v>99</v>
      </c>
      <c r="M241" s="17" t="str">
        <f>VLOOKUP(RiskRegister[[#This Row],[Inherent Impact LevelL3:L1020D1007L3:L1019]],'Rating factors'!$F$4:$G$9,2,FALSE)</f>
        <v>--- Error ---</v>
      </c>
      <c r="N241" s="16" t="s">
        <v>79</v>
      </c>
      <c r="O241" s="17" t="str">
        <f>VLOOKUP(RiskRegister[[#This Row],[Inherent Likelihood Level]],'Rating factors'!$F$16:$G$21,2,FALSE)</f>
        <v>--- Error ---</v>
      </c>
      <c r="P241" s="17" t="str">
        <f>IFERROR(VLOOKUP(RiskRegister[[#This Row],[Inherent Risk Rating]],'Rating factors'!$F$30:$G$44,2,FALSE),"-- Error --")</f>
        <v>-- Error --</v>
      </c>
      <c r="Q241" s="17" t="str">
        <f>IFERROR(RiskRegister[[#This Row],[Inherent Impact Rating]]*RiskRegister[[#This Row],[Inherent Likelihood Rating]],"-- Error --")</f>
        <v>-- Error --</v>
      </c>
      <c r="R241" s="16" t="s">
        <v>98</v>
      </c>
      <c r="T241" s="16" t="s">
        <v>99</v>
      </c>
      <c r="U241" s="17" t="e" cm="1">
        <f t="array" aca="1" ref="U241" ca="1">+U241:Y1019VLOOKUP(RiskRegister[[#This Row],[Residual Impact Level]],'Rating factors'!$F$4:$G$9,2,FALSE)</f>
        <v>#NAME?</v>
      </c>
      <c r="V241" s="16" t="s">
        <v>79</v>
      </c>
      <c r="W241" s="17" t="str">
        <f>VLOOKUP(RiskRegister[[#This Row],[Residual Likelihood Level]],'Rating factors'!$F$16:$G$21,2,FALSE)</f>
        <v>--- Error ---</v>
      </c>
      <c r="X241" s="17" t="str">
        <f ca="1">IFERROR(VLOOKUP(RiskRegister[[#This Row],[Residual Risk Rating]],'Rating factors'!$F$30:$G$44,2,FALSE),"-- Error --")</f>
        <v>-- Error --</v>
      </c>
      <c r="Y241" s="17" t="str">
        <f ca="1">IFERROR(RiskRegister[[#This Row],[Residual Impact Rating]]*RiskRegister[[#This Row],[Residual Likelihood Rating]],"-- Error --")</f>
        <v>-- Error --</v>
      </c>
      <c r="Z241" s="16" t="s">
        <v>100</v>
      </c>
      <c r="AB241" s="39"/>
      <c r="AD241" s="20"/>
    </row>
    <row r="242" spans="1:30" s="16" customFormat="1" hidden="1" x14ac:dyDescent="0.25">
      <c r="A242" s="16">
        <v>239</v>
      </c>
      <c r="G242" s="16" t="s">
        <v>77</v>
      </c>
      <c r="I242" s="16" t="s">
        <v>75</v>
      </c>
      <c r="L242" s="105" t="s">
        <v>99</v>
      </c>
      <c r="M242" s="17" t="str">
        <f>VLOOKUP(RiskRegister[[#This Row],[Inherent Impact LevelL3:L1020D1007L3:L1019]],'Rating factors'!$F$4:$G$9,2,FALSE)</f>
        <v>--- Error ---</v>
      </c>
      <c r="N242" s="16" t="s">
        <v>79</v>
      </c>
      <c r="O242" s="17" t="str">
        <f>VLOOKUP(RiskRegister[[#This Row],[Inherent Likelihood Level]],'Rating factors'!$F$16:$G$21,2,FALSE)</f>
        <v>--- Error ---</v>
      </c>
      <c r="P242" s="17" t="str">
        <f>IFERROR(VLOOKUP(RiskRegister[[#This Row],[Inherent Risk Rating]],'Rating factors'!$F$30:$G$44,2,FALSE),"-- Error --")</f>
        <v>-- Error --</v>
      </c>
      <c r="Q242" s="17" t="str">
        <f>IFERROR(RiskRegister[[#This Row],[Inherent Impact Rating]]*RiskRegister[[#This Row],[Inherent Likelihood Rating]],"-- Error --")</f>
        <v>-- Error --</v>
      </c>
      <c r="R242" s="16" t="s">
        <v>98</v>
      </c>
      <c r="T242" s="16" t="s">
        <v>99</v>
      </c>
      <c r="U242" s="17" t="e" cm="1">
        <f t="array" aca="1" ref="U242" ca="1">+U242:Y1019VLOOKUP(RiskRegister[[#This Row],[Residual Impact Level]],'Rating factors'!$F$4:$G$9,2,FALSE)</f>
        <v>#NAME?</v>
      </c>
      <c r="V242" s="16" t="s">
        <v>79</v>
      </c>
      <c r="W242" s="17" t="str">
        <f>VLOOKUP(RiskRegister[[#This Row],[Residual Likelihood Level]],'Rating factors'!$F$16:$G$21,2,FALSE)</f>
        <v>--- Error ---</v>
      </c>
      <c r="X242" s="17" t="str">
        <f ca="1">IFERROR(VLOOKUP(RiskRegister[[#This Row],[Residual Risk Rating]],'Rating factors'!$F$30:$G$44,2,FALSE),"-- Error --")</f>
        <v>-- Error --</v>
      </c>
      <c r="Y242" s="17" t="str">
        <f ca="1">IFERROR(RiskRegister[[#This Row],[Residual Impact Rating]]*RiskRegister[[#This Row],[Residual Likelihood Rating]],"-- Error --")</f>
        <v>-- Error --</v>
      </c>
      <c r="Z242" s="16" t="s">
        <v>100</v>
      </c>
      <c r="AB242" s="39"/>
      <c r="AD242" s="20"/>
    </row>
    <row r="243" spans="1:30" s="16" customFormat="1" hidden="1" x14ac:dyDescent="0.25">
      <c r="A243" s="16">
        <v>240</v>
      </c>
      <c r="G243" s="16" t="s">
        <v>77</v>
      </c>
      <c r="I243" s="16" t="s">
        <v>75</v>
      </c>
      <c r="L243" s="105" t="s">
        <v>99</v>
      </c>
      <c r="M243" s="17" t="str">
        <f>VLOOKUP(RiskRegister[[#This Row],[Inherent Impact LevelL3:L1020D1007L3:L1019]],'Rating factors'!$F$4:$G$9,2,FALSE)</f>
        <v>--- Error ---</v>
      </c>
      <c r="N243" s="16" t="s">
        <v>79</v>
      </c>
      <c r="O243" s="17" t="str">
        <f>VLOOKUP(RiskRegister[[#This Row],[Inherent Likelihood Level]],'Rating factors'!$F$16:$G$21,2,FALSE)</f>
        <v>--- Error ---</v>
      </c>
      <c r="P243" s="17" t="str">
        <f>IFERROR(VLOOKUP(RiskRegister[[#This Row],[Inherent Risk Rating]],'Rating factors'!$F$30:$G$44,2,FALSE),"-- Error --")</f>
        <v>-- Error --</v>
      </c>
      <c r="Q243" s="17" t="str">
        <f>IFERROR(RiskRegister[[#This Row],[Inherent Impact Rating]]*RiskRegister[[#This Row],[Inherent Likelihood Rating]],"-- Error --")</f>
        <v>-- Error --</v>
      </c>
      <c r="R243" s="16" t="s">
        <v>98</v>
      </c>
      <c r="T243" s="16" t="s">
        <v>99</v>
      </c>
      <c r="U243" s="17" t="e" cm="1">
        <f t="array" aca="1" ref="U243" ca="1">+U243:Y1019VLOOKUP(RiskRegister[[#This Row],[Residual Impact Level]],'Rating factors'!$F$4:$G$9,2,FALSE)</f>
        <v>#NAME?</v>
      </c>
      <c r="V243" s="16" t="s">
        <v>79</v>
      </c>
      <c r="W243" s="17" t="str">
        <f>VLOOKUP(RiskRegister[[#This Row],[Residual Likelihood Level]],'Rating factors'!$F$16:$G$21,2,FALSE)</f>
        <v>--- Error ---</v>
      </c>
      <c r="X243" s="17" t="str">
        <f ca="1">IFERROR(VLOOKUP(RiskRegister[[#This Row],[Residual Risk Rating]],'Rating factors'!$F$30:$G$44,2,FALSE),"-- Error --")</f>
        <v>-- Error --</v>
      </c>
      <c r="Y243" s="17" t="str">
        <f ca="1">IFERROR(RiskRegister[[#This Row],[Residual Impact Rating]]*RiskRegister[[#This Row],[Residual Likelihood Rating]],"-- Error --")</f>
        <v>-- Error --</v>
      </c>
      <c r="Z243" s="16" t="s">
        <v>100</v>
      </c>
      <c r="AB243" s="39"/>
      <c r="AD243" s="20"/>
    </row>
    <row r="244" spans="1:30" s="16" customFormat="1" hidden="1" x14ac:dyDescent="0.25">
      <c r="A244" s="16">
        <v>241</v>
      </c>
      <c r="G244" s="16" t="s">
        <v>77</v>
      </c>
      <c r="I244" s="16" t="s">
        <v>75</v>
      </c>
      <c r="L244" s="105" t="s">
        <v>99</v>
      </c>
      <c r="M244" s="17" t="str">
        <f>VLOOKUP(RiskRegister[[#This Row],[Inherent Impact LevelL3:L1020D1007L3:L1019]],'Rating factors'!$F$4:$G$9,2,FALSE)</f>
        <v>--- Error ---</v>
      </c>
      <c r="N244" s="16" t="s">
        <v>79</v>
      </c>
      <c r="O244" s="17" t="str">
        <f>VLOOKUP(RiskRegister[[#This Row],[Inherent Likelihood Level]],'Rating factors'!$F$16:$G$21,2,FALSE)</f>
        <v>--- Error ---</v>
      </c>
      <c r="P244" s="17" t="str">
        <f>IFERROR(VLOOKUP(RiskRegister[[#This Row],[Inherent Risk Rating]],'Rating factors'!$F$30:$G$44,2,FALSE),"-- Error --")</f>
        <v>-- Error --</v>
      </c>
      <c r="Q244" s="17" t="str">
        <f>IFERROR(RiskRegister[[#This Row],[Inherent Impact Rating]]*RiskRegister[[#This Row],[Inherent Likelihood Rating]],"-- Error --")</f>
        <v>-- Error --</v>
      </c>
      <c r="R244" s="16" t="s">
        <v>98</v>
      </c>
      <c r="T244" s="16" t="s">
        <v>99</v>
      </c>
      <c r="U244" s="17" t="e" cm="1">
        <f t="array" aca="1" ref="U244" ca="1">+U244:Y1019VLOOKUP(RiskRegister[[#This Row],[Residual Impact Level]],'Rating factors'!$F$4:$G$9,2,FALSE)</f>
        <v>#NAME?</v>
      </c>
      <c r="V244" s="16" t="s">
        <v>79</v>
      </c>
      <c r="W244" s="17" t="str">
        <f>VLOOKUP(RiskRegister[[#This Row],[Residual Likelihood Level]],'Rating factors'!$F$16:$G$21,2,FALSE)</f>
        <v>--- Error ---</v>
      </c>
      <c r="X244" s="17" t="str">
        <f ca="1">IFERROR(VLOOKUP(RiskRegister[[#This Row],[Residual Risk Rating]],'Rating factors'!$F$30:$G$44,2,FALSE),"-- Error --")</f>
        <v>-- Error --</v>
      </c>
      <c r="Y244" s="17" t="str">
        <f ca="1">IFERROR(RiskRegister[[#This Row],[Residual Impact Rating]]*RiskRegister[[#This Row],[Residual Likelihood Rating]],"-- Error --")</f>
        <v>-- Error --</v>
      </c>
      <c r="Z244" s="16" t="s">
        <v>100</v>
      </c>
      <c r="AB244" s="39"/>
      <c r="AD244" s="20"/>
    </row>
    <row r="245" spans="1:30" s="16" customFormat="1" hidden="1" x14ac:dyDescent="0.25">
      <c r="A245" s="16">
        <v>242</v>
      </c>
      <c r="G245" s="16" t="s">
        <v>77</v>
      </c>
      <c r="I245" s="16" t="s">
        <v>75</v>
      </c>
      <c r="L245" s="105" t="s">
        <v>99</v>
      </c>
      <c r="M245" s="17" t="str">
        <f>VLOOKUP(RiskRegister[[#This Row],[Inherent Impact LevelL3:L1020D1007L3:L1019]],'Rating factors'!$F$4:$G$9,2,FALSE)</f>
        <v>--- Error ---</v>
      </c>
      <c r="N245" s="16" t="s">
        <v>79</v>
      </c>
      <c r="O245" s="17" t="str">
        <f>VLOOKUP(RiskRegister[[#This Row],[Inherent Likelihood Level]],'Rating factors'!$F$16:$G$21,2,FALSE)</f>
        <v>--- Error ---</v>
      </c>
      <c r="P245" s="17" t="str">
        <f>IFERROR(VLOOKUP(RiskRegister[[#This Row],[Inherent Risk Rating]],'Rating factors'!$F$30:$G$44,2,FALSE),"-- Error --")</f>
        <v>-- Error --</v>
      </c>
      <c r="Q245" s="17" t="str">
        <f>IFERROR(RiskRegister[[#This Row],[Inherent Impact Rating]]*RiskRegister[[#This Row],[Inherent Likelihood Rating]],"-- Error --")</f>
        <v>-- Error --</v>
      </c>
      <c r="R245" s="16" t="s">
        <v>98</v>
      </c>
      <c r="T245" s="16" t="s">
        <v>99</v>
      </c>
      <c r="U245" s="17" t="e" cm="1">
        <f t="array" aca="1" ref="U245" ca="1">+U245:Y1019VLOOKUP(RiskRegister[[#This Row],[Residual Impact Level]],'Rating factors'!$F$4:$G$9,2,FALSE)</f>
        <v>#NAME?</v>
      </c>
      <c r="V245" s="16" t="s">
        <v>79</v>
      </c>
      <c r="W245" s="17" t="str">
        <f>VLOOKUP(RiskRegister[[#This Row],[Residual Likelihood Level]],'Rating factors'!$F$16:$G$21,2,FALSE)</f>
        <v>--- Error ---</v>
      </c>
      <c r="X245" s="17" t="str">
        <f ca="1">IFERROR(VLOOKUP(RiskRegister[[#This Row],[Residual Risk Rating]],'Rating factors'!$F$30:$G$44,2,FALSE),"-- Error --")</f>
        <v>-- Error --</v>
      </c>
      <c r="Y245" s="17" t="str">
        <f ca="1">IFERROR(RiskRegister[[#This Row],[Residual Impact Rating]]*RiskRegister[[#This Row],[Residual Likelihood Rating]],"-- Error --")</f>
        <v>-- Error --</v>
      </c>
      <c r="Z245" s="16" t="s">
        <v>100</v>
      </c>
      <c r="AB245" s="39"/>
      <c r="AD245" s="20"/>
    </row>
    <row r="246" spans="1:30" s="16" customFormat="1" hidden="1" x14ac:dyDescent="0.25">
      <c r="A246" s="16">
        <v>243</v>
      </c>
      <c r="G246" s="16" t="s">
        <v>77</v>
      </c>
      <c r="I246" s="16" t="s">
        <v>75</v>
      </c>
      <c r="L246" s="105" t="s">
        <v>99</v>
      </c>
      <c r="M246" s="17" t="str">
        <f>VLOOKUP(RiskRegister[[#This Row],[Inherent Impact LevelL3:L1020D1007L3:L1019]],'Rating factors'!$F$4:$G$9,2,FALSE)</f>
        <v>--- Error ---</v>
      </c>
      <c r="N246" s="16" t="s">
        <v>79</v>
      </c>
      <c r="O246" s="17" t="str">
        <f>VLOOKUP(RiskRegister[[#This Row],[Inherent Likelihood Level]],'Rating factors'!$F$16:$G$21,2,FALSE)</f>
        <v>--- Error ---</v>
      </c>
      <c r="P246" s="17" t="str">
        <f>IFERROR(VLOOKUP(RiskRegister[[#This Row],[Inherent Risk Rating]],'Rating factors'!$F$30:$G$44,2,FALSE),"-- Error --")</f>
        <v>-- Error --</v>
      </c>
      <c r="Q246" s="17" t="str">
        <f>IFERROR(RiskRegister[[#This Row],[Inherent Impact Rating]]*RiskRegister[[#This Row],[Inherent Likelihood Rating]],"-- Error --")</f>
        <v>-- Error --</v>
      </c>
      <c r="R246" s="16" t="s">
        <v>98</v>
      </c>
      <c r="T246" s="16" t="s">
        <v>99</v>
      </c>
      <c r="U246" s="17" t="e" cm="1">
        <f t="array" aca="1" ref="U246" ca="1">+U246:Y1019VLOOKUP(RiskRegister[[#This Row],[Residual Impact Level]],'Rating factors'!$F$4:$G$9,2,FALSE)</f>
        <v>#NAME?</v>
      </c>
      <c r="V246" s="16" t="s">
        <v>79</v>
      </c>
      <c r="W246" s="17" t="str">
        <f>VLOOKUP(RiskRegister[[#This Row],[Residual Likelihood Level]],'Rating factors'!$F$16:$G$21,2,FALSE)</f>
        <v>--- Error ---</v>
      </c>
      <c r="X246" s="17" t="str">
        <f ca="1">IFERROR(VLOOKUP(RiskRegister[[#This Row],[Residual Risk Rating]],'Rating factors'!$F$30:$G$44,2,FALSE),"-- Error --")</f>
        <v>-- Error --</v>
      </c>
      <c r="Y246" s="17" t="str">
        <f ca="1">IFERROR(RiskRegister[[#This Row],[Residual Impact Rating]]*RiskRegister[[#This Row],[Residual Likelihood Rating]],"-- Error --")</f>
        <v>-- Error --</v>
      </c>
      <c r="Z246" s="16" t="s">
        <v>100</v>
      </c>
      <c r="AB246" s="39"/>
      <c r="AD246" s="20"/>
    </row>
    <row r="247" spans="1:30" s="16" customFormat="1" hidden="1" x14ac:dyDescent="0.25">
      <c r="A247" s="16">
        <v>244</v>
      </c>
      <c r="G247" s="16" t="s">
        <v>77</v>
      </c>
      <c r="I247" s="16" t="s">
        <v>75</v>
      </c>
      <c r="L247" s="105" t="s">
        <v>99</v>
      </c>
      <c r="M247" s="17" t="str">
        <f>VLOOKUP(RiskRegister[[#This Row],[Inherent Impact LevelL3:L1020D1007L3:L1019]],'Rating factors'!$F$4:$G$9,2,FALSE)</f>
        <v>--- Error ---</v>
      </c>
      <c r="N247" s="16" t="s">
        <v>79</v>
      </c>
      <c r="O247" s="17" t="str">
        <f>VLOOKUP(RiskRegister[[#This Row],[Inherent Likelihood Level]],'Rating factors'!$F$16:$G$21,2,FALSE)</f>
        <v>--- Error ---</v>
      </c>
      <c r="P247" s="17" t="str">
        <f>IFERROR(VLOOKUP(RiskRegister[[#This Row],[Inherent Risk Rating]],'Rating factors'!$F$30:$G$44,2,FALSE),"-- Error --")</f>
        <v>-- Error --</v>
      </c>
      <c r="Q247" s="17" t="str">
        <f>IFERROR(RiskRegister[[#This Row],[Inherent Impact Rating]]*RiskRegister[[#This Row],[Inherent Likelihood Rating]],"-- Error --")</f>
        <v>-- Error --</v>
      </c>
      <c r="R247" s="16" t="s">
        <v>98</v>
      </c>
      <c r="T247" s="16" t="s">
        <v>99</v>
      </c>
      <c r="U247" s="17" t="e" cm="1">
        <f t="array" aca="1" ref="U247" ca="1">+U247:Y1019VLOOKUP(RiskRegister[[#This Row],[Residual Impact Level]],'Rating factors'!$F$4:$G$9,2,FALSE)</f>
        <v>#NAME?</v>
      </c>
      <c r="V247" s="16" t="s">
        <v>79</v>
      </c>
      <c r="W247" s="17" t="str">
        <f>VLOOKUP(RiskRegister[[#This Row],[Residual Likelihood Level]],'Rating factors'!$F$16:$G$21,2,FALSE)</f>
        <v>--- Error ---</v>
      </c>
      <c r="X247" s="17" t="str">
        <f ca="1">IFERROR(VLOOKUP(RiskRegister[[#This Row],[Residual Risk Rating]],'Rating factors'!$F$30:$G$44,2,FALSE),"-- Error --")</f>
        <v>-- Error --</v>
      </c>
      <c r="Y247" s="17" t="str">
        <f ca="1">IFERROR(RiskRegister[[#This Row],[Residual Impact Rating]]*RiskRegister[[#This Row],[Residual Likelihood Rating]],"-- Error --")</f>
        <v>-- Error --</v>
      </c>
      <c r="Z247" s="16" t="s">
        <v>100</v>
      </c>
      <c r="AB247" s="39"/>
      <c r="AD247" s="20"/>
    </row>
    <row r="248" spans="1:30" s="16" customFormat="1" hidden="1" x14ac:dyDescent="0.25">
      <c r="A248" s="16">
        <v>245</v>
      </c>
      <c r="G248" s="16" t="s">
        <v>77</v>
      </c>
      <c r="I248" s="16" t="s">
        <v>75</v>
      </c>
      <c r="L248" s="105" t="s">
        <v>99</v>
      </c>
      <c r="M248" s="17" t="str">
        <f>VLOOKUP(RiskRegister[[#This Row],[Inherent Impact LevelL3:L1020D1007L3:L1019]],'Rating factors'!$F$4:$G$9,2,FALSE)</f>
        <v>--- Error ---</v>
      </c>
      <c r="N248" s="16" t="s">
        <v>79</v>
      </c>
      <c r="O248" s="17" t="str">
        <f>VLOOKUP(RiskRegister[[#This Row],[Inherent Likelihood Level]],'Rating factors'!$F$16:$G$21,2,FALSE)</f>
        <v>--- Error ---</v>
      </c>
      <c r="P248" s="17" t="str">
        <f>IFERROR(VLOOKUP(RiskRegister[[#This Row],[Inherent Risk Rating]],'Rating factors'!$F$30:$G$44,2,FALSE),"-- Error --")</f>
        <v>-- Error --</v>
      </c>
      <c r="Q248" s="17" t="str">
        <f>IFERROR(RiskRegister[[#This Row],[Inherent Impact Rating]]*RiskRegister[[#This Row],[Inherent Likelihood Rating]],"-- Error --")</f>
        <v>-- Error --</v>
      </c>
      <c r="R248" s="16" t="s">
        <v>98</v>
      </c>
      <c r="T248" s="16" t="s">
        <v>99</v>
      </c>
      <c r="U248" s="17" t="e" cm="1">
        <f t="array" aca="1" ref="U248" ca="1">+U248:Y1019VLOOKUP(RiskRegister[[#This Row],[Residual Impact Level]],'Rating factors'!$F$4:$G$9,2,FALSE)</f>
        <v>#NAME?</v>
      </c>
      <c r="V248" s="16" t="s">
        <v>79</v>
      </c>
      <c r="W248" s="17" t="str">
        <f>VLOOKUP(RiskRegister[[#This Row],[Residual Likelihood Level]],'Rating factors'!$F$16:$G$21,2,FALSE)</f>
        <v>--- Error ---</v>
      </c>
      <c r="X248" s="17" t="str">
        <f ca="1">IFERROR(VLOOKUP(RiskRegister[[#This Row],[Residual Risk Rating]],'Rating factors'!$F$30:$G$44,2,FALSE),"-- Error --")</f>
        <v>-- Error --</v>
      </c>
      <c r="Y248" s="17" t="str">
        <f ca="1">IFERROR(RiskRegister[[#This Row],[Residual Impact Rating]]*RiskRegister[[#This Row],[Residual Likelihood Rating]],"-- Error --")</f>
        <v>-- Error --</v>
      </c>
      <c r="Z248" s="16" t="s">
        <v>100</v>
      </c>
      <c r="AB248" s="39"/>
      <c r="AD248" s="20"/>
    </row>
    <row r="249" spans="1:30" s="16" customFormat="1" hidden="1" x14ac:dyDescent="0.25">
      <c r="A249" s="16">
        <v>246</v>
      </c>
      <c r="G249" s="16" t="s">
        <v>77</v>
      </c>
      <c r="I249" s="16" t="s">
        <v>75</v>
      </c>
      <c r="L249" s="105" t="s">
        <v>99</v>
      </c>
      <c r="M249" s="17" t="str">
        <f>VLOOKUP(RiskRegister[[#This Row],[Inherent Impact LevelL3:L1020D1007L3:L1019]],'Rating factors'!$F$4:$G$9,2,FALSE)</f>
        <v>--- Error ---</v>
      </c>
      <c r="N249" s="16" t="s">
        <v>79</v>
      </c>
      <c r="O249" s="17" t="str">
        <f>VLOOKUP(RiskRegister[[#This Row],[Inherent Likelihood Level]],'Rating factors'!$F$16:$G$21,2,FALSE)</f>
        <v>--- Error ---</v>
      </c>
      <c r="P249" s="17" t="str">
        <f>IFERROR(VLOOKUP(RiskRegister[[#This Row],[Inherent Risk Rating]],'Rating factors'!$F$30:$G$44,2,FALSE),"-- Error --")</f>
        <v>-- Error --</v>
      </c>
      <c r="Q249" s="17" t="str">
        <f>IFERROR(RiskRegister[[#This Row],[Inherent Impact Rating]]*RiskRegister[[#This Row],[Inherent Likelihood Rating]],"-- Error --")</f>
        <v>-- Error --</v>
      </c>
      <c r="R249" s="16" t="s">
        <v>98</v>
      </c>
      <c r="T249" s="16" t="s">
        <v>99</v>
      </c>
      <c r="U249" s="17" t="e" cm="1">
        <f t="array" aca="1" ref="U249" ca="1">+U249:Y1019VLOOKUP(RiskRegister[[#This Row],[Residual Impact Level]],'Rating factors'!$F$4:$G$9,2,FALSE)</f>
        <v>#NAME?</v>
      </c>
      <c r="V249" s="16" t="s">
        <v>79</v>
      </c>
      <c r="W249" s="17" t="str">
        <f>VLOOKUP(RiskRegister[[#This Row],[Residual Likelihood Level]],'Rating factors'!$F$16:$G$21,2,FALSE)</f>
        <v>--- Error ---</v>
      </c>
      <c r="X249" s="17" t="str">
        <f ca="1">IFERROR(VLOOKUP(RiskRegister[[#This Row],[Residual Risk Rating]],'Rating factors'!$F$30:$G$44,2,FALSE),"-- Error --")</f>
        <v>-- Error --</v>
      </c>
      <c r="Y249" s="17" t="str">
        <f ca="1">IFERROR(RiskRegister[[#This Row],[Residual Impact Rating]]*RiskRegister[[#This Row],[Residual Likelihood Rating]],"-- Error --")</f>
        <v>-- Error --</v>
      </c>
      <c r="Z249" s="16" t="s">
        <v>100</v>
      </c>
      <c r="AB249" s="39"/>
      <c r="AD249" s="20"/>
    </row>
    <row r="250" spans="1:30" s="16" customFormat="1" hidden="1" x14ac:dyDescent="0.25">
      <c r="A250" s="16">
        <v>247</v>
      </c>
      <c r="G250" s="16" t="s">
        <v>77</v>
      </c>
      <c r="I250" s="16" t="s">
        <v>75</v>
      </c>
      <c r="L250" s="105" t="s">
        <v>99</v>
      </c>
      <c r="M250" s="17" t="str">
        <f>VLOOKUP(RiskRegister[[#This Row],[Inherent Impact LevelL3:L1020D1007L3:L1019]],'Rating factors'!$F$4:$G$9,2,FALSE)</f>
        <v>--- Error ---</v>
      </c>
      <c r="N250" s="16" t="s">
        <v>79</v>
      </c>
      <c r="O250" s="17" t="str">
        <f>VLOOKUP(RiskRegister[[#This Row],[Inherent Likelihood Level]],'Rating factors'!$F$16:$G$21,2,FALSE)</f>
        <v>--- Error ---</v>
      </c>
      <c r="P250" s="17" t="str">
        <f>IFERROR(VLOOKUP(RiskRegister[[#This Row],[Inherent Risk Rating]],'Rating factors'!$F$30:$G$44,2,FALSE),"-- Error --")</f>
        <v>-- Error --</v>
      </c>
      <c r="Q250" s="17" t="str">
        <f>IFERROR(RiskRegister[[#This Row],[Inherent Impact Rating]]*RiskRegister[[#This Row],[Inherent Likelihood Rating]],"-- Error --")</f>
        <v>-- Error --</v>
      </c>
      <c r="R250" s="16" t="s">
        <v>98</v>
      </c>
      <c r="T250" s="16" t="s">
        <v>99</v>
      </c>
      <c r="U250" s="17" t="e" cm="1">
        <f t="array" aca="1" ref="U250" ca="1">+U250:Y1019VLOOKUP(RiskRegister[[#This Row],[Residual Impact Level]],'Rating factors'!$F$4:$G$9,2,FALSE)</f>
        <v>#NAME?</v>
      </c>
      <c r="V250" s="16" t="s">
        <v>79</v>
      </c>
      <c r="W250" s="17" t="str">
        <f>VLOOKUP(RiskRegister[[#This Row],[Residual Likelihood Level]],'Rating factors'!$F$16:$G$21,2,FALSE)</f>
        <v>--- Error ---</v>
      </c>
      <c r="X250" s="17" t="str">
        <f ca="1">IFERROR(VLOOKUP(RiskRegister[[#This Row],[Residual Risk Rating]],'Rating factors'!$F$30:$G$44,2,FALSE),"-- Error --")</f>
        <v>-- Error --</v>
      </c>
      <c r="Y250" s="17" t="str">
        <f ca="1">IFERROR(RiskRegister[[#This Row],[Residual Impact Rating]]*RiskRegister[[#This Row],[Residual Likelihood Rating]],"-- Error --")</f>
        <v>-- Error --</v>
      </c>
      <c r="Z250" s="16" t="s">
        <v>100</v>
      </c>
      <c r="AB250" s="39"/>
      <c r="AD250" s="20"/>
    </row>
    <row r="251" spans="1:30" s="16" customFormat="1" hidden="1" x14ac:dyDescent="0.25">
      <c r="A251" s="16">
        <v>248</v>
      </c>
      <c r="G251" s="16" t="s">
        <v>77</v>
      </c>
      <c r="I251" s="16" t="s">
        <v>75</v>
      </c>
      <c r="L251" s="105" t="s">
        <v>99</v>
      </c>
      <c r="M251" s="17" t="str">
        <f>VLOOKUP(RiskRegister[[#This Row],[Inherent Impact LevelL3:L1020D1007L3:L1019]],'Rating factors'!$F$4:$G$9,2,FALSE)</f>
        <v>--- Error ---</v>
      </c>
      <c r="N251" s="16" t="s">
        <v>79</v>
      </c>
      <c r="O251" s="17" t="str">
        <f>VLOOKUP(RiskRegister[[#This Row],[Inherent Likelihood Level]],'Rating factors'!$F$16:$G$21,2,FALSE)</f>
        <v>--- Error ---</v>
      </c>
      <c r="P251" s="17" t="str">
        <f>IFERROR(VLOOKUP(RiskRegister[[#This Row],[Inherent Risk Rating]],'Rating factors'!$F$30:$G$44,2,FALSE),"-- Error --")</f>
        <v>-- Error --</v>
      </c>
      <c r="Q251" s="17" t="str">
        <f>IFERROR(RiskRegister[[#This Row],[Inherent Impact Rating]]*RiskRegister[[#This Row],[Inherent Likelihood Rating]],"-- Error --")</f>
        <v>-- Error --</v>
      </c>
      <c r="R251" s="16" t="s">
        <v>98</v>
      </c>
      <c r="T251" s="16" t="s">
        <v>99</v>
      </c>
      <c r="U251" s="17" t="e" cm="1">
        <f t="array" aca="1" ref="U251" ca="1">+U251:Y1019VLOOKUP(RiskRegister[[#This Row],[Residual Impact Level]],'Rating factors'!$F$4:$G$9,2,FALSE)</f>
        <v>#NAME?</v>
      </c>
      <c r="V251" s="16" t="s">
        <v>79</v>
      </c>
      <c r="W251" s="17" t="str">
        <f>VLOOKUP(RiskRegister[[#This Row],[Residual Likelihood Level]],'Rating factors'!$F$16:$G$21,2,FALSE)</f>
        <v>--- Error ---</v>
      </c>
      <c r="X251" s="17" t="str">
        <f ca="1">IFERROR(VLOOKUP(RiskRegister[[#This Row],[Residual Risk Rating]],'Rating factors'!$F$30:$G$44,2,FALSE),"-- Error --")</f>
        <v>-- Error --</v>
      </c>
      <c r="Y251" s="17" t="str">
        <f ca="1">IFERROR(RiskRegister[[#This Row],[Residual Impact Rating]]*RiskRegister[[#This Row],[Residual Likelihood Rating]],"-- Error --")</f>
        <v>-- Error --</v>
      </c>
      <c r="Z251" s="16" t="s">
        <v>100</v>
      </c>
      <c r="AB251" s="39"/>
      <c r="AD251" s="20"/>
    </row>
    <row r="252" spans="1:30" s="16" customFormat="1" hidden="1" x14ac:dyDescent="0.25">
      <c r="A252" s="16">
        <v>249</v>
      </c>
      <c r="G252" s="16" t="s">
        <v>77</v>
      </c>
      <c r="I252" s="16" t="s">
        <v>75</v>
      </c>
      <c r="L252" s="105" t="s">
        <v>99</v>
      </c>
      <c r="M252" s="17" t="str">
        <f>VLOOKUP(RiskRegister[[#This Row],[Inherent Impact LevelL3:L1020D1007L3:L1019]],'Rating factors'!$F$4:$G$9,2,FALSE)</f>
        <v>--- Error ---</v>
      </c>
      <c r="N252" s="16" t="s">
        <v>79</v>
      </c>
      <c r="O252" s="17" t="str">
        <f>VLOOKUP(RiskRegister[[#This Row],[Inherent Likelihood Level]],'Rating factors'!$F$16:$G$21,2,FALSE)</f>
        <v>--- Error ---</v>
      </c>
      <c r="P252" s="17" t="str">
        <f>IFERROR(VLOOKUP(RiskRegister[[#This Row],[Inherent Risk Rating]],'Rating factors'!$F$30:$G$44,2,FALSE),"-- Error --")</f>
        <v>-- Error --</v>
      </c>
      <c r="Q252" s="17" t="str">
        <f>IFERROR(RiskRegister[[#This Row],[Inherent Impact Rating]]*RiskRegister[[#This Row],[Inherent Likelihood Rating]],"-- Error --")</f>
        <v>-- Error --</v>
      </c>
      <c r="R252" s="16" t="s">
        <v>98</v>
      </c>
      <c r="T252" s="16" t="s">
        <v>99</v>
      </c>
      <c r="U252" s="17" t="e" cm="1">
        <f t="array" aca="1" ref="U252" ca="1">+U252:Y1019VLOOKUP(RiskRegister[[#This Row],[Residual Impact Level]],'Rating factors'!$F$4:$G$9,2,FALSE)</f>
        <v>#NAME?</v>
      </c>
      <c r="V252" s="16" t="s">
        <v>79</v>
      </c>
      <c r="W252" s="17" t="str">
        <f>VLOOKUP(RiskRegister[[#This Row],[Residual Likelihood Level]],'Rating factors'!$F$16:$G$21,2,FALSE)</f>
        <v>--- Error ---</v>
      </c>
      <c r="X252" s="17" t="str">
        <f ca="1">IFERROR(VLOOKUP(RiskRegister[[#This Row],[Residual Risk Rating]],'Rating factors'!$F$30:$G$44,2,FALSE),"-- Error --")</f>
        <v>-- Error --</v>
      </c>
      <c r="Y252" s="17" t="str">
        <f ca="1">IFERROR(RiskRegister[[#This Row],[Residual Impact Rating]]*RiskRegister[[#This Row],[Residual Likelihood Rating]],"-- Error --")</f>
        <v>-- Error --</v>
      </c>
      <c r="Z252" s="16" t="s">
        <v>100</v>
      </c>
      <c r="AB252" s="39"/>
      <c r="AD252" s="20"/>
    </row>
    <row r="253" spans="1:30" s="16" customFormat="1" hidden="1" x14ac:dyDescent="0.25">
      <c r="A253" s="16">
        <v>250</v>
      </c>
      <c r="G253" s="16" t="s">
        <v>77</v>
      </c>
      <c r="I253" s="16" t="s">
        <v>75</v>
      </c>
      <c r="L253" s="105" t="s">
        <v>99</v>
      </c>
      <c r="M253" s="17" t="str">
        <f>VLOOKUP(RiskRegister[[#This Row],[Inherent Impact LevelL3:L1020D1007L3:L1019]],'Rating factors'!$F$4:$G$9,2,FALSE)</f>
        <v>--- Error ---</v>
      </c>
      <c r="N253" s="16" t="s">
        <v>79</v>
      </c>
      <c r="O253" s="17" t="str">
        <f>VLOOKUP(RiskRegister[[#This Row],[Inherent Likelihood Level]],'Rating factors'!$F$16:$G$21,2,FALSE)</f>
        <v>--- Error ---</v>
      </c>
      <c r="P253" s="17" t="str">
        <f>IFERROR(VLOOKUP(RiskRegister[[#This Row],[Inherent Risk Rating]],'Rating factors'!$F$30:$G$44,2,FALSE),"-- Error --")</f>
        <v>-- Error --</v>
      </c>
      <c r="Q253" s="17" t="str">
        <f>IFERROR(RiskRegister[[#This Row],[Inherent Impact Rating]]*RiskRegister[[#This Row],[Inherent Likelihood Rating]],"-- Error --")</f>
        <v>-- Error --</v>
      </c>
      <c r="R253" s="16" t="s">
        <v>98</v>
      </c>
      <c r="T253" s="16" t="s">
        <v>99</v>
      </c>
      <c r="U253" s="17" t="e" cm="1">
        <f t="array" aca="1" ref="U253" ca="1">+U253:Y1019VLOOKUP(RiskRegister[[#This Row],[Residual Impact Level]],'Rating factors'!$F$4:$G$9,2,FALSE)</f>
        <v>#NAME?</v>
      </c>
      <c r="V253" s="16" t="s">
        <v>79</v>
      </c>
      <c r="W253" s="17" t="str">
        <f>VLOOKUP(RiskRegister[[#This Row],[Residual Likelihood Level]],'Rating factors'!$F$16:$G$21,2,FALSE)</f>
        <v>--- Error ---</v>
      </c>
      <c r="X253" s="17" t="str">
        <f ca="1">IFERROR(VLOOKUP(RiskRegister[[#This Row],[Residual Risk Rating]],'Rating factors'!$F$30:$G$44,2,FALSE),"-- Error --")</f>
        <v>-- Error --</v>
      </c>
      <c r="Y253" s="17" t="str">
        <f ca="1">IFERROR(RiskRegister[[#This Row],[Residual Impact Rating]]*RiskRegister[[#This Row],[Residual Likelihood Rating]],"-- Error --")</f>
        <v>-- Error --</v>
      </c>
      <c r="Z253" s="16" t="s">
        <v>100</v>
      </c>
      <c r="AB253" s="39"/>
      <c r="AD253" s="20"/>
    </row>
    <row r="254" spans="1:30" s="16" customFormat="1" hidden="1" x14ac:dyDescent="0.25">
      <c r="A254" s="16">
        <v>251</v>
      </c>
      <c r="G254" s="16" t="s">
        <v>77</v>
      </c>
      <c r="I254" s="16" t="s">
        <v>75</v>
      </c>
      <c r="L254" s="105" t="s">
        <v>99</v>
      </c>
      <c r="M254" s="17" t="str">
        <f>VLOOKUP(RiskRegister[[#This Row],[Inherent Impact LevelL3:L1020D1007L3:L1019]],'Rating factors'!$F$4:$G$9,2,FALSE)</f>
        <v>--- Error ---</v>
      </c>
      <c r="N254" s="16" t="s">
        <v>79</v>
      </c>
      <c r="O254" s="17" t="str">
        <f>VLOOKUP(RiskRegister[[#This Row],[Inherent Likelihood Level]],'Rating factors'!$F$16:$G$21,2,FALSE)</f>
        <v>--- Error ---</v>
      </c>
      <c r="P254" s="17" t="str">
        <f>IFERROR(VLOOKUP(RiskRegister[[#This Row],[Inherent Risk Rating]],'Rating factors'!$F$30:$G$44,2,FALSE),"-- Error --")</f>
        <v>-- Error --</v>
      </c>
      <c r="Q254" s="17" t="str">
        <f>IFERROR(RiskRegister[[#This Row],[Inherent Impact Rating]]*RiskRegister[[#This Row],[Inherent Likelihood Rating]],"-- Error --")</f>
        <v>-- Error --</v>
      </c>
      <c r="R254" s="16" t="s">
        <v>98</v>
      </c>
      <c r="T254" s="16" t="s">
        <v>99</v>
      </c>
      <c r="U254" s="17" t="e" cm="1">
        <f t="array" aca="1" ref="U254" ca="1">+U254:Y1019VLOOKUP(RiskRegister[[#This Row],[Residual Impact Level]],'Rating factors'!$F$4:$G$9,2,FALSE)</f>
        <v>#NAME?</v>
      </c>
      <c r="V254" s="16" t="s">
        <v>79</v>
      </c>
      <c r="W254" s="17" t="str">
        <f>VLOOKUP(RiskRegister[[#This Row],[Residual Likelihood Level]],'Rating factors'!$F$16:$G$21,2,FALSE)</f>
        <v>--- Error ---</v>
      </c>
      <c r="X254" s="17" t="str">
        <f ca="1">IFERROR(VLOOKUP(RiskRegister[[#This Row],[Residual Risk Rating]],'Rating factors'!$F$30:$G$44,2,FALSE),"-- Error --")</f>
        <v>-- Error --</v>
      </c>
      <c r="Y254" s="17" t="str">
        <f ca="1">IFERROR(RiskRegister[[#This Row],[Residual Impact Rating]]*RiskRegister[[#This Row],[Residual Likelihood Rating]],"-- Error --")</f>
        <v>-- Error --</v>
      </c>
      <c r="Z254" s="16" t="s">
        <v>100</v>
      </c>
      <c r="AB254" s="39"/>
      <c r="AD254" s="20"/>
    </row>
    <row r="255" spans="1:30" s="16" customFormat="1" hidden="1" x14ac:dyDescent="0.25">
      <c r="A255" s="16">
        <v>252</v>
      </c>
      <c r="G255" s="16" t="s">
        <v>77</v>
      </c>
      <c r="I255" s="16" t="s">
        <v>75</v>
      </c>
      <c r="L255" s="105" t="s">
        <v>99</v>
      </c>
      <c r="M255" s="17" t="str">
        <f>VLOOKUP(RiskRegister[[#This Row],[Inherent Impact LevelL3:L1020D1007L3:L1019]],'Rating factors'!$F$4:$G$9,2,FALSE)</f>
        <v>--- Error ---</v>
      </c>
      <c r="N255" s="16" t="s">
        <v>79</v>
      </c>
      <c r="O255" s="17" t="str">
        <f>VLOOKUP(RiskRegister[[#This Row],[Inherent Likelihood Level]],'Rating factors'!$F$16:$G$21,2,FALSE)</f>
        <v>--- Error ---</v>
      </c>
      <c r="P255" s="17" t="str">
        <f>IFERROR(VLOOKUP(RiskRegister[[#This Row],[Inherent Risk Rating]],'Rating factors'!$F$30:$G$44,2,FALSE),"-- Error --")</f>
        <v>-- Error --</v>
      </c>
      <c r="Q255" s="17" t="str">
        <f>IFERROR(RiskRegister[[#This Row],[Inherent Impact Rating]]*RiskRegister[[#This Row],[Inherent Likelihood Rating]],"-- Error --")</f>
        <v>-- Error --</v>
      </c>
      <c r="R255" s="16" t="s">
        <v>98</v>
      </c>
      <c r="T255" s="16" t="s">
        <v>99</v>
      </c>
      <c r="U255" s="17" t="e" cm="1">
        <f t="array" aca="1" ref="U255" ca="1">+U255:Y1019VLOOKUP(RiskRegister[[#This Row],[Residual Impact Level]],'Rating factors'!$F$4:$G$9,2,FALSE)</f>
        <v>#NAME?</v>
      </c>
      <c r="V255" s="16" t="s">
        <v>79</v>
      </c>
      <c r="W255" s="17" t="str">
        <f>VLOOKUP(RiskRegister[[#This Row],[Residual Likelihood Level]],'Rating factors'!$F$16:$G$21,2,FALSE)</f>
        <v>--- Error ---</v>
      </c>
      <c r="X255" s="17" t="str">
        <f ca="1">IFERROR(VLOOKUP(RiskRegister[[#This Row],[Residual Risk Rating]],'Rating factors'!$F$30:$G$44,2,FALSE),"-- Error --")</f>
        <v>-- Error --</v>
      </c>
      <c r="Y255" s="17" t="str">
        <f ca="1">IFERROR(RiskRegister[[#This Row],[Residual Impact Rating]]*RiskRegister[[#This Row],[Residual Likelihood Rating]],"-- Error --")</f>
        <v>-- Error --</v>
      </c>
      <c r="Z255" s="16" t="s">
        <v>100</v>
      </c>
      <c r="AB255" s="39"/>
      <c r="AD255" s="20"/>
    </row>
    <row r="256" spans="1:30" s="16" customFormat="1" hidden="1" x14ac:dyDescent="0.25">
      <c r="A256" s="16">
        <v>253</v>
      </c>
      <c r="G256" s="16" t="s">
        <v>77</v>
      </c>
      <c r="I256" s="16" t="s">
        <v>75</v>
      </c>
      <c r="L256" s="105" t="s">
        <v>99</v>
      </c>
      <c r="M256" s="17" t="str">
        <f>VLOOKUP(RiskRegister[[#This Row],[Inherent Impact LevelL3:L1020D1007L3:L1019]],'Rating factors'!$F$4:$G$9,2,FALSE)</f>
        <v>--- Error ---</v>
      </c>
      <c r="N256" s="16" t="s">
        <v>79</v>
      </c>
      <c r="O256" s="17" t="str">
        <f>VLOOKUP(RiskRegister[[#This Row],[Inherent Likelihood Level]],'Rating factors'!$F$16:$G$21,2,FALSE)</f>
        <v>--- Error ---</v>
      </c>
      <c r="P256" s="17" t="str">
        <f>IFERROR(VLOOKUP(RiskRegister[[#This Row],[Inherent Risk Rating]],'Rating factors'!$F$30:$G$44,2,FALSE),"-- Error --")</f>
        <v>-- Error --</v>
      </c>
      <c r="Q256" s="17" t="str">
        <f>IFERROR(RiskRegister[[#This Row],[Inherent Impact Rating]]*RiskRegister[[#This Row],[Inherent Likelihood Rating]],"-- Error --")</f>
        <v>-- Error --</v>
      </c>
      <c r="R256" s="16" t="s">
        <v>98</v>
      </c>
      <c r="T256" s="16" t="s">
        <v>99</v>
      </c>
      <c r="U256" s="17" t="e" cm="1">
        <f t="array" aca="1" ref="U256" ca="1">+U256:Y1019VLOOKUP(RiskRegister[[#This Row],[Residual Impact Level]],'Rating factors'!$F$4:$G$9,2,FALSE)</f>
        <v>#NAME?</v>
      </c>
      <c r="V256" s="16" t="s">
        <v>79</v>
      </c>
      <c r="W256" s="17" t="str">
        <f>VLOOKUP(RiskRegister[[#This Row],[Residual Likelihood Level]],'Rating factors'!$F$16:$G$21,2,FALSE)</f>
        <v>--- Error ---</v>
      </c>
      <c r="X256" s="17" t="str">
        <f ca="1">IFERROR(VLOOKUP(RiskRegister[[#This Row],[Residual Risk Rating]],'Rating factors'!$F$30:$G$44,2,FALSE),"-- Error --")</f>
        <v>-- Error --</v>
      </c>
      <c r="Y256" s="17" t="str">
        <f ca="1">IFERROR(RiskRegister[[#This Row],[Residual Impact Rating]]*RiskRegister[[#This Row],[Residual Likelihood Rating]],"-- Error --")</f>
        <v>-- Error --</v>
      </c>
      <c r="Z256" s="16" t="s">
        <v>100</v>
      </c>
      <c r="AB256" s="39"/>
      <c r="AD256" s="20"/>
    </row>
    <row r="257" spans="1:30" s="16" customFormat="1" hidden="1" x14ac:dyDescent="0.25">
      <c r="A257" s="16">
        <v>254</v>
      </c>
      <c r="G257" s="16" t="s">
        <v>77</v>
      </c>
      <c r="I257" s="16" t="s">
        <v>75</v>
      </c>
      <c r="L257" s="105" t="s">
        <v>99</v>
      </c>
      <c r="M257" s="17" t="str">
        <f>VLOOKUP(RiskRegister[[#This Row],[Inherent Impact LevelL3:L1020D1007L3:L1019]],'Rating factors'!$F$4:$G$9,2,FALSE)</f>
        <v>--- Error ---</v>
      </c>
      <c r="N257" s="16" t="s">
        <v>79</v>
      </c>
      <c r="O257" s="17" t="str">
        <f>VLOOKUP(RiskRegister[[#This Row],[Inherent Likelihood Level]],'Rating factors'!$F$16:$G$21,2,FALSE)</f>
        <v>--- Error ---</v>
      </c>
      <c r="P257" s="17" t="str">
        <f>IFERROR(VLOOKUP(RiskRegister[[#This Row],[Inherent Risk Rating]],'Rating factors'!$F$30:$G$44,2,FALSE),"-- Error --")</f>
        <v>-- Error --</v>
      </c>
      <c r="Q257" s="17" t="str">
        <f>IFERROR(RiskRegister[[#This Row],[Inherent Impact Rating]]*RiskRegister[[#This Row],[Inherent Likelihood Rating]],"-- Error --")</f>
        <v>-- Error --</v>
      </c>
      <c r="R257" s="16" t="s">
        <v>98</v>
      </c>
      <c r="T257" s="16" t="s">
        <v>99</v>
      </c>
      <c r="U257" s="17" t="e" cm="1">
        <f t="array" aca="1" ref="U257" ca="1">+U257:Y1019VLOOKUP(RiskRegister[[#This Row],[Residual Impact Level]],'Rating factors'!$F$4:$G$9,2,FALSE)</f>
        <v>#NAME?</v>
      </c>
      <c r="V257" s="16" t="s">
        <v>79</v>
      </c>
      <c r="W257" s="17" t="str">
        <f>VLOOKUP(RiskRegister[[#This Row],[Residual Likelihood Level]],'Rating factors'!$F$16:$G$21,2,FALSE)</f>
        <v>--- Error ---</v>
      </c>
      <c r="X257" s="17" t="str">
        <f ca="1">IFERROR(VLOOKUP(RiskRegister[[#This Row],[Residual Risk Rating]],'Rating factors'!$F$30:$G$44,2,FALSE),"-- Error --")</f>
        <v>-- Error --</v>
      </c>
      <c r="Y257" s="17" t="str">
        <f ca="1">IFERROR(RiskRegister[[#This Row],[Residual Impact Rating]]*RiskRegister[[#This Row],[Residual Likelihood Rating]],"-- Error --")</f>
        <v>-- Error --</v>
      </c>
      <c r="Z257" s="16" t="s">
        <v>100</v>
      </c>
      <c r="AB257" s="39"/>
      <c r="AD257" s="20"/>
    </row>
    <row r="258" spans="1:30" s="16" customFormat="1" hidden="1" x14ac:dyDescent="0.25">
      <c r="A258" s="16">
        <v>255</v>
      </c>
      <c r="G258" s="16" t="s">
        <v>77</v>
      </c>
      <c r="I258" s="16" t="s">
        <v>75</v>
      </c>
      <c r="L258" s="105" t="s">
        <v>99</v>
      </c>
      <c r="M258" s="17" t="str">
        <f>VLOOKUP(RiskRegister[[#This Row],[Inherent Impact LevelL3:L1020D1007L3:L1019]],'Rating factors'!$F$4:$G$9,2,FALSE)</f>
        <v>--- Error ---</v>
      </c>
      <c r="N258" s="16" t="s">
        <v>79</v>
      </c>
      <c r="O258" s="17" t="str">
        <f>VLOOKUP(RiskRegister[[#This Row],[Inherent Likelihood Level]],'Rating factors'!$F$16:$G$21,2,FALSE)</f>
        <v>--- Error ---</v>
      </c>
      <c r="P258" s="17" t="str">
        <f>IFERROR(VLOOKUP(RiskRegister[[#This Row],[Inherent Risk Rating]],'Rating factors'!$F$30:$G$44,2,FALSE),"-- Error --")</f>
        <v>-- Error --</v>
      </c>
      <c r="Q258" s="17" t="str">
        <f>IFERROR(RiskRegister[[#This Row],[Inherent Impact Rating]]*RiskRegister[[#This Row],[Inherent Likelihood Rating]],"-- Error --")</f>
        <v>-- Error --</v>
      </c>
      <c r="R258" s="16" t="s">
        <v>98</v>
      </c>
      <c r="T258" s="16" t="s">
        <v>99</v>
      </c>
      <c r="U258" s="17" t="e" cm="1">
        <f t="array" aca="1" ref="U258" ca="1">+U258:Y1019VLOOKUP(RiskRegister[[#This Row],[Residual Impact Level]],'Rating factors'!$F$4:$G$9,2,FALSE)</f>
        <v>#NAME?</v>
      </c>
      <c r="V258" s="16" t="s">
        <v>79</v>
      </c>
      <c r="W258" s="17" t="str">
        <f>VLOOKUP(RiskRegister[[#This Row],[Residual Likelihood Level]],'Rating factors'!$F$16:$G$21,2,FALSE)</f>
        <v>--- Error ---</v>
      </c>
      <c r="X258" s="17" t="str">
        <f ca="1">IFERROR(VLOOKUP(RiskRegister[[#This Row],[Residual Risk Rating]],'Rating factors'!$F$30:$G$44,2,FALSE),"-- Error --")</f>
        <v>-- Error --</v>
      </c>
      <c r="Y258" s="17" t="str">
        <f ca="1">IFERROR(RiskRegister[[#This Row],[Residual Impact Rating]]*RiskRegister[[#This Row],[Residual Likelihood Rating]],"-- Error --")</f>
        <v>-- Error --</v>
      </c>
      <c r="Z258" s="16" t="s">
        <v>100</v>
      </c>
      <c r="AB258" s="39"/>
      <c r="AD258" s="20"/>
    </row>
    <row r="259" spans="1:30" s="16" customFormat="1" hidden="1" x14ac:dyDescent="0.25">
      <c r="A259" s="16">
        <v>256</v>
      </c>
      <c r="G259" s="16" t="s">
        <v>77</v>
      </c>
      <c r="I259" s="16" t="s">
        <v>75</v>
      </c>
      <c r="L259" s="105" t="s">
        <v>99</v>
      </c>
      <c r="M259" s="17" t="str">
        <f>VLOOKUP(RiskRegister[[#This Row],[Inherent Impact LevelL3:L1020D1007L3:L1019]],'Rating factors'!$F$4:$G$9,2,FALSE)</f>
        <v>--- Error ---</v>
      </c>
      <c r="N259" s="16" t="s">
        <v>79</v>
      </c>
      <c r="O259" s="17" t="str">
        <f>VLOOKUP(RiskRegister[[#This Row],[Inherent Likelihood Level]],'Rating factors'!$F$16:$G$21,2,FALSE)</f>
        <v>--- Error ---</v>
      </c>
      <c r="P259" s="17" t="str">
        <f>IFERROR(VLOOKUP(RiskRegister[[#This Row],[Inherent Risk Rating]],'Rating factors'!$F$30:$G$44,2,FALSE),"-- Error --")</f>
        <v>-- Error --</v>
      </c>
      <c r="Q259" s="17" t="str">
        <f>IFERROR(RiskRegister[[#This Row],[Inherent Impact Rating]]*RiskRegister[[#This Row],[Inherent Likelihood Rating]],"-- Error --")</f>
        <v>-- Error --</v>
      </c>
      <c r="R259" s="16" t="s">
        <v>98</v>
      </c>
      <c r="T259" s="16" t="s">
        <v>99</v>
      </c>
      <c r="U259" s="17" t="e" cm="1">
        <f t="array" aca="1" ref="U259" ca="1">+U259:Y1019VLOOKUP(RiskRegister[[#This Row],[Residual Impact Level]],'Rating factors'!$F$4:$G$9,2,FALSE)</f>
        <v>#NAME?</v>
      </c>
      <c r="V259" s="16" t="s">
        <v>79</v>
      </c>
      <c r="W259" s="17" t="str">
        <f>VLOOKUP(RiskRegister[[#This Row],[Residual Likelihood Level]],'Rating factors'!$F$16:$G$21,2,FALSE)</f>
        <v>--- Error ---</v>
      </c>
      <c r="X259" s="17" t="str">
        <f ca="1">IFERROR(VLOOKUP(RiskRegister[[#This Row],[Residual Risk Rating]],'Rating factors'!$F$30:$G$44,2,FALSE),"-- Error --")</f>
        <v>-- Error --</v>
      </c>
      <c r="Y259" s="17" t="str">
        <f ca="1">IFERROR(RiskRegister[[#This Row],[Residual Impact Rating]]*RiskRegister[[#This Row],[Residual Likelihood Rating]],"-- Error --")</f>
        <v>-- Error --</v>
      </c>
      <c r="Z259" s="16" t="s">
        <v>100</v>
      </c>
      <c r="AB259" s="39"/>
      <c r="AD259" s="20"/>
    </row>
    <row r="260" spans="1:30" s="16" customFormat="1" hidden="1" x14ac:dyDescent="0.25">
      <c r="A260" s="16">
        <v>257</v>
      </c>
      <c r="G260" s="16" t="s">
        <v>77</v>
      </c>
      <c r="I260" s="16" t="s">
        <v>75</v>
      </c>
      <c r="L260" s="105" t="s">
        <v>99</v>
      </c>
      <c r="M260" s="17" t="str">
        <f>VLOOKUP(RiskRegister[[#This Row],[Inherent Impact LevelL3:L1020D1007L3:L1019]],'Rating factors'!$F$4:$G$9,2,FALSE)</f>
        <v>--- Error ---</v>
      </c>
      <c r="N260" s="16" t="s">
        <v>79</v>
      </c>
      <c r="O260" s="17" t="str">
        <f>VLOOKUP(RiskRegister[[#This Row],[Inherent Likelihood Level]],'Rating factors'!$F$16:$G$21,2,FALSE)</f>
        <v>--- Error ---</v>
      </c>
      <c r="P260" s="17" t="str">
        <f>IFERROR(VLOOKUP(RiskRegister[[#This Row],[Inherent Risk Rating]],'Rating factors'!$F$30:$G$44,2,FALSE),"-- Error --")</f>
        <v>-- Error --</v>
      </c>
      <c r="Q260" s="17" t="str">
        <f>IFERROR(RiskRegister[[#This Row],[Inherent Impact Rating]]*RiskRegister[[#This Row],[Inherent Likelihood Rating]],"-- Error --")</f>
        <v>-- Error --</v>
      </c>
      <c r="R260" s="16" t="s">
        <v>98</v>
      </c>
      <c r="T260" s="16" t="s">
        <v>99</v>
      </c>
      <c r="U260" s="17" t="e" cm="1">
        <f t="array" aca="1" ref="U260" ca="1">+U260:Y1019VLOOKUP(RiskRegister[[#This Row],[Residual Impact Level]],'Rating factors'!$F$4:$G$9,2,FALSE)</f>
        <v>#NAME?</v>
      </c>
      <c r="V260" s="16" t="s">
        <v>79</v>
      </c>
      <c r="W260" s="17" t="str">
        <f>VLOOKUP(RiskRegister[[#This Row],[Residual Likelihood Level]],'Rating factors'!$F$16:$G$21,2,FALSE)</f>
        <v>--- Error ---</v>
      </c>
      <c r="X260" s="17" t="str">
        <f ca="1">IFERROR(VLOOKUP(RiskRegister[[#This Row],[Residual Risk Rating]],'Rating factors'!$F$30:$G$44,2,FALSE),"-- Error --")</f>
        <v>-- Error --</v>
      </c>
      <c r="Y260" s="17" t="str">
        <f ca="1">IFERROR(RiskRegister[[#This Row],[Residual Impact Rating]]*RiskRegister[[#This Row],[Residual Likelihood Rating]],"-- Error --")</f>
        <v>-- Error --</v>
      </c>
      <c r="Z260" s="16" t="s">
        <v>100</v>
      </c>
      <c r="AB260" s="39"/>
      <c r="AD260" s="20"/>
    </row>
    <row r="261" spans="1:30" s="16" customFormat="1" hidden="1" x14ac:dyDescent="0.25">
      <c r="A261" s="16">
        <v>258</v>
      </c>
      <c r="G261" s="16" t="s">
        <v>77</v>
      </c>
      <c r="I261" s="16" t="s">
        <v>75</v>
      </c>
      <c r="L261" s="105" t="s">
        <v>99</v>
      </c>
      <c r="M261" s="17" t="str">
        <f>VLOOKUP(RiskRegister[[#This Row],[Inherent Impact LevelL3:L1020D1007L3:L1019]],'Rating factors'!$F$4:$G$9,2,FALSE)</f>
        <v>--- Error ---</v>
      </c>
      <c r="N261" s="16" t="s">
        <v>79</v>
      </c>
      <c r="O261" s="17" t="str">
        <f>VLOOKUP(RiskRegister[[#This Row],[Inherent Likelihood Level]],'Rating factors'!$F$16:$G$21,2,FALSE)</f>
        <v>--- Error ---</v>
      </c>
      <c r="P261" s="17" t="str">
        <f>IFERROR(VLOOKUP(RiskRegister[[#This Row],[Inherent Risk Rating]],'Rating factors'!$F$30:$G$44,2,FALSE),"-- Error --")</f>
        <v>-- Error --</v>
      </c>
      <c r="Q261" s="17" t="str">
        <f>IFERROR(RiskRegister[[#This Row],[Inherent Impact Rating]]*RiskRegister[[#This Row],[Inherent Likelihood Rating]],"-- Error --")</f>
        <v>-- Error --</v>
      </c>
      <c r="R261" s="16" t="s">
        <v>98</v>
      </c>
      <c r="T261" s="16" t="s">
        <v>99</v>
      </c>
      <c r="U261" s="17" t="e" cm="1">
        <f t="array" aca="1" ref="U261" ca="1">+U261:Y1019VLOOKUP(RiskRegister[[#This Row],[Residual Impact Level]],'Rating factors'!$F$4:$G$9,2,FALSE)</f>
        <v>#NAME?</v>
      </c>
      <c r="V261" s="16" t="s">
        <v>79</v>
      </c>
      <c r="W261" s="17" t="str">
        <f>VLOOKUP(RiskRegister[[#This Row],[Residual Likelihood Level]],'Rating factors'!$F$16:$G$21,2,FALSE)</f>
        <v>--- Error ---</v>
      </c>
      <c r="X261" s="17" t="str">
        <f ca="1">IFERROR(VLOOKUP(RiskRegister[[#This Row],[Residual Risk Rating]],'Rating factors'!$F$30:$G$44,2,FALSE),"-- Error --")</f>
        <v>-- Error --</v>
      </c>
      <c r="Y261" s="17" t="str">
        <f ca="1">IFERROR(RiskRegister[[#This Row],[Residual Impact Rating]]*RiskRegister[[#This Row],[Residual Likelihood Rating]],"-- Error --")</f>
        <v>-- Error --</v>
      </c>
      <c r="Z261" s="16" t="s">
        <v>100</v>
      </c>
      <c r="AB261" s="39"/>
      <c r="AD261" s="20"/>
    </row>
    <row r="262" spans="1:30" s="16" customFormat="1" hidden="1" x14ac:dyDescent="0.25">
      <c r="A262" s="16">
        <v>259</v>
      </c>
      <c r="G262" s="16" t="s">
        <v>77</v>
      </c>
      <c r="I262" s="16" t="s">
        <v>75</v>
      </c>
      <c r="L262" s="105" t="s">
        <v>99</v>
      </c>
      <c r="M262" s="17" t="str">
        <f>VLOOKUP(RiskRegister[[#This Row],[Inherent Impact LevelL3:L1020D1007L3:L1019]],'Rating factors'!$F$4:$G$9,2,FALSE)</f>
        <v>--- Error ---</v>
      </c>
      <c r="N262" s="16" t="s">
        <v>79</v>
      </c>
      <c r="O262" s="17" t="str">
        <f>VLOOKUP(RiskRegister[[#This Row],[Inherent Likelihood Level]],'Rating factors'!$F$16:$G$21,2,FALSE)</f>
        <v>--- Error ---</v>
      </c>
      <c r="P262" s="17" t="str">
        <f>IFERROR(VLOOKUP(RiskRegister[[#This Row],[Inherent Risk Rating]],'Rating factors'!$F$30:$G$44,2,FALSE),"-- Error --")</f>
        <v>-- Error --</v>
      </c>
      <c r="Q262" s="17" t="str">
        <f>IFERROR(RiskRegister[[#This Row],[Inherent Impact Rating]]*RiskRegister[[#This Row],[Inherent Likelihood Rating]],"-- Error --")</f>
        <v>-- Error --</v>
      </c>
      <c r="R262" s="16" t="s">
        <v>98</v>
      </c>
      <c r="T262" s="16" t="s">
        <v>99</v>
      </c>
      <c r="U262" s="17" t="e" cm="1">
        <f t="array" aca="1" ref="U262" ca="1">+U262:Y1019VLOOKUP(RiskRegister[[#This Row],[Residual Impact Level]],'Rating factors'!$F$4:$G$9,2,FALSE)</f>
        <v>#NAME?</v>
      </c>
      <c r="V262" s="16" t="s">
        <v>79</v>
      </c>
      <c r="W262" s="17" t="str">
        <f>VLOOKUP(RiskRegister[[#This Row],[Residual Likelihood Level]],'Rating factors'!$F$16:$G$21,2,FALSE)</f>
        <v>--- Error ---</v>
      </c>
      <c r="X262" s="17" t="str">
        <f ca="1">IFERROR(VLOOKUP(RiskRegister[[#This Row],[Residual Risk Rating]],'Rating factors'!$F$30:$G$44,2,FALSE),"-- Error --")</f>
        <v>-- Error --</v>
      </c>
      <c r="Y262" s="17" t="str">
        <f ca="1">IFERROR(RiskRegister[[#This Row],[Residual Impact Rating]]*RiskRegister[[#This Row],[Residual Likelihood Rating]],"-- Error --")</f>
        <v>-- Error --</v>
      </c>
      <c r="Z262" s="16" t="s">
        <v>100</v>
      </c>
      <c r="AB262" s="39"/>
      <c r="AD262" s="20"/>
    </row>
    <row r="263" spans="1:30" s="16" customFormat="1" hidden="1" x14ac:dyDescent="0.25">
      <c r="A263" s="16">
        <v>260</v>
      </c>
      <c r="G263" s="16" t="s">
        <v>77</v>
      </c>
      <c r="I263" s="16" t="s">
        <v>75</v>
      </c>
      <c r="L263" s="105" t="s">
        <v>99</v>
      </c>
      <c r="M263" s="17" t="str">
        <f>VLOOKUP(RiskRegister[[#This Row],[Inherent Impact LevelL3:L1020D1007L3:L1019]],'Rating factors'!$F$4:$G$9,2,FALSE)</f>
        <v>--- Error ---</v>
      </c>
      <c r="N263" s="16" t="s">
        <v>79</v>
      </c>
      <c r="O263" s="17" t="str">
        <f>VLOOKUP(RiskRegister[[#This Row],[Inherent Likelihood Level]],'Rating factors'!$F$16:$G$21,2,FALSE)</f>
        <v>--- Error ---</v>
      </c>
      <c r="P263" s="17" t="str">
        <f>IFERROR(VLOOKUP(RiskRegister[[#This Row],[Inherent Risk Rating]],'Rating factors'!$F$30:$G$44,2,FALSE),"-- Error --")</f>
        <v>-- Error --</v>
      </c>
      <c r="Q263" s="17" t="str">
        <f>IFERROR(RiskRegister[[#This Row],[Inherent Impact Rating]]*RiskRegister[[#This Row],[Inherent Likelihood Rating]],"-- Error --")</f>
        <v>-- Error --</v>
      </c>
      <c r="R263" s="16" t="s">
        <v>98</v>
      </c>
      <c r="T263" s="16" t="s">
        <v>99</v>
      </c>
      <c r="U263" s="17" t="e" cm="1">
        <f t="array" aca="1" ref="U263" ca="1">+U263:Y1019VLOOKUP(RiskRegister[[#This Row],[Residual Impact Level]],'Rating factors'!$F$4:$G$9,2,FALSE)</f>
        <v>#NAME?</v>
      </c>
      <c r="V263" s="16" t="s">
        <v>79</v>
      </c>
      <c r="W263" s="17" t="str">
        <f>VLOOKUP(RiskRegister[[#This Row],[Residual Likelihood Level]],'Rating factors'!$F$16:$G$21,2,FALSE)</f>
        <v>--- Error ---</v>
      </c>
      <c r="X263" s="17" t="str">
        <f ca="1">IFERROR(VLOOKUP(RiskRegister[[#This Row],[Residual Risk Rating]],'Rating factors'!$F$30:$G$44,2,FALSE),"-- Error --")</f>
        <v>-- Error --</v>
      </c>
      <c r="Y263" s="17" t="str">
        <f ca="1">IFERROR(RiskRegister[[#This Row],[Residual Impact Rating]]*RiskRegister[[#This Row],[Residual Likelihood Rating]],"-- Error --")</f>
        <v>-- Error --</v>
      </c>
      <c r="Z263" s="16" t="s">
        <v>100</v>
      </c>
      <c r="AB263" s="39"/>
      <c r="AD263" s="20"/>
    </row>
    <row r="264" spans="1:30" s="16" customFormat="1" hidden="1" x14ac:dyDescent="0.25">
      <c r="A264" s="16">
        <v>261</v>
      </c>
      <c r="G264" s="16" t="s">
        <v>77</v>
      </c>
      <c r="I264" s="16" t="s">
        <v>75</v>
      </c>
      <c r="L264" s="105" t="s">
        <v>99</v>
      </c>
      <c r="M264" s="17" t="str">
        <f>VLOOKUP(RiskRegister[[#This Row],[Inherent Impact LevelL3:L1020D1007L3:L1019]],'Rating factors'!$F$4:$G$9,2,FALSE)</f>
        <v>--- Error ---</v>
      </c>
      <c r="N264" s="16" t="s">
        <v>79</v>
      </c>
      <c r="O264" s="17" t="str">
        <f>VLOOKUP(RiskRegister[[#This Row],[Inherent Likelihood Level]],'Rating factors'!$F$16:$G$21,2,FALSE)</f>
        <v>--- Error ---</v>
      </c>
      <c r="P264" s="17" t="str">
        <f>IFERROR(VLOOKUP(RiskRegister[[#This Row],[Inherent Risk Rating]],'Rating factors'!$F$30:$G$44,2,FALSE),"-- Error --")</f>
        <v>-- Error --</v>
      </c>
      <c r="Q264" s="17" t="str">
        <f>IFERROR(RiskRegister[[#This Row],[Inherent Impact Rating]]*RiskRegister[[#This Row],[Inherent Likelihood Rating]],"-- Error --")</f>
        <v>-- Error --</v>
      </c>
      <c r="R264" s="16" t="s">
        <v>98</v>
      </c>
      <c r="T264" s="16" t="s">
        <v>99</v>
      </c>
      <c r="U264" s="17" t="e" cm="1">
        <f t="array" aca="1" ref="U264" ca="1">+U264:Y1019VLOOKUP(RiskRegister[[#This Row],[Residual Impact Level]],'Rating factors'!$F$4:$G$9,2,FALSE)</f>
        <v>#NAME?</v>
      </c>
      <c r="V264" s="16" t="s">
        <v>79</v>
      </c>
      <c r="W264" s="17" t="str">
        <f>VLOOKUP(RiskRegister[[#This Row],[Residual Likelihood Level]],'Rating factors'!$F$16:$G$21,2,FALSE)</f>
        <v>--- Error ---</v>
      </c>
      <c r="X264" s="17" t="str">
        <f ca="1">IFERROR(VLOOKUP(RiskRegister[[#This Row],[Residual Risk Rating]],'Rating factors'!$F$30:$G$44,2,FALSE),"-- Error --")</f>
        <v>-- Error --</v>
      </c>
      <c r="Y264" s="17" t="str">
        <f ca="1">IFERROR(RiskRegister[[#This Row],[Residual Impact Rating]]*RiskRegister[[#This Row],[Residual Likelihood Rating]],"-- Error --")</f>
        <v>-- Error --</v>
      </c>
      <c r="Z264" s="16" t="s">
        <v>100</v>
      </c>
      <c r="AB264" s="39"/>
      <c r="AD264" s="20"/>
    </row>
    <row r="265" spans="1:30" s="16" customFormat="1" hidden="1" x14ac:dyDescent="0.25">
      <c r="A265" s="16">
        <v>262</v>
      </c>
      <c r="G265" s="16" t="s">
        <v>77</v>
      </c>
      <c r="I265" s="16" t="s">
        <v>75</v>
      </c>
      <c r="L265" s="105" t="s">
        <v>99</v>
      </c>
      <c r="M265" s="17" t="str">
        <f>VLOOKUP(RiskRegister[[#This Row],[Inherent Impact LevelL3:L1020D1007L3:L1019]],'Rating factors'!$F$4:$G$9,2,FALSE)</f>
        <v>--- Error ---</v>
      </c>
      <c r="N265" s="16" t="s">
        <v>79</v>
      </c>
      <c r="O265" s="17" t="str">
        <f>VLOOKUP(RiskRegister[[#This Row],[Inherent Likelihood Level]],'Rating factors'!$F$16:$G$21,2,FALSE)</f>
        <v>--- Error ---</v>
      </c>
      <c r="P265" s="17" t="str">
        <f>IFERROR(VLOOKUP(RiskRegister[[#This Row],[Inherent Risk Rating]],'Rating factors'!$F$30:$G$44,2,FALSE),"-- Error --")</f>
        <v>-- Error --</v>
      </c>
      <c r="Q265" s="17" t="str">
        <f>IFERROR(RiskRegister[[#This Row],[Inherent Impact Rating]]*RiskRegister[[#This Row],[Inherent Likelihood Rating]],"-- Error --")</f>
        <v>-- Error --</v>
      </c>
      <c r="R265" s="16" t="s">
        <v>98</v>
      </c>
      <c r="T265" s="16" t="s">
        <v>99</v>
      </c>
      <c r="U265" s="17" t="e" cm="1">
        <f t="array" aca="1" ref="U265" ca="1">+U265:Y1019VLOOKUP(RiskRegister[[#This Row],[Residual Impact Level]],'Rating factors'!$F$4:$G$9,2,FALSE)</f>
        <v>#NAME?</v>
      </c>
      <c r="V265" s="16" t="s">
        <v>79</v>
      </c>
      <c r="W265" s="17" t="str">
        <f>VLOOKUP(RiskRegister[[#This Row],[Residual Likelihood Level]],'Rating factors'!$F$16:$G$21,2,FALSE)</f>
        <v>--- Error ---</v>
      </c>
      <c r="X265" s="17" t="str">
        <f ca="1">IFERROR(VLOOKUP(RiskRegister[[#This Row],[Residual Risk Rating]],'Rating factors'!$F$30:$G$44,2,FALSE),"-- Error --")</f>
        <v>-- Error --</v>
      </c>
      <c r="Y265" s="17" t="str">
        <f ca="1">IFERROR(RiskRegister[[#This Row],[Residual Impact Rating]]*RiskRegister[[#This Row],[Residual Likelihood Rating]],"-- Error --")</f>
        <v>-- Error --</v>
      </c>
      <c r="Z265" s="16" t="s">
        <v>100</v>
      </c>
      <c r="AB265" s="39"/>
      <c r="AD265" s="20"/>
    </row>
    <row r="266" spans="1:30" s="16" customFormat="1" hidden="1" x14ac:dyDescent="0.25">
      <c r="A266" s="16">
        <v>263</v>
      </c>
      <c r="G266" s="16" t="s">
        <v>77</v>
      </c>
      <c r="I266" s="16" t="s">
        <v>75</v>
      </c>
      <c r="L266" s="105" t="s">
        <v>99</v>
      </c>
      <c r="M266" s="17" t="str">
        <f>VLOOKUP(RiskRegister[[#This Row],[Inherent Impact LevelL3:L1020D1007L3:L1019]],'Rating factors'!$F$4:$G$9,2,FALSE)</f>
        <v>--- Error ---</v>
      </c>
      <c r="N266" s="16" t="s">
        <v>79</v>
      </c>
      <c r="O266" s="17" t="str">
        <f>VLOOKUP(RiskRegister[[#This Row],[Inherent Likelihood Level]],'Rating factors'!$F$16:$G$21,2,FALSE)</f>
        <v>--- Error ---</v>
      </c>
      <c r="P266" s="17" t="str">
        <f>IFERROR(VLOOKUP(RiskRegister[[#This Row],[Inherent Risk Rating]],'Rating factors'!$F$30:$G$44,2,FALSE),"-- Error --")</f>
        <v>-- Error --</v>
      </c>
      <c r="Q266" s="17" t="str">
        <f>IFERROR(RiskRegister[[#This Row],[Inherent Impact Rating]]*RiskRegister[[#This Row],[Inherent Likelihood Rating]],"-- Error --")</f>
        <v>-- Error --</v>
      </c>
      <c r="R266" s="16" t="s">
        <v>98</v>
      </c>
      <c r="T266" s="16" t="s">
        <v>99</v>
      </c>
      <c r="U266" s="17" t="e" cm="1">
        <f t="array" aca="1" ref="U266" ca="1">+U266:Y1019VLOOKUP(RiskRegister[[#This Row],[Residual Impact Level]],'Rating factors'!$F$4:$G$9,2,FALSE)</f>
        <v>#NAME?</v>
      </c>
      <c r="V266" s="16" t="s">
        <v>79</v>
      </c>
      <c r="W266" s="17" t="str">
        <f>VLOOKUP(RiskRegister[[#This Row],[Residual Likelihood Level]],'Rating factors'!$F$16:$G$21,2,FALSE)</f>
        <v>--- Error ---</v>
      </c>
      <c r="X266" s="17" t="str">
        <f ca="1">IFERROR(VLOOKUP(RiskRegister[[#This Row],[Residual Risk Rating]],'Rating factors'!$F$30:$G$44,2,FALSE),"-- Error --")</f>
        <v>-- Error --</v>
      </c>
      <c r="Y266" s="17" t="str">
        <f ca="1">IFERROR(RiskRegister[[#This Row],[Residual Impact Rating]]*RiskRegister[[#This Row],[Residual Likelihood Rating]],"-- Error --")</f>
        <v>-- Error --</v>
      </c>
      <c r="Z266" s="16" t="s">
        <v>100</v>
      </c>
      <c r="AB266" s="39"/>
      <c r="AD266" s="20"/>
    </row>
    <row r="267" spans="1:30" s="16" customFormat="1" hidden="1" x14ac:dyDescent="0.25">
      <c r="A267" s="16">
        <v>264</v>
      </c>
      <c r="G267" s="16" t="s">
        <v>77</v>
      </c>
      <c r="I267" s="16" t="s">
        <v>75</v>
      </c>
      <c r="L267" s="105" t="s">
        <v>99</v>
      </c>
      <c r="M267" s="17" t="str">
        <f>VLOOKUP(RiskRegister[[#This Row],[Inherent Impact LevelL3:L1020D1007L3:L1019]],'Rating factors'!$F$4:$G$9,2,FALSE)</f>
        <v>--- Error ---</v>
      </c>
      <c r="N267" s="16" t="s">
        <v>79</v>
      </c>
      <c r="O267" s="17" t="str">
        <f>VLOOKUP(RiskRegister[[#This Row],[Inherent Likelihood Level]],'Rating factors'!$F$16:$G$21,2,FALSE)</f>
        <v>--- Error ---</v>
      </c>
      <c r="P267" s="17" t="str">
        <f>IFERROR(VLOOKUP(RiskRegister[[#This Row],[Inherent Risk Rating]],'Rating factors'!$F$30:$G$44,2,FALSE),"-- Error --")</f>
        <v>-- Error --</v>
      </c>
      <c r="Q267" s="17" t="str">
        <f>IFERROR(RiskRegister[[#This Row],[Inherent Impact Rating]]*RiskRegister[[#This Row],[Inherent Likelihood Rating]],"-- Error --")</f>
        <v>-- Error --</v>
      </c>
      <c r="R267" s="16" t="s">
        <v>98</v>
      </c>
      <c r="T267" s="16" t="s">
        <v>99</v>
      </c>
      <c r="U267" s="17" t="e" cm="1">
        <f t="array" aca="1" ref="U267" ca="1">+U267:Y1019VLOOKUP(RiskRegister[[#This Row],[Residual Impact Level]],'Rating factors'!$F$4:$G$9,2,FALSE)</f>
        <v>#NAME?</v>
      </c>
      <c r="V267" s="16" t="s">
        <v>79</v>
      </c>
      <c r="W267" s="17" t="str">
        <f>VLOOKUP(RiskRegister[[#This Row],[Residual Likelihood Level]],'Rating factors'!$F$16:$G$21,2,FALSE)</f>
        <v>--- Error ---</v>
      </c>
      <c r="X267" s="17" t="str">
        <f ca="1">IFERROR(VLOOKUP(RiskRegister[[#This Row],[Residual Risk Rating]],'Rating factors'!$F$30:$G$44,2,FALSE),"-- Error --")</f>
        <v>-- Error --</v>
      </c>
      <c r="Y267" s="17" t="str">
        <f ca="1">IFERROR(RiskRegister[[#This Row],[Residual Impact Rating]]*RiskRegister[[#This Row],[Residual Likelihood Rating]],"-- Error --")</f>
        <v>-- Error --</v>
      </c>
      <c r="Z267" s="16" t="s">
        <v>100</v>
      </c>
      <c r="AB267" s="39"/>
      <c r="AD267" s="20"/>
    </row>
    <row r="268" spans="1:30" s="16" customFormat="1" hidden="1" x14ac:dyDescent="0.25">
      <c r="A268" s="16">
        <v>265</v>
      </c>
      <c r="G268" s="16" t="s">
        <v>77</v>
      </c>
      <c r="I268" s="16" t="s">
        <v>75</v>
      </c>
      <c r="L268" s="105" t="s">
        <v>99</v>
      </c>
      <c r="M268" s="17" t="str">
        <f>VLOOKUP(RiskRegister[[#This Row],[Inherent Impact LevelL3:L1020D1007L3:L1019]],'Rating factors'!$F$4:$G$9,2,FALSE)</f>
        <v>--- Error ---</v>
      </c>
      <c r="N268" s="16" t="s">
        <v>79</v>
      </c>
      <c r="O268" s="17" t="str">
        <f>VLOOKUP(RiskRegister[[#This Row],[Inherent Likelihood Level]],'Rating factors'!$F$16:$G$21,2,FALSE)</f>
        <v>--- Error ---</v>
      </c>
      <c r="P268" s="17" t="str">
        <f>IFERROR(VLOOKUP(RiskRegister[[#This Row],[Inherent Risk Rating]],'Rating factors'!$F$30:$G$44,2,FALSE),"-- Error --")</f>
        <v>-- Error --</v>
      </c>
      <c r="Q268" s="17" t="str">
        <f>IFERROR(RiskRegister[[#This Row],[Inherent Impact Rating]]*RiskRegister[[#This Row],[Inherent Likelihood Rating]],"-- Error --")</f>
        <v>-- Error --</v>
      </c>
      <c r="R268" s="16" t="s">
        <v>98</v>
      </c>
      <c r="T268" s="16" t="s">
        <v>99</v>
      </c>
      <c r="U268" s="17" t="e" cm="1">
        <f t="array" aca="1" ref="U268" ca="1">+U268:Y1019VLOOKUP(RiskRegister[[#This Row],[Residual Impact Level]],'Rating factors'!$F$4:$G$9,2,FALSE)</f>
        <v>#NAME?</v>
      </c>
      <c r="V268" s="16" t="s">
        <v>79</v>
      </c>
      <c r="W268" s="17" t="str">
        <f>VLOOKUP(RiskRegister[[#This Row],[Residual Likelihood Level]],'Rating factors'!$F$16:$G$21,2,FALSE)</f>
        <v>--- Error ---</v>
      </c>
      <c r="X268" s="17" t="str">
        <f ca="1">IFERROR(VLOOKUP(RiskRegister[[#This Row],[Residual Risk Rating]],'Rating factors'!$F$30:$G$44,2,FALSE),"-- Error --")</f>
        <v>-- Error --</v>
      </c>
      <c r="Y268" s="17" t="str">
        <f ca="1">IFERROR(RiskRegister[[#This Row],[Residual Impact Rating]]*RiskRegister[[#This Row],[Residual Likelihood Rating]],"-- Error --")</f>
        <v>-- Error --</v>
      </c>
      <c r="Z268" s="16" t="s">
        <v>100</v>
      </c>
      <c r="AB268" s="39"/>
      <c r="AD268" s="20"/>
    </row>
    <row r="269" spans="1:30" s="16" customFormat="1" hidden="1" x14ac:dyDescent="0.25">
      <c r="A269" s="16">
        <v>266</v>
      </c>
      <c r="G269" s="16" t="s">
        <v>77</v>
      </c>
      <c r="I269" s="16" t="s">
        <v>75</v>
      </c>
      <c r="L269" s="105" t="s">
        <v>99</v>
      </c>
      <c r="M269" s="17" t="str">
        <f>VLOOKUP(RiskRegister[[#This Row],[Inherent Impact LevelL3:L1020D1007L3:L1019]],'Rating factors'!$F$4:$G$9,2,FALSE)</f>
        <v>--- Error ---</v>
      </c>
      <c r="N269" s="16" t="s">
        <v>79</v>
      </c>
      <c r="O269" s="17" t="str">
        <f>VLOOKUP(RiskRegister[[#This Row],[Inherent Likelihood Level]],'Rating factors'!$F$16:$G$21,2,FALSE)</f>
        <v>--- Error ---</v>
      </c>
      <c r="P269" s="17" t="str">
        <f>IFERROR(VLOOKUP(RiskRegister[[#This Row],[Inherent Risk Rating]],'Rating factors'!$F$30:$G$44,2,FALSE),"-- Error --")</f>
        <v>-- Error --</v>
      </c>
      <c r="Q269" s="17" t="str">
        <f>IFERROR(RiskRegister[[#This Row],[Inherent Impact Rating]]*RiskRegister[[#This Row],[Inherent Likelihood Rating]],"-- Error --")</f>
        <v>-- Error --</v>
      </c>
      <c r="R269" s="16" t="s">
        <v>98</v>
      </c>
      <c r="T269" s="16" t="s">
        <v>99</v>
      </c>
      <c r="U269" s="17" t="e" cm="1">
        <f t="array" aca="1" ref="U269" ca="1">+U269:Y1019VLOOKUP(RiskRegister[[#This Row],[Residual Impact Level]],'Rating factors'!$F$4:$G$9,2,FALSE)</f>
        <v>#NAME?</v>
      </c>
      <c r="V269" s="16" t="s">
        <v>79</v>
      </c>
      <c r="W269" s="17" t="str">
        <f>VLOOKUP(RiskRegister[[#This Row],[Residual Likelihood Level]],'Rating factors'!$F$16:$G$21,2,FALSE)</f>
        <v>--- Error ---</v>
      </c>
      <c r="X269" s="17" t="str">
        <f ca="1">IFERROR(VLOOKUP(RiskRegister[[#This Row],[Residual Risk Rating]],'Rating factors'!$F$30:$G$44,2,FALSE),"-- Error --")</f>
        <v>-- Error --</v>
      </c>
      <c r="Y269" s="17" t="str">
        <f ca="1">IFERROR(RiskRegister[[#This Row],[Residual Impact Rating]]*RiskRegister[[#This Row],[Residual Likelihood Rating]],"-- Error --")</f>
        <v>-- Error --</v>
      </c>
      <c r="Z269" s="16" t="s">
        <v>100</v>
      </c>
      <c r="AB269" s="39"/>
      <c r="AD269" s="20"/>
    </row>
    <row r="270" spans="1:30" s="16" customFormat="1" hidden="1" x14ac:dyDescent="0.25">
      <c r="A270" s="16">
        <v>267</v>
      </c>
      <c r="G270" s="16" t="s">
        <v>77</v>
      </c>
      <c r="I270" s="16" t="s">
        <v>75</v>
      </c>
      <c r="L270" s="105" t="s">
        <v>99</v>
      </c>
      <c r="M270" s="17" t="str">
        <f>VLOOKUP(RiskRegister[[#This Row],[Inherent Impact LevelL3:L1020D1007L3:L1019]],'Rating factors'!$F$4:$G$9,2,FALSE)</f>
        <v>--- Error ---</v>
      </c>
      <c r="N270" s="16" t="s">
        <v>79</v>
      </c>
      <c r="O270" s="17" t="str">
        <f>VLOOKUP(RiskRegister[[#This Row],[Inherent Likelihood Level]],'Rating factors'!$F$16:$G$21,2,FALSE)</f>
        <v>--- Error ---</v>
      </c>
      <c r="P270" s="17" t="str">
        <f>IFERROR(VLOOKUP(RiskRegister[[#This Row],[Inherent Risk Rating]],'Rating factors'!$F$30:$G$44,2,FALSE),"-- Error --")</f>
        <v>-- Error --</v>
      </c>
      <c r="Q270" s="17" t="str">
        <f>IFERROR(RiskRegister[[#This Row],[Inherent Impact Rating]]*RiskRegister[[#This Row],[Inherent Likelihood Rating]],"-- Error --")</f>
        <v>-- Error --</v>
      </c>
      <c r="R270" s="16" t="s">
        <v>98</v>
      </c>
      <c r="T270" s="16" t="s">
        <v>99</v>
      </c>
      <c r="U270" s="17" t="e" cm="1">
        <f t="array" aca="1" ref="U270" ca="1">+U270:Y1019VLOOKUP(RiskRegister[[#This Row],[Residual Impact Level]],'Rating factors'!$F$4:$G$9,2,FALSE)</f>
        <v>#NAME?</v>
      </c>
      <c r="V270" s="16" t="s">
        <v>79</v>
      </c>
      <c r="W270" s="17" t="str">
        <f>VLOOKUP(RiskRegister[[#This Row],[Residual Likelihood Level]],'Rating factors'!$F$16:$G$21,2,FALSE)</f>
        <v>--- Error ---</v>
      </c>
      <c r="X270" s="17" t="str">
        <f ca="1">IFERROR(VLOOKUP(RiskRegister[[#This Row],[Residual Risk Rating]],'Rating factors'!$F$30:$G$44,2,FALSE),"-- Error --")</f>
        <v>-- Error --</v>
      </c>
      <c r="Y270" s="17" t="str">
        <f ca="1">IFERROR(RiskRegister[[#This Row],[Residual Impact Rating]]*RiskRegister[[#This Row],[Residual Likelihood Rating]],"-- Error --")</f>
        <v>-- Error --</v>
      </c>
      <c r="Z270" s="16" t="s">
        <v>100</v>
      </c>
      <c r="AB270" s="39"/>
      <c r="AD270" s="20"/>
    </row>
    <row r="271" spans="1:30" s="16" customFormat="1" hidden="1" x14ac:dyDescent="0.25">
      <c r="A271" s="16">
        <v>268</v>
      </c>
      <c r="G271" s="16" t="s">
        <v>77</v>
      </c>
      <c r="I271" s="16" t="s">
        <v>75</v>
      </c>
      <c r="L271" s="105" t="s">
        <v>99</v>
      </c>
      <c r="M271" s="17" t="str">
        <f>VLOOKUP(RiskRegister[[#This Row],[Inherent Impact LevelL3:L1020D1007L3:L1019]],'Rating factors'!$F$4:$G$9,2,FALSE)</f>
        <v>--- Error ---</v>
      </c>
      <c r="N271" s="16" t="s">
        <v>79</v>
      </c>
      <c r="O271" s="17" t="str">
        <f>VLOOKUP(RiskRegister[[#This Row],[Inherent Likelihood Level]],'Rating factors'!$F$16:$G$21,2,FALSE)</f>
        <v>--- Error ---</v>
      </c>
      <c r="P271" s="17" t="str">
        <f>IFERROR(VLOOKUP(RiskRegister[[#This Row],[Inherent Risk Rating]],'Rating factors'!$F$30:$G$44,2,FALSE),"-- Error --")</f>
        <v>-- Error --</v>
      </c>
      <c r="Q271" s="17" t="str">
        <f>IFERROR(RiskRegister[[#This Row],[Inherent Impact Rating]]*RiskRegister[[#This Row],[Inherent Likelihood Rating]],"-- Error --")</f>
        <v>-- Error --</v>
      </c>
      <c r="R271" s="16" t="s">
        <v>98</v>
      </c>
      <c r="T271" s="16" t="s">
        <v>99</v>
      </c>
      <c r="U271" s="17" t="e" cm="1">
        <f t="array" aca="1" ref="U271" ca="1">+U271:Y1019VLOOKUP(RiskRegister[[#This Row],[Residual Impact Level]],'Rating factors'!$F$4:$G$9,2,FALSE)</f>
        <v>#NAME?</v>
      </c>
      <c r="V271" s="16" t="s">
        <v>79</v>
      </c>
      <c r="W271" s="17" t="str">
        <f>VLOOKUP(RiskRegister[[#This Row],[Residual Likelihood Level]],'Rating factors'!$F$16:$G$21,2,FALSE)</f>
        <v>--- Error ---</v>
      </c>
      <c r="X271" s="17" t="str">
        <f ca="1">IFERROR(VLOOKUP(RiskRegister[[#This Row],[Residual Risk Rating]],'Rating factors'!$F$30:$G$44,2,FALSE),"-- Error --")</f>
        <v>-- Error --</v>
      </c>
      <c r="Y271" s="17" t="str">
        <f ca="1">IFERROR(RiskRegister[[#This Row],[Residual Impact Rating]]*RiskRegister[[#This Row],[Residual Likelihood Rating]],"-- Error --")</f>
        <v>-- Error --</v>
      </c>
      <c r="Z271" s="16" t="s">
        <v>100</v>
      </c>
      <c r="AB271" s="39"/>
      <c r="AD271" s="20"/>
    </row>
    <row r="272" spans="1:30" s="16" customFormat="1" hidden="1" x14ac:dyDescent="0.25">
      <c r="A272" s="16">
        <v>269</v>
      </c>
      <c r="G272" s="16" t="s">
        <v>77</v>
      </c>
      <c r="I272" s="16" t="s">
        <v>75</v>
      </c>
      <c r="L272" s="105" t="s">
        <v>99</v>
      </c>
      <c r="M272" s="17" t="str">
        <f>VLOOKUP(RiskRegister[[#This Row],[Inherent Impact LevelL3:L1020D1007L3:L1019]],'Rating factors'!$F$4:$G$9,2,FALSE)</f>
        <v>--- Error ---</v>
      </c>
      <c r="N272" s="16" t="s">
        <v>79</v>
      </c>
      <c r="O272" s="17" t="str">
        <f>VLOOKUP(RiskRegister[[#This Row],[Inherent Likelihood Level]],'Rating factors'!$F$16:$G$21,2,FALSE)</f>
        <v>--- Error ---</v>
      </c>
      <c r="P272" s="17" t="str">
        <f>IFERROR(VLOOKUP(RiskRegister[[#This Row],[Inherent Risk Rating]],'Rating factors'!$F$30:$G$44,2,FALSE),"-- Error --")</f>
        <v>-- Error --</v>
      </c>
      <c r="Q272" s="17" t="str">
        <f>IFERROR(RiskRegister[[#This Row],[Inherent Impact Rating]]*RiskRegister[[#This Row],[Inherent Likelihood Rating]],"-- Error --")</f>
        <v>-- Error --</v>
      </c>
      <c r="R272" s="16" t="s">
        <v>98</v>
      </c>
      <c r="T272" s="16" t="s">
        <v>99</v>
      </c>
      <c r="U272" s="17" t="e" cm="1">
        <f t="array" aca="1" ref="U272" ca="1">+U272:Y1019VLOOKUP(RiskRegister[[#This Row],[Residual Impact Level]],'Rating factors'!$F$4:$G$9,2,FALSE)</f>
        <v>#NAME?</v>
      </c>
      <c r="V272" s="16" t="s">
        <v>79</v>
      </c>
      <c r="W272" s="17" t="str">
        <f>VLOOKUP(RiskRegister[[#This Row],[Residual Likelihood Level]],'Rating factors'!$F$16:$G$21,2,FALSE)</f>
        <v>--- Error ---</v>
      </c>
      <c r="X272" s="17" t="str">
        <f ca="1">IFERROR(VLOOKUP(RiskRegister[[#This Row],[Residual Risk Rating]],'Rating factors'!$F$30:$G$44,2,FALSE),"-- Error --")</f>
        <v>-- Error --</v>
      </c>
      <c r="Y272" s="17" t="str">
        <f ca="1">IFERROR(RiskRegister[[#This Row],[Residual Impact Rating]]*RiskRegister[[#This Row],[Residual Likelihood Rating]],"-- Error --")</f>
        <v>-- Error --</v>
      </c>
      <c r="Z272" s="16" t="s">
        <v>100</v>
      </c>
      <c r="AB272" s="39"/>
      <c r="AD272" s="20"/>
    </row>
    <row r="273" spans="1:30" s="16" customFormat="1" hidden="1" x14ac:dyDescent="0.25">
      <c r="A273" s="16">
        <v>270</v>
      </c>
      <c r="G273" s="16" t="s">
        <v>77</v>
      </c>
      <c r="I273" s="16" t="s">
        <v>75</v>
      </c>
      <c r="L273" s="105" t="s">
        <v>99</v>
      </c>
      <c r="M273" s="17" t="str">
        <f>VLOOKUP(RiskRegister[[#This Row],[Inherent Impact LevelL3:L1020D1007L3:L1019]],'Rating factors'!$F$4:$G$9,2,FALSE)</f>
        <v>--- Error ---</v>
      </c>
      <c r="N273" s="16" t="s">
        <v>79</v>
      </c>
      <c r="O273" s="17" t="str">
        <f>VLOOKUP(RiskRegister[[#This Row],[Inherent Likelihood Level]],'Rating factors'!$F$16:$G$21,2,FALSE)</f>
        <v>--- Error ---</v>
      </c>
      <c r="P273" s="17" t="str">
        <f>IFERROR(VLOOKUP(RiskRegister[[#This Row],[Inherent Risk Rating]],'Rating factors'!$F$30:$G$44,2,FALSE),"-- Error --")</f>
        <v>-- Error --</v>
      </c>
      <c r="Q273" s="17" t="str">
        <f>IFERROR(RiskRegister[[#This Row],[Inherent Impact Rating]]*RiskRegister[[#This Row],[Inherent Likelihood Rating]],"-- Error --")</f>
        <v>-- Error --</v>
      </c>
      <c r="R273" s="16" t="s">
        <v>98</v>
      </c>
      <c r="T273" s="16" t="s">
        <v>99</v>
      </c>
      <c r="U273" s="17" t="e" cm="1">
        <f t="array" aca="1" ref="U273" ca="1">+U273:Y1019VLOOKUP(RiskRegister[[#This Row],[Residual Impact Level]],'Rating factors'!$F$4:$G$9,2,FALSE)</f>
        <v>#NAME?</v>
      </c>
      <c r="V273" s="16" t="s">
        <v>79</v>
      </c>
      <c r="W273" s="17" t="str">
        <f>VLOOKUP(RiskRegister[[#This Row],[Residual Likelihood Level]],'Rating factors'!$F$16:$G$21,2,FALSE)</f>
        <v>--- Error ---</v>
      </c>
      <c r="X273" s="17" t="str">
        <f ca="1">IFERROR(VLOOKUP(RiskRegister[[#This Row],[Residual Risk Rating]],'Rating factors'!$F$30:$G$44,2,FALSE),"-- Error --")</f>
        <v>-- Error --</v>
      </c>
      <c r="Y273" s="17" t="str">
        <f ca="1">IFERROR(RiskRegister[[#This Row],[Residual Impact Rating]]*RiskRegister[[#This Row],[Residual Likelihood Rating]],"-- Error --")</f>
        <v>-- Error --</v>
      </c>
      <c r="Z273" s="16" t="s">
        <v>100</v>
      </c>
      <c r="AB273" s="39"/>
      <c r="AD273" s="20"/>
    </row>
    <row r="274" spans="1:30" s="16" customFormat="1" hidden="1" x14ac:dyDescent="0.25">
      <c r="A274" s="16">
        <v>271</v>
      </c>
      <c r="G274" s="16" t="s">
        <v>77</v>
      </c>
      <c r="I274" s="16" t="s">
        <v>75</v>
      </c>
      <c r="L274" s="105" t="s">
        <v>99</v>
      </c>
      <c r="M274" s="17" t="str">
        <f>VLOOKUP(RiskRegister[[#This Row],[Inherent Impact LevelL3:L1020D1007L3:L1019]],'Rating factors'!$F$4:$G$9,2,FALSE)</f>
        <v>--- Error ---</v>
      </c>
      <c r="N274" s="16" t="s">
        <v>79</v>
      </c>
      <c r="O274" s="17" t="str">
        <f>VLOOKUP(RiskRegister[[#This Row],[Inherent Likelihood Level]],'Rating factors'!$F$16:$G$21,2,FALSE)</f>
        <v>--- Error ---</v>
      </c>
      <c r="P274" s="17" t="str">
        <f>IFERROR(VLOOKUP(RiskRegister[[#This Row],[Inherent Risk Rating]],'Rating factors'!$F$30:$G$44,2,FALSE),"-- Error --")</f>
        <v>-- Error --</v>
      </c>
      <c r="Q274" s="17" t="str">
        <f>IFERROR(RiskRegister[[#This Row],[Inherent Impact Rating]]*RiskRegister[[#This Row],[Inherent Likelihood Rating]],"-- Error --")</f>
        <v>-- Error --</v>
      </c>
      <c r="R274" s="16" t="s">
        <v>98</v>
      </c>
      <c r="T274" s="16" t="s">
        <v>99</v>
      </c>
      <c r="U274" s="17" t="e" cm="1">
        <f t="array" aca="1" ref="U274" ca="1">+U274:Y1019VLOOKUP(RiskRegister[[#This Row],[Residual Impact Level]],'Rating factors'!$F$4:$G$9,2,FALSE)</f>
        <v>#NAME?</v>
      </c>
      <c r="V274" s="16" t="s">
        <v>79</v>
      </c>
      <c r="W274" s="17" t="str">
        <f>VLOOKUP(RiskRegister[[#This Row],[Residual Likelihood Level]],'Rating factors'!$F$16:$G$21,2,FALSE)</f>
        <v>--- Error ---</v>
      </c>
      <c r="X274" s="17" t="str">
        <f ca="1">IFERROR(VLOOKUP(RiskRegister[[#This Row],[Residual Risk Rating]],'Rating factors'!$F$30:$G$44,2,FALSE),"-- Error --")</f>
        <v>-- Error --</v>
      </c>
      <c r="Y274" s="17" t="str">
        <f ca="1">IFERROR(RiskRegister[[#This Row],[Residual Impact Rating]]*RiskRegister[[#This Row],[Residual Likelihood Rating]],"-- Error --")</f>
        <v>-- Error --</v>
      </c>
      <c r="Z274" s="16" t="s">
        <v>100</v>
      </c>
      <c r="AB274" s="39"/>
      <c r="AD274" s="20"/>
    </row>
    <row r="275" spans="1:30" s="16" customFormat="1" hidden="1" x14ac:dyDescent="0.25">
      <c r="A275" s="16">
        <v>272</v>
      </c>
      <c r="G275" s="16" t="s">
        <v>77</v>
      </c>
      <c r="I275" s="16" t="s">
        <v>75</v>
      </c>
      <c r="L275" s="105" t="s">
        <v>99</v>
      </c>
      <c r="M275" s="17" t="str">
        <f>VLOOKUP(RiskRegister[[#This Row],[Inherent Impact LevelL3:L1020D1007L3:L1019]],'Rating factors'!$F$4:$G$9,2,FALSE)</f>
        <v>--- Error ---</v>
      </c>
      <c r="N275" s="16" t="s">
        <v>79</v>
      </c>
      <c r="O275" s="17" t="str">
        <f>VLOOKUP(RiskRegister[[#This Row],[Inherent Likelihood Level]],'Rating factors'!$F$16:$G$21,2,FALSE)</f>
        <v>--- Error ---</v>
      </c>
      <c r="P275" s="17" t="str">
        <f>IFERROR(VLOOKUP(RiskRegister[[#This Row],[Inherent Risk Rating]],'Rating factors'!$F$30:$G$44,2,FALSE),"-- Error --")</f>
        <v>-- Error --</v>
      </c>
      <c r="Q275" s="17" t="str">
        <f>IFERROR(RiskRegister[[#This Row],[Inherent Impact Rating]]*RiskRegister[[#This Row],[Inherent Likelihood Rating]],"-- Error --")</f>
        <v>-- Error --</v>
      </c>
      <c r="R275" s="16" t="s">
        <v>98</v>
      </c>
      <c r="T275" s="16" t="s">
        <v>99</v>
      </c>
      <c r="U275" s="17" t="e" cm="1">
        <f t="array" aca="1" ref="U275" ca="1">+U275:Y1019VLOOKUP(RiskRegister[[#This Row],[Residual Impact Level]],'Rating factors'!$F$4:$G$9,2,FALSE)</f>
        <v>#NAME?</v>
      </c>
      <c r="V275" s="16" t="s">
        <v>79</v>
      </c>
      <c r="W275" s="17" t="str">
        <f>VLOOKUP(RiskRegister[[#This Row],[Residual Likelihood Level]],'Rating factors'!$F$16:$G$21,2,FALSE)</f>
        <v>--- Error ---</v>
      </c>
      <c r="X275" s="17" t="str">
        <f ca="1">IFERROR(VLOOKUP(RiskRegister[[#This Row],[Residual Risk Rating]],'Rating factors'!$F$30:$G$44,2,FALSE),"-- Error --")</f>
        <v>-- Error --</v>
      </c>
      <c r="Y275" s="17" t="str">
        <f ca="1">IFERROR(RiskRegister[[#This Row],[Residual Impact Rating]]*RiskRegister[[#This Row],[Residual Likelihood Rating]],"-- Error --")</f>
        <v>-- Error --</v>
      </c>
      <c r="Z275" s="16" t="s">
        <v>100</v>
      </c>
      <c r="AB275" s="39"/>
      <c r="AD275" s="20"/>
    </row>
    <row r="276" spans="1:30" s="16" customFormat="1" hidden="1" x14ac:dyDescent="0.25">
      <c r="A276" s="16">
        <v>273</v>
      </c>
      <c r="G276" s="16" t="s">
        <v>77</v>
      </c>
      <c r="I276" s="16" t="s">
        <v>75</v>
      </c>
      <c r="L276" s="105" t="s">
        <v>99</v>
      </c>
      <c r="M276" s="17" t="str">
        <f>VLOOKUP(RiskRegister[[#This Row],[Inherent Impact LevelL3:L1020D1007L3:L1019]],'Rating factors'!$F$4:$G$9,2,FALSE)</f>
        <v>--- Error ---</v>
      </c>
      <c r="N276" s="16" t="s">
        <v>79</v>
      </c>
      <c r="O276" s="17" t="str">
        <f>VLOOKUP(RiskRegister[[#This Row],[Inherent Likelihood Level]],'Rating factors'!$F$16:$G$21,2,FALSE)</f>
        <v>--- Error ---</v>
      </c>
      <c r="P276" s="17" t="str">
        <f>IFERROR(VLOOKUP(RiskRegister[[#This Row],[Inherent Risk Rating]],'Rating factors'!$F$30:$G$44,2,FALSE),"-- Error --")</f>
        <v>-- Error --</v>
      </c>
      <c r="Q276" s="17" t="str">
        <f>IFERROR(RiskRegister[[#This Row],[Inherent Impact Rating]]*RiskRegister[[#This Row],[Inherent Likelihood Rating]],"-- Error --")</f>
        <v>-- Error --</v>
      </c>
      <c r="R276" s="16" t="s">
        <v>98</v>
      </c>
      <c r="T276" s="16" t="s">
        <v>99</v>
      </c>
      <c r="U276" s="17" t="e" cm="1">
        <f t="array" aca="1" ref="U276" ca="1">+U276:Y1019VLOOKUP(RiskRegister[[#This Row],[Residual Impact Level]],'Rating factors'!$F$4:$G$9,2,FALSE)</f>
        <v>#NAME?</v>
      </c>
      <c r="V276" s="16" t="s">
        <v>79</v>
      </c>
      <c r="W276" s="17" t="str">
        <f>VLOOKUP(RiskRegister[[#This Row],[Residual Likelihood Level]],'Rating factors'!$F$16:$G$21,2,FALSE)</f>
        <v>--- Error ---</v>
      </c>
      <c r="X276" s="17" t="str">
        <f ca="1">IFERROR(VLOOKUP(RiskRegister[[#This Row],[Residual Risk Rating]],'Rating factors'!$F$30:$G$44,2,FALSE),"-- Error --")</f>
        <v>-- Error --</v>
      </c>
      <c r="Y276" s="17" t="str">
        <f ca="1">IFERROR(RiskRegister[[#This Row],[Residual Impact Rating]]*RiskRegister[[#This Row],[Residual Likelihood Rating]],"-- Error --")</f>
        <v>-- Error --</v>
      </c>
      <c r="Z276" s="16" t="s">
        <v>100</v>
      </c>
      <c r="AB276" s="39"/>
      <c r="AD276" s="20"/>
    </row>
    <row r="277" spans="1:30" s="16" customFormat="1" hidden="1" x14ac:dyDescent="0.25">
      <c r="A277" s="16">
        <v>274</v>
      </c>
      <c r="G277" s="16" t="s">
        <v>77</v>
      </c>
      <c r="I277" s="16" t="s">
        <v>75</v>
      </c>
      <c r="L277" s="105" t="s">
        <v>99</v>
      </c>
      <c r="M277" s="17" t="str">
        <f>VLOOKUP(RiskRegister[[#This Row],[Inherent Impact LevelL3:L1020D1007L3:L1019]],'Rating factors'!$F$4:$G$9,2,FALSE)</f>
        <v>--- Error ---</v>
      </c>
      <c r="N277" s="16" t="s">
        <v>79</v>
      </c>
      <c r="O277" s="17" t="str">
        <f>VLOOKUP(RiskRegister[[#This Row],[Inherent Likelihood Level]],'Rating factors'!$F$16:$G$21,2,FALSE)</f>
        <v>--- Error ---</v>
      </c>
      <c r="P277" s="17" t="str">
        <f>IFERROR(VLOOKUP(RiskRegister[[#This Row],[Inherent Risk Rating]],'Rating factors'!$F$30:$G$44,2,FALSE),"-- Error --")</f>
        <v>-- Error --</v>
      </c>
      <c r="Q277" s="17" t="str">
        <f>IFERROR(RiskRegister[[#This Row],[Inherent Impact Rating]]*RiskRegister[[#This Row],[Inherent Likelihood Rating]],"-- Error --")</f>
        <v>-- Error --</v>
      </c>
      <c r="R277" s="16" t="s">
        <v>98</v>
      </c>
      <c r="T277" s="16" t="s">
        <v>99</v>
      </c>
      <c r="U277" s="17" t="e" cm="1">
        <f t="array" aca="1" ref="U277" ca="1">+U277:Y1019VLOOKUP(RiskRegister[[#This Row],[Residual Impact Level]],'Rating factors'!$F$4:$G$9,2,FALSE)</f>
        <v>#NAME?</v>
      </c>
      <c r="V277" s="16" t="s">
        <v>79</v>
      </c>
      <c r="W277" s="17" t="str">
        <f>VLOOKUP(RiskRegister[[#This Row],[Residual Likelihood Level]],'Rating factors'!$F$16:$G$21,2,FALSE)</f>
        <v>--- Error ---</v>
      </c>
      <c r="X277" s="17" t="str">
        <f ca="1">IFERROR(VLOOKUP(RiskRegister[[#This Row],[Residual Risk Rating]],'Rating factors'!$F$30:$G$44,2,FALSE),"-- Error --")</f>
        <v>-- Error --</v>
      </c>
      <c r="Y277" s="17" t="str">
        <f ca="1">IFERROR(RiskRegister[[#This Row],[Residual Impact Rating]]*RiskRegister[[#This Row],[Residual Likelihood Rating]],"-- Error --")</f>
        <v>-- Error --</v>
      </c>
      <c r="Z277" s="16" t="s">
        <v>100</v>
      </c>
      <c r="AB277" s="39"/>
      <c r="AD277" s="20"/>
    </row>
    <row r="278" spans="1:30" s="16" customFormat="1" hidden="1" x14ac:dyDescent="0.25">
      <c r="A278" s="16">
        <v>275</v>
      </c>
      <c r="G278" s="16" t="s">
        <v>77</v>
      </c>
      <c r="I278" s="16" t="s">
        <v>75</v>
      </c>
      <c r="L278" s="105" t="s">
        <v>99</v>
      </c>
      <c r="M278" s="17" t="str">
        <f>VLOOKUP(RiskRegister[[#This Row],[Inherent Impact LevelL3:L1020D1007L3:L1019]],'Rating factors'!$F$4:$G$9,2,FALSE)</f>
        <v>--- Error ---</v>
      </c>
      <c r="N278" s="16" t="s">
        <v>79</v>
      </c>
      <c r="O278" s="17" t="str">
        <f>VLOOKUP(RiskRegister[[#This Row],[Inherent Likelihood Level]],'Rating factors'!$F$16:$G$21,2,FALSE)</f>
        <v>--- Error ---</v>
      </c>
      <c r="P278" s="17" t="str">
        <f>IFERROR(VLOOKUP(RiskRegister[[#This Row],[Inherent Risk Rating]],'Rating factors'!$F$30:$G$44,2,FALSE),"-- Error --")</f>
        <v>-- Error --</v>
      </c>
      <c r="Q278" s="17" t="str">
        <f>IFERROR(RiskRegister[[#This Row],[Inherent Impact Rating]]*RiskRegister[[#This Row],[Inherent Likelihood Rating]],"-- Error --")</f>
        <v>-- Error --</v>
      </c>
      <c r="R278" s="16" t="s">
        <v>98</v>
      </c>
      <c r="T278" s="16" t="s">
        <v>99</v>
      </c>
      <c r="U278" s="17" t="e" cm="1">
        <f t="array" aca="1" ref="U278" ca="1">+U278:Y1019VLOOKUP(RiskRegister[[#This Row],[Residual Impact Level]],'Rating factors'!$F$4:$G$9,2,FALSE)</f>
        <v>#NAME?</v>
      </c>
      <c r="V278" s="16" t="s">
        <v>79</v>
      </c>
      <c r="W278" s="17" t="str">
        <f>VLOOKUP(RiskRegister[[#This Row],[Residual Likelihood Level]],'Rating factors'!$F$16:$G$21,2,FALSE)</f>
        <v>--- Error ---</v>
      </c>
      <c r="X278" s="17" t="str">
        <f ca="1">IFERROR(VLOOKUP(RiskRegister[[#This Row],[Residual Risk Rating]],'Rating factors'!$F$30:$G$44,2,FALSE),"-- Error --")</f>
        <v>-- Error --</v>
      </c>
      <c r="Y278" s="17" t="str">
        <f ca="1">IFERROR(RiskRegister[[#This Row],[Residual Impact Rating]]*RiskRegister[[#This Row],[Residual Likelihood Rating]],"-- Error --")</f>
        <v>-- Error --</v>
      </c>
      <c r="Z278" s="16" t="s">
        <v>100</v>
      </c>
      <c r="AB278" s="39"/>
      <c r="AD278" s="20"/>
    </row>
    <row r="279" spans="1:30" s="16" customFormat="1" hidden="1" x14ac:dyDescent="0.25">
      <c r="A279" s="16">
        <v>276</v>
      </c>
      <c r="G279" s="16" t="s">
        <v>77</v>
      </c>
      <c r="I279" s="16" t="s">
        <v>75</v>
      </c>
      <c r="L279" s="105" t="s">
        <v>99</v>
      </c>
      <c r="M279" s="17" t="str">
        <f>VLOOKUP(RiskRegister[[#This Row],[Inherent Impact LevelL3:L1020D1007L3:L1019]],'Rating factors'!$F$4:$G$9,2,FALSE)</f>
        <v>--- Error ---</v>
      </c>
      <c r="N279" s="16" t="s">
        <v>79</v>
      </c>
      <c r="O279" s="17" t="str">
        <f>VLOOKUP(RiskRegister[[#This Row],[Inherent Likelihood Level]],'Rating factors'!$F$16:$G$21,2,FALSE)</f>
        <v>--- Error ---</v>
      </c>
      <c r="P279" s="17" t="str">
        <f>IFERROR(VLOOKUP(RiskRegister[[#This Row],[Inherent Risk Rating]],'Rating factors'!$F$30:$G$44,2,FALSE),"-- Error --")</f>
        <v>-- Error --</v>
      </c>
      <c r="Q279" s="17" t="str">
        <f>IFERROR(RiskRegister[[#This Row],[Inherent Impact Rating]]*RiskRegister[[#This Row],[Inherent Likelihood Rating]],"-- Error --")</f>
        <v>-- Error --</v>
      </c>
      <c r="R279" s="16" t="s">
        <v>98</v>
      </c>
      <c r="T279" s="16" t="s">
        <v>99</v>
      </c>
      <c r="U279" s="17" t="e" cm="1">
        <f t="array" aca="1" ref="U279" ca="1">+U279:Y1019VLOOKUP(RiskRegister[[#This Row],[Residual Impact Level]],'Rating factors'!$F$4:$G$9,2,FALSE)</f>
        <v>#NAME?</v>
      </c>
      <c r="V279" s="16" t="s">
        <v>79</v>
      </c>
      <c r="W279" s="17" t="str">
        <f>VLOOKUP(RiskRegister[[#This Row],[Residual Likelihood Level]],'Rating factors'!$F$16:$G$21,2,FALSE)</f>
        <v>--- Error ---</v>
      </c>
      <c r="X279" s="17" t="str">
        <f ca="1">IFERROR(VLOOKUP(RiskRegister[[#This Row],[Residual Risk Rating]],'Rating factors'!$F$30:$G$44,2,FALSE),"-- Error --")</f>
        <v>-- Error --</v>
      </c>
      <c r="Y279" s="17" t="str">
        <f ca="1">IFERROR(RiskRegister[[#This Row],[Residual Impact Rating]]*RiskRegister[[#This Row],[Residual Likelihood Rating]],"-- Error --")</f>
        <v>-- Error --</v>
      </c>
      <c r="Z279" s="16" t="s">
        <v>100</v>
      </c>
      <c r="AB279" s="39"/>
      <c r="AD279" s="20"/>
    </row>
    <row r="280" spans="1:30" s="16" customFormat="1" hidden="1" x14ac:dyDescent="0.25">
      <c r="A280" s="16">
        <v>277</v>
      </c>
      <c r="G280" s="16" t="s">
        <v>77</v>
      </c>
      <c r="I280" s="16" t="s">
        <v>75</v>
      </c>
      <c r="L280" s="105" t="s">
        <v>99</v>
      </c>
      <c r="M280" s="17" t="str">
        <f>VLOOKUP(RiskRegister[[#This Row],[Inherent Impact LevelL3:L1020D1007L3:L1019]],'Rating factors'!$F$4:$G$9,2,FALSE)</f>
        <v>--- Error ---</v>
      </c>
      <c r="N280" s="16" t="s">
        <v>79</v>
      </c>
      <c r="O280" s="17" t="str">
        <f>VLOOKUP(RiskRegister[[#This Row],[Inherent Likelihood Level]],'Rating factors'!$F$16:$G$21,2,FALSE)</f>
        <v>--- Error ---</v>
      </c>
      <c r="P280" s="17" t="str">
        <f>IFERROR(VLOOKUP(RiskRegister[[#This Row],[Inherent Risk Rating]],'Rating factors'!$F$30:$G$44,2,FALSE),"-- Error --")</f>
        <v>-- Error --</v>
      </c>
      <c r="Q280" s="17" t="str">
        <f>IFERROR(RiskRegister[[#This Row],[Inherent Impact Rating]]*RiskRegister[[#This Row],[Inherent Likelihood Rating]],"-- Error --")</f>
        <v>-- Error --</v>
      </c>
      <c r="R280" s="16" t="s">
        <v>98</v>
      </c>
      <c r="T280" s="16" t="s">
        <v>99</v>
      </c>
      <c r="U280" s="17" t="e" cm="1">
        <f t="array" aca="1" ref="U280" ca="1">+U280:Y1019VLOOKUP(RiskRegister[[#This Row],[Residual Impact Level]],'Rating factors'!$F$4:$G$9,2,FALSE)</f>
        <v>#NAME?</v>
      </c>
      <c r="V280" s="16" t="s">
        <v>79</v>
      </c>
      <c r="W280" s="17" t="str">
        <f>VLOOKUP(RiskRegister[[#This Row],[Residual Likelihood Level]],'Rating factors'!$F$16:$G$21,2,FALSE)</f>
        <v>--- Error ---</v>
      </c>
      <c r="X280" s="17" t="str">
        <f ca="1">IFERROR(VLOOKUP(RiskRegister[[#This Row],[Residual Risk Rating]],'Rating factors'!$F$30:$G$44,2,FALSE),"-- Error --")</f>
        <v>-- Error --</v>
      </c>
      <c r="Y280" s="17" t="str">
        <f ca="1">IFERROR(RiskRegister[[#This Row],[Residual Impact Rating]]*RiskRegister[[#This Row],[Residual Likelihood Rating]],"-- Error --")</f>
        <v>-- Error --</v>
      </c>
      <c r="Z280" s="16" t="s">
        <v>100</v>
      </c>
      <c r="AB280" s="39"/>
      <c r="AD280" s="20"/>
    </row>
    <row r="281" spans="1:30" s="16" customFormat="1" hidden="1" x14ac:dyDescent="0.25">
      <c r="A281" s="16">
        <v>278</v>
      </c>
      <c r="G281" s="16" t="s">
        <v>77</v>
      </c>
      <c r="I281" s="16" t="s">
        <v>75</v>
      </c>
      <c r="L281" s="105" t="s">
        <v>99</v>
      </c>
      <c r="M281" s="17" t="str">
        <f>VLOOKUP(RiskRegister[[#This Row],[Inherent Impact LevelL3:L1020D1007L3:L1019]],'Rating factors'!$F$4:$G$9,2,FALSE)</f>
        <v>--- Error ---</v>
      </c>
      <c r="N281" s="16" t="s">
        <v>79</v>
      </c>
      <c r="O281" s="17" t="str">
        <f>VLOOKUP(RiskRegister[[#This Row],[Inherent Likelihood Level]],'Rating factors'!$F$16:$G$21,2,FALSE)</f>
        <v>--- Error ---</v>
      </c>
      <c r="P281" s="17" t="str">
        <f>IFERROR(VLOOKUP(RiskRegister[[#This Row],[Inherent Risk Rating]],'Rating factors'!$F$30:$G$44,2,FALSE),"-- Error --")</f>
        <v>-- Error --</v>
      </c>
      <c r="Q281" s="17" t="str">
        <f>IFERROR(RiskRegister[[#This Row],[Inherent Impact Rating]]*RiskRegister[[#This Row],[Inherent Likelihood Rating]],"-- Error --")</f>
        <v>-- Error --</v>
      </c>
      <c r="R281" s="16" t="s">
        <v>98</v>
      </c>
      <c r="T281" s="16" t="s">
        <v>99</v>
      </c>
      <c r="U281" s="17" t="e" cm="1">
        <f t="array" aca="1" ref="U281" ca="1">+U281:Y1019VLOOKUP(RiskRegister[[#This Row],[Residual Impact Level]],'Rating factors'!$F$4:$G$9,2,FALSE)</f>
        <v>#NAME?</v>
      </c>
      <c r="V281" s="16" t="s">
        <v>79</v>
      </c>
      <c r="W281" s="17" t="str">
        <f>VLOOKUP(RiskRegister[[#This Row],[Residual Likelihood Level]],'Rating factors'!$F$16:$G$21,2,FALSE)</f>
        <v>--- Error ---</v>
      </c>
      <c r="X281" s="17" t="str">
        <f ca="1">IFERROR(VLOOKUP(RiskRegister[[#This Row],[Residual Risk Rating]],'Rating factors'!$F$30:$G$44,2,FALSE),"-- Error --")</f>
        <v>-- Error --</v>
      </c>
      <c r="Y281" s="17" t="str">
        <f ca="1">IFERROR(RiskRegister[[#This Row],[Residual Impact Rating]]*RiskRegister[[#This Row],[Residual Likelihood Rating]],"-- Error --")</f>
        <v>-- Error --</v>
      </c>
      <c r="Z281" s="16" t="s">
        <v>100</v>
      </c>
      <c r="AB281" s="39"/>
      <c r="AD281" s="20"/>
    </row>
    <row r="282" spans="1:30" s="16" customFormat="1" hidden="1" x14ac:dyDescent="0.25">
      <c r="A282" s="16">
        <v>279</v>
      </c>
      <c r="G282" s="16" t="s">
        <v>77</v>
      </c>
      <c r="I282" s="16" t="s">
        <v>75</v>
      </c>
      <c r="L282" s="105" t="s">
        <v>99</v>
      </c>
      <c r="M282" s="17" t="str">
        <f>VLOOKUP(RiskRegister[[#This Row],[Inherent Impact LevelL3:L1020D1007L3:L1019]],'Rating factors'!$F$4:$G$9,2,FALSE)</f>
        <v>--- Error ---</v>
      </c>
      <c r="N282" s="16" t="s">
        <v>79</v>
      </c>
      <c r="O282" s="17" t="str">
        <f>VLOOKUP(RiskRegister[[#This Row],[Inherent Likelihood Level]],'Rating factors'!$F$16:$G$21,2,FALSE)</f>
        <v>--- Error ---</v>
      </c>
      <c r="P282" s="17" t="str">
        <f>IFERROR(VLOOKUP(RiskRegister[[#This Row],[Inherent Risk Rating]],'Rating factors'!$F$30:$G$44,2,FALSE),"-- Error --")</f>
        <v>-- Error --</v>
      </c>
      <c r="Q282" s="17" t="str">
        <f>IFERROR(RiskRegister[[#This Row],[Inherent Impact Rating]]*RiskRegister[[#This Row],[Inherent Likelihood Rating]],"-- Error --")</f>
        <v>-- Error --</v>
      </c>
      <c r="R282" s="16" t="s">
        <v>98</v>
      </c>
      <c r="T282" s="16" t="s">
        <v>99</v>
      </c>
      <c r="U282" s="17" t="e" cm="1">
        <f t="array" aca="1" ref="U282" ca="1">+U282:Y1019VLOOKUP(RiskRegister[[#This Row],[Residual Impact Level]],'Rating factors'!$F$4:$G$9,2,FALSE)</f>
        <v>#NAME?</v>
      </c>
      <c r="V282" s="16" t="s">
        <v>79</v>
      </c>
      <c r="W282" s="17" t="str">
        <f>VLOOKUP(RiskRegister[[#This Row],[Residual Likelihood Level]],'Rating factors'!$F$16:$G$21,2,FALSE)</f>
        <v>--- Error ---</v>
      </c>
      <c r="X282" s="17" t="str">
        <f ca="1">IFERROR(VLOOKUP(RiskRegister[[#This Row],[Residual Risk Rating]],'Rating factors'!$F$30:$G$44,2,FALSE),"-- Error --")</f>
        <v>-- Error --</v>
      </c>
      <c r="Y282" s="17" t="str">
        <f ca="1">IFERROR(RiskRegister[[#This Row],[Residual Impact Rating]]*RiskRegister[[#This Row],[Residual Likelihood Rating]],"-- Error --")</f>
        <v>-- Error --</v>
      </c>
      <c r="Z282" s="16" t="s">
        <v>100</v>
      </c>
      <c r="AB282" s="39"/>
      <c r="AD282" s="20"/>
    </row>
    <row r="283" spans="1:30" s="16" customFormat="1" hidden="1" x14ac:dyDescent="0.25">
      <c r="A283" s="16">
        <v>280</v>
      </c>
      <c r="G283" s="16" t="s">
        <v>77</v>
      </c>
      <c r="I283" s="16" t="s">
        <v>75</v>
      </c>
      <c r="L283" s="105" t="s">
        <v>99</v>
      </c>
      <c r="M283" s="17" t="str">
        <f>VLOOKUP(RiskRegister[[#This Row],[Inherent Impact LevelL3:L1020D1007L3:L1019]],'Rating factors'!$F$4:$G$9,2,FALSE)</f>
        <v>--- Error ---</v>
      </c>
      <c r="N283" s="16" t="s">
        <v>79</v>
      </c>
      <c r="O283" s="17" t="str">
        <f>VLOOKUP(RiskRegister[[#This Row],[Inherent Likelihood Level]],'Rating factors'!$F$16:$G$21,2,FALSE)</f>
        <v>--- Error ---</v>
      </c>
      <c r="P283" s="17" t="str">
        <f>IFERROR(VLOOKUP(RiskRegister[[#This Row],[Inherent Risk Rating]],'Rating factors'!$F$30:$G$44,2,FALSE),"-- Error --")</f>
        <v>-- Error --</v>
      </c>
      <c r="Q283" s="17" t="str">
        <f>IFERROR(RiskRegister[[#This Row],[Inherent Impact Rating]]*RiskRegister[[#This Row],[Inherent Likelihood Rating]],"-- Error --")</f>
        <v>-- Error --</v>
      </c>
      <c r="R283" s="16" t="s">
        <v>98</v>
      </c>
      <c r="T283" s="16" t="s">
        <v>99</v>
      </c>
      <c r="U283" s="17" t="e" cm="1">
        <f t="array" aca="1" ref="U283" ca="1">+U283:Y1019VLOOKUP(RiskRegister[[#This Row],[Residual Impact Level]],'Rating factors'!$F$4:$G$9,2,FALSE)</f>
        <v>#NAME?</v>
      </c>
      <c r="V283" s="16" t="s">
        <v>79</v>
      </c>
      <c r="W283" s="17" t="str">
        <f>VLOOKUP(RiskRegister[[#This Row],[Residual Likelihood Level]],'Rating factors'!$F$16:$G$21,2,FALSE)</f>
        <v>--- Error ---</v>
      </c>
      <c r="X283" s="17" t="str">
        <f ca="1">IFERROR(VLOOKUP(RiskRegister[[#This Row],[Residual Risk Rating]],'Rating factors'!$F$30:$G$44,2,FALSE),"-- Error --")</f>
        <v>-- Error --</v>
      </c>
      <c r="Y283" s="17" t="str">
        <f ca="1">IFERROR(RiskRegister[[#This Row],[Residual Impact Rating]]*RiskRegister[[#This Row],[Residual Likelihood Rating]],"-- Error --")</f>
        <v>-- Error --</v>
      </c>
      <c r="Z283" s="16" t="s">
        <v>100</v>
      </c>
      <c r="AB283" s="39"/>
      <c r="AD283" s="20"/>
    </row>
    <row r="284" spans="1:30" s="16" customFormat="1" hidden="1" x14ac:dyDescent="0.25">
      <c r="A284" s="16">
        <v>281</v>
      </c>
      <c r="G284" s="16" t="s">
        <v>77</v>
      </c>
      <c r="I284" s="16" t="s">
        <v>75</v>
      </c>
      <c r="L284" s="105" t="s">
        <v>99</v>
      </c>
      <c r="M284" s="17" t="str">
        <f>VLOOKUP(RiskRegister[[#This Row],[Inherent Impact LevelL3:L1020D1007L3:L1019]],'Rating factors'!$F$4:$G$9,2,FALSE)</f>
        <v>--- Error ---</v>
      </c>
      <c r="N284" s="16" t="s">
        <v>79</v>
      </c>
      <c r="O284" s="17" t="str">
        <f>VLOOKUP(RiskRegister[[#This Row],[Inherent Likelihood Level]],'Rating factors'!$F$16:$G$21,2,FALSE)</f>
        <v>--- Error ---</v>
      </c>
      <c r="P284" s="17" t="str">
        <f>IFERROR(VLOOKUP(RiskRegister[[#This Row],[Inherent Risk Rating]],'Rating factors'!$F$30:$G$44,2,FALSE),"-- Error --")</f>
        <v>-- Error --</v>
      </c>
      <c r="Q284" s="17" t="str">
        <f>IFERROR(RiskRegister[[#This Row],[Inherent Impact Rating]]*RiskRegister[[#This Row],[Inherent Likelihood Rating]],"-- Error --")</f>
        <v>-- Error --</v>
      </c>
      <c r="R284" s="16" t="s">
        <v>98</v>
      </c>
      <c r="T284" s="16" t="s">
        <v>99</v>
      </c>
      <c r="U284" s="17" t="e" cm="1">
        <f t="array" aca="1" ref="U284" ca="1">+U284:Y1019VLOOKUP(RiskRegister[[#This Row],[Residual Impact Level]],'Rating factors'!$F$4:$G$9,2,FALSE)</f>
        <v>#NAME?</v>
      </c>
      <c r="V284" s="16" t="s">
        <v>79</v>
      </c>
      <c r="W284" s="17" t="str">
        <f>VLOOKUP(RiskRegister[[#This Row],[Residual Likelihood Level]],'Rating factors'!$F$16:$G$21,2,FALSE)</f>
        <v>--- Error ---</v>
      </c>
      <c r="X284" s="17" t="str">
        <f ca="1">IFERROR(VLOOKUP(RiskRegister[[#This Row],[Residual Risk Rating]],'Rating factors'!$F$30:$G$44,2,FALSE),"-- Error --")</f>
        <v>-- Error --</v>
      </c>
      <c r="Y284" s="17" t="str">
        <f ca="1">IFERROR(RiskRegister[[#This Row],[Residual Impact Rating]]*RiskRegister[[#This Row],[Residual Likelihood Rating]],"-- Error --")</f>
        <v>-- Error --</v>
      </c>
      <c r="Z284" s="16" t="s">
        <v>100</v>
      </c>
      <c r="AB284" s="39"/>
      <c r="AD284" s="20"/>
    </row>
    <row r="285" spans="1:30" s="16" customFormat="1" hidden="1" x14ac:dyDescent="0.25">
      <c r="A285" s="16">
        <v>282</v>
      </c>
      <c r="G285" s="16" t="s">
        <v>77</v>
      </c>
      <c r="I285" s="16" t="s">
        <v>75</v>
      </c>
      <c r="L285" s="105" t="s">
        <v>99</v>
      </c>
      <c r="M285" s="17" t="str">
        <f>VLOOKUP(RiskRegister[[#This Row],[Inherent Impact LevelL3:L1020D1007L3:L1019]],'Rating factors'!$F$4:$G$9,2,FALSE)</f>
        <v>--- Error ---</v>
      </c>
      <c r="N285" s="16" t="s">
        <v>79</v>
      </c>
      <c r="O285" s="17" t="str">
        <f>VLOOKUP(RiskRegister[[#This Row],[Inherent Likelihood Level]],'Rating factors'!$F$16:$G$21,2,FALSE)</f>
        <v>--- Error ---</v>
      </c>
      <c r="P285" s="17" t="str">
        <f>IFERROR(VLOOKUP(RiskRegister[[#This Row],[Inherent Risk Rating]],'Rating factors'!$F$30:$G$44,2,FALSE),"-- Error --")</f>
        <v>-- Error --</v>
      </c>
      <c r="Q285" s="17" t="str">
        <f>IFERROR(RiskRegister[[#This Row],[Inherent Impact Rating]]*RiskRegister[[#This Row],[Inherent Likelihood Rating]],"-- Error --")</f>
        <v>-- Error --</v>
      </c>
      <c r="R285" s="16" t="s">
        <v>98</v>
      </c>
      <c r="T285" s="16" t="s">
        <v>99</v>
      </c>
      <c r="U285" s="17" t="e" cm="1">
        <f t="array" aca="1" ref="U285" ca="1">+U285:Y1019VLOOKUP(RiskRegister[[#This Row],[Residual Impact Level]],'Rating factors'!$F$4:$G$9,2,FALSE)</f>
        <v>#NAME?</v>
      </c>
      <c r="V285" s="16" t="s">
        <v>79</v>
      </c>
      <c r="W285" s="17" t="str">
        <f>VLOOKUP(RiskRegister[[#This Row],[Residual Likelihood Level]],'Rating factors'!$F$16:$G$21,2,FALSE)</f>
        <v>--- Error ---</v>
      </c>
      <c r="X285" s="17" t="str">
        <f ca="1">IFERROR(VLOOKUP(RiskRegister[[#This Row],[Residual Risk Rating]],'Rating factors'!$F$30:$G$44,2,FALSE),"-- Error --")</f>
        <v>-- Error --</v>
      </c>
      <c r="Y285" s="17" t="str">
        <f ca="1">IFERROR(RiskRegister[[#This Row],[Residual Impact Rating]]*RiskRegister[[#This Row],[Residual Likelihood Rating]],"-- Error --")</f>
        <v>-- Error --</v>
      </c>
      <c r="Z285" s="16" t="s">
        <v>100</v>
      </c>
      <c r="AB285" s="39"/>
      <c r="AD285" s="20"/>
    </row>
    <row r="286" spans="1:30" s="16" customFormat="1" hidden="1" x14ac:dyDescent="0.25">
      <c r="A286" s="16">
        <v>283</v>
      </c>
      <c r="G286" s="16" t="s">
        <v>77</v>
      </c>
      <c r="I286" s="16" t="s">
        <v>75</v>
      </c>
      <c r="L286" s="105" t="s">
        <v>99</v>
      </c>
      <c r="M286" s="17" t="str">
        <f>VLOOKUP(RiskRegister[[#This Row],[Inherent Impact LevelL3:L1020D1007L3:L1019]],'Rating factors'!$F$4:$G$9,2,FALSE)</f>
        <v>--- Error ---</v>
      </c>
      <c r="N286" s="16" t="s">
        <v>79</v>
      </c>
      <c r="O286" s="17" t="str">
        <f>VLOOKUP(RiskRegister[[#This Row],[Inherent Likelihood Level]],'Rating factors'!$F$16:$G$21,2,FALSE)</f>
        <v>--- Error ---</v>
      </c>
      <c r="P286" s="17" t="str">
        <f>IFERROR(VLOOKUP(RiskRegister[[#This Row],[Inherent Risk Rating]],'Rating factors'!$F$30:$G$44,2,FALSE),"-- Error --")</f>
        <v>-- Error --</v>
      </c>
      <c r="Q286" s="17" t="str">
        <f>IFERROR(RiskRegister[[#This Row],[Inherent Impact Rating]]*RiskRegister[[#This Row],[Inherent Likelihood Rating]],"-- Error --")</f>
        <v>-- Error --</v>
      </c>
      <c r="R286" s="16" t="s">
        <v>98</v>
      </c>
      <c r="T286" s="16" t="s">
        <v>99</v>
      </c>
      <c r="U286" s="17" t="e" cm="1">
        <f t="array" aca="1" ref="U286" ca="1">+U286:Y1019VLOOKUP(RiskRegister[[#This Row],[Residual Impact Level]],'Rating factors'!$F$4:$G$9,2,FALSE)</f>
        <v>#NAME?</v>
      </c>
      <c r="V286" s="16" t="s">
        <v>79</v>
      </c>
      <c r="W286" s="17" t="str">
        <f>VLOOKUP(RiskRegister[[#This Row],[Residual Likelihood Level]],'Rating factors'!$F$16:$G$21,2,FALSE)</f>
        <v>--- Error ---</v>
      </c>
      <c r="X286" s="17" t="str">
        <f ca="1">IFERROR(VLOOKUP(RiskRegister[[#This Row],[Residual Risk Rating]],'Rating factors'!$F$30:$G$44,2,FALSE),"-- Error --")</f>
        <v>-- Error --</v>
      </c>
      <c r="Y286" s="17" t="str">
        <f ca="1">IFERROR(RiskRegister[[#This Row],[Residual Impact Rating]]*RiskRegister[[#This Row],[Residual Likelihood Rating]],"-- Error --")</f>
        <v>-- Error --</v>
      </c>
      <c r="Z286" s="16" t="s">
        <v>100</v>
      </c>
      <c r="AB286" s="39"/>
      <c r="AD286" s="20"/>
    </row>
    <row r="287" spans="1:30" s="16" customFormat="1" hidden="1" x14ac:dyDescent="0.25">
      <c r="A287" s="16">
        <v>284</v>
      </c>
      <c r="G287" s="16" t="s">
        <v>77</v>
      </c>
      <c r="I287" s="16" t="s">
        <v>75</v>
      </c>
      <c r="L287" s="105" t="s">
        <v>99</v>
      </c>
      <c r="M287" s="17" t="str">
        <f>VLOOKUP(RiskRegister[[#This Row],[Inherent Impact LevelL3:L1020D1007L3:L1019]],'Rating factors'!$F$4:$G$9,2,FALSE)</f>
        <v>--- Error ---</v>
      </c>
      <c r="N287" s="16" t="s">
        <v>79</v>
      </c>
      <c r="O287" s="17" t="str">
        <f>VLOOKUP(RiskRegister[[#This Row],[Inherent Likelihood Level]],'Rating factors'!$F$16:$G$21,2,FALSE)</f>
        <v>--- Error ---</v>
      </c>
      <c r="P287" s="17" t="str">
        <f>IFERROR(VLOOKUP(RiskRegister[[#This Row],[Inherent Risk Rating]],'Rating factors'!$F$30:$G$44,2,FALSE),"-- Error --")</f>
        <v>-- Error --</v>
      </c>
      <c r="Q287" s="17" t="str">
        <f>IFERROR(RiskRegister[[#This Row],[Inherent Impact Rating]]*RiskRegister[[#This Row],[Inherent Likelihood Rating]],"-- Error --")</f>
        <v>-- Error --</v>
      </c>
      <c r="R287" s="16" t="s">
        <v>98</v>
      </c>
      <c r="T287" s="16" t="s">
        <v>99</v>
      </c>
      <c r="U287" s="17" t="e" cm="1">
        <f t="array" aca="1" ref="U287" ca="1">+U287:Y1019VLOOKUP(RiskRegister[[#This Row],[Residual Impact Level]],'Rating factors'!$F$4:$G$9,2,FALSE)</f>
        <v>#NAME?</v>
      </c>
      <c r="V287" s="16" t="s">
        <v>79</v>
      </c>
      <c r="W287" s="17" t="str">
        <f>VLOOKUP(RiskRegister[[#This Row],[Residual Likelihood Level]],'Rating factors'!$F$16:$G$21,2,FALSE)</f>
        <v>--- Error ---</v>
      </c>
      <c r="X287" s="17" t="str">
        <f ca="1">IFERROR(VLOOKUP(RiskRegister[[#This Row],[Residual Risk Rating]],'Rating factors'!$F$30:$G$44,2,FALSE),"-- Error --")</f>
        <v>-- Error --</v>
      </c>
      <c r="Y287" s="17" t="str">
        <f ca="1">IFERROR(RiskRegister[[#This Row],[Residual Impact Rating]]*RiskRegister[[#This Row],[Residual Likelihood Rating]],"-- Error --")</f>
        <v>-- Error --</v>
      </c>
      <c r="Z287" s="16" t="s">
        <v>100</v>
      </c>
      <c r="AB287" s="39"/>
      <c r="AD287" s="20"/>
    </row>
    <row r="288" spans="1:30" s="16" customFormat="1" hidden="1" x14ac:dyDescent="0.25">
      <c r="A288" s="16">
        <v>285</v>
      </c>
      <c r="G288" s="16" t="s">
        <v>77</v>
      </c>
      <c r="I288" s="16" t="s">
        <v>75</v>
      </c>
      <c r="L288" s="105" t="s">
        <v>99</v>
      </c>
      <c r="M288" s="17" t="str">
        <f>VLOOKUP(RiskRegister[[#This Row],[Inherent Impact LevelL3:L1020D1007L3:L1019]],'Rating factors'!$F$4:$G$9,2,FALSE)</f>
        <v>--- Error ---</v>
      </c>
      <c r="N288" s="16" t="s">
        <v>79</v>
      </c>
      <c r="O288" s="17" t="str">
        <f>VLOOKUP(RiskRegister[[#This Row],[Inherent Likelihood Level]],'Rating factors'!$F$16:$G$21,2,FALSE)</f>
        <v>--- Error ---</v>
      </c>
      <c r="P288" s="17" t="str">
        <f>IFERROR(VLOOKUP(RiskRegister[[#This Row],[Inherent Risk Rating]],'Rating factors'!$F$30:$G$44,2,FALSE),"-- Error --")</f>
        <v>-- Error --</v>
      </c>
      <c r="Q288" s="17" t="str">
        <f>IFERROR(RiskRegister[[#This Row],[Inherent Impact Rating]]*RiskRegister[[#This Row],[Inherent Likelihood Rating]],"-- Error --")</f>
        <v>-- Error --</v>
      </c>
      <c r="R288" s="16" t="s">
        <v>98</v>
      </c>
      <c r="T288" s="16" t="s">
        <v>99</v>
      </c>
      <c r="U288" s="17" t="e" cm="1">
        <f t="array" aca="1" ref="U288" ca="1">+U288:Y1019VLOOKUP(RiskRegister[[#This Row],[Residual Impact Level]],'Rating factors'!$F$4:$G$9,2,FALSE)</f>
        <v>#NAME?</v>
      </c>
      <c r="V288" s="16" t="s">
        <v>79</v>
      </c>
      <c r="W288" s="17" t="str">
        <f>VLOOKUP(RiskRegister[[#This Row],[Residual Likelihood Level]],'Rating factors'!$F$16:$G$21,2,FALSE)</f>
        <v>--- Error ---</v>
      </c>
      <c r="X288" s="17" t="str">
        <f ca="1">IFERROR(VLOOKUP(RiskRegister[[#This Row],[Residual Risk Rating]],'Rating factors'!$F$30:$G$44,2,FALSE),"-- Error --")</f>
        <v>-- Error --</v>
      </c>
      <c r="Y288" s="17" t="str">
        <f ca="1">IFERROR(RiskRegister[[#This Row],[Residual Impact Rating]]*RiskRegister[[#This Row],[Residual Likelihood Rating]],"-- Error --")</f>
        <v>-- Error --</v>
      </c>
      <c r="Z288" s="16" t="s">
        <v>100</v>
      </c>
      <c r="AB288" s="39"/>
      <c r="AD288" s="20"/>
    </row>
    <row r="289" spans="1:30" s="16" customFormat="1" hidden="1" x14ac:dyDescent="0.25">
      <c r="A289" s="16">
        <v>286</v>
      </c>
      <c r="G289" s="16" t="s">
        <v>77</v>
      </c>
      <c r="I289" s="16" t="s">
        <v>75</v>
      </c>
      <c r="L289" s="105" t="s">
        <v>99</v>
      </c>
      <c r="M289" s="17" t="str">
        <f>VLOOKUP(RiskRegister[[#This Row],[Inherent Impact LevelL3:L1020D1007L3:L1019]],'Rating factors'!$F$4:$G$9,2,FALSE)</f>
        <v>--- Error ---</v>
      </c>
      <c r="N289" s="16" t="s">
        <v>79</v>
      </c>
      <c r="O289" s="17" t="str">
        <f>VLOOKUP(RiskRegister[[#This Row],[Inherent Likelihood Level]],'Rating factors'!$F$16:$G$21,2,FALSE)</f>
        <v>--- Error ---</v>
      </c>
      <c r="P289" s="17" t="str">
        <f>IFERROR(VLOOKUP(RiskRegister[[#This Row],[Inherent Risk Rating]],'Rating factors'!$F$30:$G$44,2,FALSE),"-- Error --")</f>
        <v>-- Error --</v>
      </c>
      <c r="Q289" s="17" t="str">
        <f>IFERROR(RiskRegister[[#This Row],[Inherent Impact Rating]]*RiskRegister[[#This Row],[Inherent Likelihood Rating]],"-- Error --")</f>
        <v>-- Error --</v>
      </c>
      <c r="R289" s="16" t="s">
        <v>98</v>
      </c>
      <c r="T289" s="16" t="s">
        <v>99</v>
      </c>
      <c r="U289" s="17" t="e" cm="1">
        <f t="array" aca="1" ref="U289" ca="1">+U289:Y1019VLOOKUP(RiskRegister[[#This Row],[Residual Impact Level]],'Rating factors'!$F$4:$G$9,2,FALSE)</f>
        <v>#NAME?</v>
      </c>
      <c r="V289" s="16" t="s">
        <v>79</v>
      </c>
      <c r="W289" s="17" t="str">
        <f>VLOOKUP(RiskRegister[[#This Row],[Residual Likelihood Level]],'Rating factors'!$F$16:$G$21,2,FALSE)</f>
        <v>--- Error ---</v>
      </c>
      <c r="X289" s="17" t="str">
        <f ca="1">IFERROR(VLOOKUP(RiskRegister[[#This Row],[Residual Risk Rating]],'Rating factors'!$F$30:$G$44,2,FALSE),"-- Error --")</f>
        <v>-- Error --</v>
      </c>
      <c r="Y289" s="17" t="str">
        <f ca="1">IFERROR(RiskRegister[[#This Row],[Residual Impact Rating]]*RiskRegister[[#This Row],[Residual Likelihood Rating]],"-- Error --")</f>
        <v>-- Error --</v>
      </c>
      <c r="Z289" s="16" t="s">
        <v>100</v>
      </c>
      <c r="AB289" s="39"/>
      <c r="AD289" s="20"/>
    </row>
    <row r="290" spans="1:30" s="16" customFormat="1" hidden="1" x14ac:dyDescent="0.25">
      <c r="A290" s="16">
        <v>287</v>
      </c>
      <c r="G290" s="16" t="s">
        <v>77</v>
      </c>
      <c r="I290" s="16" t="s">
        <v>75</v>
      </c>
      <c r="L290" s="105" t="s">
        <v>99</v>
      </c>
      <c r="M290" s="17" t="str">
        <f>VLOOKUP(RiskRegister[[#This Row],[Inherent Impact LevelL3:L1020D1007L3:L1019]],'Rating factors'!$F$4:$G$9,2,FALSE)</f>
        <v>--- Error ---</v>
      </c>
      <c r="N290" s="16" t="s">
        <v>79</v>
      </c>
      <c r="O290" s="17" t="str">
        <f>VLOOKUP(RiskRegister[[#This Row],[Inherent Likelihood Level]],'Rating factors'!$F$16:$G$21,2,FALSE)</f>
        <v>--- Error ---</v>
      </c>
      <c r="P290" s="17" t="str">
        <f>IFERROR(VLOOKUP(RiskRegister[[#This Row],[Inherent Risk Rating]],'Rating factors'!$F$30:$G$44,2,FALSE),"-- Error --")</f>
        <v>-- Error --</v>
      </c>
      <c r="Q290" s="17" t="str">
        <f>IFERROR(RiskRegister[[#This Row],[Inherent Impact Rating]]*RiskRegister[[#This Row],[Inherent Likelihood Rating]],"-- Error --")</f>
        <v>-- Error --</v>
      </c>
      <c r="R290" s="16" t="s">
        <v>98</v>
      </c>
      <c r="T290" s="16" t="s">
        <v>99</v>
      </c>
      <c r="U290" s="17" t="e" cm="1">
        <f t="array" aca="1" ref="U290" ca="1">+U290:Y1019VLOOKUP(RiskRegister[[#This Row],[Residual Impact Level]],'Rating factors'!$F$4:$G$9,2,FALSE)</f>
        <v>#NAME?</v>
      </c>
      <c r="V290" s="16" t="s">
        <v>79</v>
      </c>
      <c r="W290" s="17" t="str">
        <f>VLOOKUP(RiskRegister[[#This Row],[Residual Likelihood Level]],'Rating factors'!$F$16:$G$21,2,FALSE)</f>
        <v>--- Error ---</v>
      </c>
      <c r="X290" s="17" t="str">
        <f ca="1">IFERROR(VLOOKUP(RiskRegister[[#This Row],[Residual Risk Rating]],'Rating factors'!$F$30:$G$44,2,FALSE),"-- Error --")</f>
        <v>-- Error --</v>
      </c>
      <c r="Y290" s="17" t="str">
        <f ca="1">IFERROR(RiskRegister[[#This Row],[Residual Impact Rating]]*RiskRegister[[#This Row],[Residual Likelihood Rating]],"-- Error --")</f>
        <v>-- Error --</v>
      </c>
      <c r="Z290" s="16" t="s">
        <v>100</v>
      </c>
      <c r="AB290" s="39"/>
      <c r="AD290" s="20"/>
    </row>
    <row r="291" spans="1:30" s="16" customFormat="1" hidden="1" x14ac:dyDescent="0.25">
      <c r="A291" s="16">
        <v>288</v>
      </c>
      <c r="G291" s="16" t="s">
        <v>77</v>
      </c>
      <c r="I291" s="16" t="s">
        <v>75</v>
      </c>
      <c r="L291" s="105" t="s">
        <v>99</v>
      </c>
      <c r="M291" s="17" t="str">
        <f>VLOOKUP(RiskRegister[[#This Row],[Inherent Impact LevelL3:L1020D1007L3:L1019]],'Rating factors'!$F$4:$G$9,2,FALSE)</f>
        <v>--- Error ---</v>
      </c>
      <c r="N291" s="16" t="s">
        <v>79</v>
      </c>
      <c r="O291" s="17" t="str">
        <f>VLOOKUP(RiskRegister[[#This Row],[Inherent Likelihood Level]],'Rating factors'!$F$16:$G$21,2,FALSE)</f>
        <v>--- Error ---</v>
      </c>
      <c r="P291" s="17" t="str">
        <f>IFERROR(VLOOKUP(RiskRegister[[#This Row],[Inherent Risk Rating]],'Rating factors'!$F$30:$G$44,2,FALSE),"-- Error --")</f>
        <v>-- Error --</v>
      </c>
      <c r="Q291" s="17" t="str">
        <f>IFERROR(RiskRegister[[#This Row],[Inherent Impact Rating]]*RiskRegister[[#This Row],[Inherent Likelihood Rating]],"-- Error --")</f>
        <v>-- Error --</v>
      </c>
      <c r="R291" s="16" t="s">
        <v>98</v>
      </c>
      <c r="T291" s="16" t="s">
        <v>99</v>
      </c>
      <c r="U291" s="17" t="e" cm="1">
        <f t="array" aca="1" ref="U291" ca="1">+U291:Y1019VLOOKUP(RiskRegister[[#This Row],[Residual Impact Level]],'Rating factors'!$F$4:$G$9,2,FALSE)</f>
        <v>#NAME?</v>
      </c>
      <c r="V291" s="16" t="s">
        <v>79</v>
      </c>
      <c r="W291" s="17" t="str">
        <f>VLOOKUP(RiskRegister[[#This Row],[Residual Likelihood Level]],'Rating factors'!$F$16:$G$21,2,FALSE)</f>
        <v>--- Error ---</v>
      </c>
      <c r="X291" s="17" t="str">
        <f ca="1">IFERROR(VLOOKUP(RiskRegister[[#This Row],[Residual Risk Rating]],'Rating factors'!$F$30:$G$44,2,FALSE),"-- Error --")</f>
        <v>-- Error --</v>
      </c>
      <c r="Y291" s="17" t="str">
        <f ca="1">IFERROR(RiskRegister[[#This Row],[Residual Impact Rating]]*RiskRegister[[#This Row],[Residual Likelihood Rating]],"-- Error --")</f>
        <v>-- Error --</v>
      </c>
      <c r="Z291" s="16" t="s">
        <v>100</v>
      </c>
      <c r="AB291" s="39"/>
      <c r="AD291" s="20"/>
    </row>
    <row r="292" spans="1:30" s="16" customFormat="1" hidden="1" x14ac:dyDescent="0.25">
      <c r="A292" s="16">
        <v>289</v>
      </c>
      <c r="G292" s="16" t="s">
        <v>77</v>
      </c>
      <c r="I292" s="16" t="s">
        <v>75</v>
      </c>
      <c r="L292" s="105" t="s">
        <v>99</v>
      </c>
      <c r="M292" s="17" t="str">
        <f>VLOOKUP(RiskRegister[[#This Row],[Inherent Impact LevelL3:L1020D1007L3:L1019]],'Rating factors'!$F$4:$G$9,2,FALSE)</f>
        <v>--- Error ---</v>
      </c>
      <c r="N292" s="16" t="s">
        <v>79</v>
      </c>
      <c r="O292" s="17" t="str">
        <f>VLOOKUP(RiskRegister[[#This Row],[Inherent Likelihood Level]],'Rating factors'!$F$16:$G$21,2,FALSE)</f>
        <v>--- Error ---</v>
      </c>
      <c r="P292" s="17" t="str">
        <f>IFERROR(VLOOKUP(RiskRegister[[#This Row],[Inherent Risk Rating]],'Rating factors'!$F$30:$G$44,2,FALSE),"-- Error --")</f>
        <v>-- Error --</v>
      </c>
      <c r="Q292" s="17" t="str">
        <f>IFERROR(RiskRegister[[#This Row],[Inherent Impact Rating]]*RiskRegister[[#This Row],[Inherent Likelihood Rating]],"-- Error --")</f>
        <v>-- Error --</v>
      </c>
      <c r="R292" s="16" t="s">
        <v>98</v>
      </c>
      <c r="T292" s="16" t="s">
        <v>99</v>
      </c>
      <c r="U292" s="17" t="e" cm="1">
        <f t="array" aca="1" ref="U292" ca="1">+U292:Y1019VLOOKUP(RiskRegister[[#This Row],[Residual Impact Level]],'Rating factors'!$F$4:$G$9,2,FALSE)</f>
        <v>#NAME?</v>
      </c>
      <c r="V292" s="16" t="s">
        <v>79</v>
      </c>
      <c r="W292" s="17" t="str">
        <f>VLOOKUP(RiskRegister[[#This Row],[Residual Likelihood Level]],'Rating factors'!$F$16:$G$21,2,FALSE)</f>
        <v>--- Error ---</v>
      </c>
      <c r="X292" s="17" t="str">
        <f ca="1">IFERROR(VLOOKUP(RiskRegister[[#This Row],[Residual Risk Rating]],'Rating factors'!$F$30:$G$44,2,FALSE),"-- Error --")</f>
        <v>-- Error --</v>
      </c>
      <c r="Y292" s="17" t="str">
        <f ca="1">IFERROR(RiskRegister[[#This Row],[Residual Impact Rating]]*RiskRegister[[#This Row],[Residual Likelihood Rating]],"-- Error --")</f>
        <v>-- Error --</v>
      </c>
      <c r="Z292" s="16" t="s">
        <v>100</v>
      </c>
      <c r="AB292" s="39"/>
      <c r="AD292" s="20"/>
    </row>
    <row r="293" spans="1:30" s="16" customFormat="1" hidden="1" x14ac:dyDescent="0.25">
      <c r="A293" s="16">
        <v>290</v>
      </c>
      <c r="G293" s="16" t="s">
        <v>77</v>
      </c>
      <c r="I293" s="16" t="s">
        <v>75</v>
      </c>
      <c r="L293" s="105" t="s">
        <v>99</v>
      </c>
      <c r="M293" s="17" t="str">
        <f>VLOOKUP(RiskRegister[[#This Row],[Inherent Impact LevelL3:L1020D1007L3:L1019]],'Rating factors'!$F$4:$G$9,2,FALSE)</f>
        <v>--- Error ---</v>
      </c>
      <c r="N293" s="16" t="s">
        <v>79</v>
      </c>
      <c r="O293" s="17" t="str">
        <f>VLOOKUP(RiskRegister[[#This Row],[Inherent Likelihood Level]],'Rating factors'!$F$16:$G$21,2,FALSE)</f>
        <v>--- Error ---</v>
      </c>
      <c r="P293" s="17" t="str">
        <f>IFERROR(VLOOKUP(RiskRegister[[#This Row],[Inherent Risk Rating]],'Rating factors'!$F$30:$G$44,2,FALSE),"-- Error --")</f>
        <v>-- Error --</v>
      </c>
      <c r="Q293" s="17" t="str">
        <f>IFERROR(RiskRegister[[#This Row],[Inherent Impact Rating]]*RiskRegister[[#This Row],[Inherent Likelihood Rating]],"-- Error --")</f>
        <v>-- Error --</v>
      </c>
      <c r="R293" s="16" t="s">
        <v>98</v>
      </c>
      <c r="T293" s="16" t="s">
        <v>99</v>
      </c>
      <c r="U293" s="17" t="e" cm="1">
        <f t="array" aca="1" ref="U293" ca="1">+U293:Y1019VLOOKUP(RiskRegister[[#This Row],[Residual Impact Level]],'Rating factors'!$F$4:$G$9,2,FALSE)</f>
        <v>#NAME?</v>
      </c>
      <c r="V293" s="16" t="s">
        <v>79</v>
      </c>
      <c r="W293" s="17" t="str">
        <f>VLOOKUP(RiskRegister[[#This Row],[Residual Likelihood Level]],'Rating factors'!$F$16:$G$21,2,FALSE)</f>
        <v>--- Error ---</v>
      </c>
      <c r="X293" s="17" t="str">
        <f ca="1">IFERROR(VLOOKUP(RiskRegister[[#This Row],[Residual Risk Rating]],'Rating factors'!$F$30:$G$44,2,FALSE),"-- Error --")</f>
        <v>-- Error --</v>
      </c>
      <c r="Y293" s="17" t="str">
        <f ca="1">IFERROR(RiskRegister[[#This Row],[Residual Impact Rating]]*RiskRegister[[#This Row],[Residual Likelihood Rating]],"-- Error --")</f>
        <v>-- Error --</v>
      </c>
      <c r="Z293" s="16" t="s">
        <v>100</v>
      </c>
      <c r="AB293" s="39"/>
      <c r="AD293" s="20"/>
    </row>
    <row r="294" spans="1:30" s="16" customFormat="1" hidden="1" x14ac:dyDescent="0.25">
      <c r="A294" s="16">
        <v>291</v>
      </c>
      <c r="G294" s="16" t="s">
        <v>77</v>
      </c>
      <c r="I294" s="16" t="s">
        <v>75</v>
      </c>
      <c r="L294" s="105" t="s">
        <v>99</v>
      </c>
      <c r="M294" s="17" t="str">
        <f>VLOOKUP(RiskRegister[[#This Row],[Inherent Impact LevelL3:L1020D1007L3:L1019]],'Rating factors'!$F$4:$G$9,2,FALSE)</f>
        <v>--- Error ---</v>
      </c>
      <c r="N294" s="16" t="s">
        <v>79</v>
      </c>
      <c r="O294" s="17" t="str">
        <f>VLOOKUP(RiskRegister[[#This Row],[Inherent Likelihood Level]],'Rating factors'!$F$16:$G$21,2,FALSE)</f>
        <v>--- Error ---</v>
      </c>
      <c r="P294" s="17" t="str">
        <f>IFERROR(VLOOKUP(RiskRegister[[#This Row],[Inherent Risk Rating]],'Rating factors'!$F$30:$G$44,2,FALSE),"-- Error --")</f>
        <v>-- Error --</v>
      </c>
      <c r="Q294" s="17" t="str">
        <f>IFERROR(RiskRegister[[#This Row],[Inherent Impact Rating]]*RiskRegister[[#This Row],[Inherent Likelihood Rating]],"-- Error --")</f>
        <v>-- Error --</v>
      </c>
      <c r="R294" s="16" t="s">
        <v>98</v>
      </c>
      <c r="T294" s="16" t="s">
        <v>99</v>
      </c>
      <c r="U294" s="17" t="e" cm="1">
        <f t="array" aca="1" ref="U294" ca="1">+U294:Y1019VLOOKUP(RiskRegister[[#This Row],[Residual Impact Level]],'Rating factors'!$F$4:$G$9,2,FALSE)</f>
        <v>#NAME?</v>
      </c>
      <c r="V294" s="16" t="s">
        <v>79</v>
      </c>
      <c r="W294" s="17" t="str">
        <f>VLOOKUP(RiskRegister[[#This Row],[Residual Likelihood Level]],'Rating factors'!$F$16:$G$21,2,FALSE)</f>
        <v>--- Error ---</v>
      </c>
      <c r="X294" s="17" t="str">
        <f ca="1">IFERROR(VLOOKUP(RiskRegister[[#This Row],[Residual Risk Rating]],'Rating factors'!$F$30:$G$44,2,FALSE),"-- Error --")</f>
        <v>-- Error --</v>
      </c>
      <c r="Y294" s="17" t="str">
        <f ca="1">IFERROR(RiskRegister[[#This Row],[Residual Impact Rating]]*RiskRegister[[#This Row],[Residual Likelihood Rating]],"-- Error --")</f>
        <v>-- Error --</v>
      </c>
      <c r="Z294" s="16" t="s">
        <v>100</v>
      </c>
      <c r="AB294" s="39"/>
      <c r="AD294" s="20"/>
    </row>
    <row r="295" spans="1:30" s="16" customFormat="1" hidden="1" x14ac:dyDescent="0.25">
      <c r="A295" s="16">
        <v>292</v>
      </c>
      <c r="G295" s="16" t="s">
        <v>77</v>
      </c>
      <c r="I295" s="16" t="s">
        <v>75</v>
      </c>
      <c r="L295" s="105" t="s">
        <v>99</v>
      </c>
      <c r="M295" s="17" t="str">
        <f>VLOOKUP(RiskRegister[[#This Row],[Inherent Impact LevelL3:L1020D1007L3:L1019]],'Rating factors'!$F$4:$G$9,2,FALSE)</f>
        <v>--- Error ---</v>
      </c>
      <c r="N295" s="16" t="s">
        <v>79</v>
      </c>
      <c r="O295" s="17" t="str">
        <f>VLOOKUP(RiskRegister[[#This Row],[Inherent Likelihood Level]],'Rating factors'!$F$16:$G$21,2,FALSE)</f>
        <v>--- Error ---</v>
      </c>
      <c r="P295" s="17" t="str">
        <f>IFERROR(VLOOKUP(RiskRegister[[#This Row],[Inherent Risk Rating]],'Rating factors'!$F$30:$G$44,2,FALSE),"-- Error --")</f>
        <v>-- Error --</v>
      </c>
      <c r="Q295" s="17" t="str">
        <f>IFERROR(RiskRegister[[#This Row],[Inherent Impact Rating]]*RiskRegister[[#This Row],[Inherent Likelihood Rating]],"-- Error --")</f>
        <v>-- Error --</v>
      </c>
      <c r="R295" s="16" t="s">
        <v>98</v>
      </c>
      <c r="T295" s="16" t="s">
        <v>99</v>
      </c>
      <c r="U295" s="17" t="e" cm="1">
        <f t="array" aca="1" ref="U295" ca="1">+U295:Y1019VLOOKUP(RiskRegister[[#This Row],[Residual Impact Level]],'Rating factors'!$F$4:$G$9,2,FALSE)</f>
        <v>#NAME?</v>
      </c>
      <c r="V295" s="16" t="s">
        <v>79</v>
      </c>
      <c r="W295" s="17" t="str">
        <f>VLOOKUP(RiskRegister[[#This Row],[Residual Likelihood Level]],'Rating factors'!$F$16:$G$21,2,FALSE)</f>
        <v>--- Error ---</v>
      </c>
      <c r="X295" s="17" t="str">
        <f ca="1">IFERROR(VLOOKUP(RiskRegister[[#This Row],[Residual Risk Rating]],'Rating factors'!$F$30:$G$44,2,FALSE),"-- Error --")</f>
        <v>-- Error --</v>
      </c>
      <c r="Y295" s="17" t="str">
        <f ca="1">IFERROR(RiskRegister[[#This Row],[Residual Impact Rating]]*RiskRegister[[#This Row],[Residual Likelihood Rating]],"-- Error --")</f>
        <v>-- Error --</v>
      </c>
      <c r="Z295" s="16" t="s">
        <v>100</v>
      </c>
      <c r="AB295" s="39"/>
      <c r="AD295" s="20"/>
    </row>
    <row r="296" spans="1:30" s="16" customFormat="1" hidden="1" x14ac:dyDescent="0.25">
      <c r="A296" s="16">
        <v>293</v>
      </c>
      <c r="G296" s="16" t="s">
        <v>77</v>
      </c>
      <c r="I296" s="16" t="s">
        <v>75</v>
      </c>
      <c r="L296" s="105" t="s">
        <v>99</v>
      </c>
      <c r="M296" s="17" t="str">
        <f>VLOOKUP(RiskRegister[[#This Row],[Inherent Impact LevelL3:L1020D1007L3:L1019]],'Rating factors'!$F$4:$G$9,2,FALSE)</f>
        <v>--- Error ---</v>
      </c>
      <c r="N296" s="16" t="s">
        <v>79</v>
      </c>
      <c r="O296" s="17" t="str">
        <f>VLOOKUP(RiskRegister[[#This Row],[Inherent Likelihood Level]],'Rating factors'!$F$16:$G$21,2,FALSE)</f>
        <v>--- Error ---</v>
      </c>
      <c r="P296" s="17" t="str">
        <f>IFERROR(VLOOKUP(RiskRegister[[#This Row],[Inherent Risk Rating]],'Rating factors'!$F$30:$G$44,2,FALSE),"-- Error --")</f>
        <v>-- Error --</v>
      </c>
      <c r="Q296" s="17" t="str">
        <f>IFERROR(RiskRegister[[#This Row],[Inherent Impact Rating]]*RiskRegister[[#This Row],[Inherent Likelihood Rating]],"-- Error --")</f>
        <v>-- Error --</v>
      </c>
      <c r="R296" s="16" t="s">
        <v>98</v>
      </c>
      <c r="T296" s="16" t="s">
        <v>99</v>
      </c>
      <c r="U296" s="17" t="e" cm="1">
        <f t="array" aca="1" ref="U296" ca="1">+U296:Y1019VLOOKUP(RiskRegister[[#This Row],[Residual Impact Level]],'Rating factors'!$F$4:$G$9,2,FALSE)</f>
        <v>#NAME?</v>
      </c>
      <c r="V296" s="16" t="s">
        <v>79</v>
      </c>
      <c r="W296" s="17" t="str">
        <f>VLOOKUP(RiskRegister[[#This Row],[Residual Likelihood Level]],'Rating factors'!$F$16:$G$21,2,FALSE)</f>
        <v>--- Error ---</v>
      </c>
      <c r="X296" s="17" t="str">
        <f ca="1">IFERROR(VLOOKUP(RiskRegister[[#This Row],[Residual Risk Rating]],'Rating factors'!$F$30:$G$44,2,FALSE),"-- Error --")</f>
        <v>-- Error --</v>
      </c>
      <c r="Y296" s="17" t="str">
        <f ca="1">IFERROR(RiskRegister[[#This Row],[Residual Impact Rating]]*RiskRegister[[#This Row],[Residual Likelihood Rating]],"-- Error --")</f>
        <v>-- Error --</v>
      </c>
      <c r="Z296" s="16" t="s">
        <v>100</v>
      </c>
      <c r="AB296" s="39"/>
      <c r="AD296" s="20"/>
    </row>
    <row r="297" spans="1:30" s="16" customFormat="1" hidden="1" x14ac:dyDescent="0.25">
      <c r="A297" s="16">
        <v>294</v>
      </c>
      <c r="G297" s="16" t="s">
        <v>77</v>
      </c>
      <c r="I297" s="16" t="s">
        <v>75</v>
      </c>
      <c r="L297" s="105" t="s">
        <v>99</v>
      </c>
      <c r="M297" s="17" t="str">
        <f>VLOOKUP(RiskRegister[[#This Row],[Inherent Impact LevelL3:L1020D1007L3:L1019]],'Rating factors'!$F$4:$G$9,2,FALSE)</f>
        <v>--- Error ---</v>
      </c>
      <c r="N297" s="16" t="s">
        <v>79</v>
      </c>
      <c r="O297" s="17" t="str">
        <f>VLOOKUP(RiskRegister[[#This Row],[Inherent Likelihood Level]],'Rating factors'!$F$16:$G$21,2,FALSE)</f>
        <v>--- Error ---</v>
      </c>
      <c r="P297" s="17" t="str">
        <f>IFERROR(VLOOKUP(RiskRegister[[#This Row],[Inherent Risk Rating]],'Rating factors'!$F$30:$G$44,2,FALSE),"-- Error --")</f>
        <v>-- Error --</v>
      </c>
      <c r="Q297" s="17" t="str">
        <f>IFERROR(RiskRegister[[#This Row],[Inherent Impact Rating]]*RiskRegister[[#This Row],[Inherent Likelihood Rating]],"-- Error --")</f>
        <v>-- Error --</v>
      </c>
      <c r="R297" s="16" t="s">
        <v>98</v>
      </c>
      <c r="T297" s="16" t="s">
        <v>99</v>
      </c>
      <c r="U297" s="17" t="e" cm="1">
        <f t="array" aca="1" ref="U297" ca="1">+U297:Y1019VLOOKUP(RiskRegister[[#This Row],[Residual Impact Level]],'Rating factors'!$F$4:$G$9,2,FALSE)</f>
        <v>#NAME?</v>
      </c>
      <c r="V297" s="16" t="s">
        <v>79</v>
      </c>
      <c r="W297" s="17" t="str">
        <f>VLOOKUP(RiskRegister[[#This Row],[Residual Likelihood Level]],'Rating factors'!$F$16:$G$21,2,FALSE)</f>
        <v>--- Error ---</v>
      </c>
      <c r="X297" s="17" t="str">
        <f ca="1">IFERROR(VLOOKUP(RiskRegister[[#This Row],[Residual Risk Rating]],'Rating factors'!$F$30:$G$44,2,FALSE),"-- Error --")</f>
        <v>-- Error --</v>
      </c>
      <c r="Y297" s="17" t="str">
        <f ca="1">IFERROR(RiskRegister[[#This Row],[Residual Impact Rating]]*RiskRegister[[#This Row],[Residual Likelihood Rating]],"-- Error --")</f>
        <v>-- Error --</v>
      </c>
      <c r="Z297" s="16" t="s">
        <v>100</v>
      </c>
      <c r="AB297" s="39"/>
      <c r="AD297" s="20"/>
    </row>
    <row r="298" spans="1:30" s="16" customFormat="1" hidden="1" x14ac:dyDescent="0.25">
      <c r="A298" s="16">
        <v>295</v>
      </c>
      <c r="G298" s="16" t="s">
        <v>77</v>
      </c>
      <c r="I298" s="16" t="s">
        <v>75</v>
      </c>
      <c r="L298" s="105" t="s">
        <v>99</v>
      </c>
      <c r="M298" s="17" t="str">
        <f>VLOOKUP(RiskRegister[[#This Row],[Inherent Impact LevelL3:L1020D1007L3:L1019]],'Rating factors'!$F$4:$G$9,2,FALSE)</f>
        <v>--- Error ---</v>
      </c>
      <c r="N298" s="16" t="s">
        <v>79</v>
      </c>
      <c r="O298" s="17" t="str">
        <f>VLOOKUP(RiskRegister[[#This Row],[Inherent Likelihood Level]],'Rating factors'!$F$16:$G$21,2,FALSE)</f>
        <v>--- Error ---</v>
      </c>
      <c r="P298" s="17" t="str">
        <f>IFERROR(VLOOKUP(RiskRegister[[#This Row],[Inherent Risk Rating]],'Rating factors'!$F$30:$G$44,2,FALSE),"-- Error --")</f>
        <v>-- Error --</v>
      </c>
      <c r="Q298" s="17" t="str">
        <f>IFERROR(RiskRegister[[#This Row],[Inherent Impact Rating]]*RiskRegister[[#This Row],[Inherent Likelihood Rating]],"-- Error --")</f>
        <v>-- Error --</v>
      </c>
      <c r="R298" s="16" t="s">
        <v>98</v>
      </c>
      <c r="T298" s="16" t="s">
        <v>99</v>
      </c>
      <c r="U298" s="17" t="e" cm="1">
        <f t="array" aca="1" ref="U298" ca="1">+U298:Y1019VLOOKUP(RiskRegister[[#This Row],[Residual Impact Level]],'Rating factors'!$F$4:$G$9,2,FALSE)</f>
        <v>#NAME?</v>
      </c>
      <c r="V298" s="16" t="s">
        <v>79</v>
      </c>
      <c r="W298" s="17" t="str">
        <f>VLOOKUP(RiskRegister[[#This Row],[Residual Likelihood Level]],'Rating factors'!$F$16:$G$21,2,FALSE)</f>
        <v>--- Error ---</v>
      </c>
      <c r="X298" s="17" t="str">
        <f ca="1">IFERROR(VLOOKUP(RiskRegister[[#This Row],[Residual Risk Rating]],'Rating factors'!$F$30:$G$44,2,FALSE),"-- Error --")</f>
        <v>-- Error --</v>
      </c>
      <c r="Y298" s="17" t="str">
        <f ca="1">IFERROR(RiskRegister[[#This Row],[Residual Impact Rating]]*RiskRegister[[#This Row],[Residual Likelihood Rating]],"-- Error --")</f>
        <v>-- Error --</v>
      </c>
      <c r="Z298" s="16" t="s">
        <v>100</v>
      </c>
      <c r="AB298" s="39"/>
      <c r="AD298" s="20"/>
    </row>
    <row r="299" spans="1:30" s="16" customFormat="1" hidden="1" x14ac:dyDescent="0.25">
      <c r="A299" s="16">
        <v>296</v>
      </c>
      <c r="G299" s="16" t="s">
        <v>77</v>
      </c>
      <c r="I299" s="16" t="s">
        <v>75</v>
      </c>
      <c r="L299" s="105" t="s">
        <v>99</v>
      </c>
      <c r="M299" s="17" t="str">
        <f>VLOOKUP(RiskRegister[[#This Row],[Inherent Impact LevelL3:L1020D1007L3:L1019]],'Rating factors'!$F$4:$G$9,2,FALSE)</f>
        <v>--- Error ---</v>
      </c>
      <c r="N299" s="16" t="s">
        <v>79</v>
      </c>
      <c r="O299" s="17" t="str">
        <f>VLOOKUP(RiskRegister[[#This Row],[Inherent Likelihood Level]],'Rating factors'!$F$16:$G$21,2,FALSE)</f>
        <v>--- Error ---</v>
      </c>
      <c r="P299" s="17" t="str">
        <f>IFERROR(VLOOKUP(RiskRegister[[#This Row],[Inherent Risk Rating]],'Rating factors'!$F$30:$G$44,2,FALSE),"-- Error --")</f>
        <v>-- Error --</v>
      </c>
      <c r="Q299" s="17" t="str">
        <f>IFERROR(RiskRegister[[#This Row],[Inherent Impact Rating]]*RiskRegister[[#This Row],[Inherent Likelihood Rating]],"-- Error --")</f>
        <v>-- Error --</v>
      </c>
      <c r="R299" s="16" t="s">
        <v>98</v>
      </c>
      <c r="T299" s="16" t="s">
        <v>99</v>
      </c>
      <c r="U299" s="17" t="e" cm="1">
        <f t="array" aca="1" ref="U299" ca="1">+U299:Y1019VLOOKUP(RiskRegister[[#This Row],[Residual Impact Level]],'Rating factors'!$F$4:$G$9,2,FALSE)</f>
        <v>#NAME?</v>
      </c>
      <c r="V299" s="16" t="s">
        <v>79</v>
      </c>
      <c r="W299" s="17" t="str">
        <f>VLOOKUP(RiskRegister[[#This Row],[Residual Likelihood Level]],'Rating factors'!$F$16:$G$21,2,FALSE)</f>
        <v>--- Error ---</v>
      </c>
      <c r="X299" s="17" t="str">
        <f ca="1">IFERROR(VLOOKUP(RiskRegister[[#This Row],[Residual Risk Rating]],'Rating factors'!$F$30:$G$44,2,FALSE),"-- Error --")</f>
        <v>-- Error --</v>
      </c>
      <c r="Y299" s="17" t="str">
        <f ca="1">IFERROR(RiskRegister[[#This Row],[Residual Impact Rating]]*RiskRegister[[#This Row],[Residual Likelihood Rating]],"-- Error --")</f>
        <v>-- Error --</v>
      </c>
      <c r="Z299" s="16" t="s">
        <v>100</v>
      </c>
      <c r="AB299" s="39"/>
      <c r="AD299" s="20"/>
    </row>
    <row r="300" spans="1:30" s="16" customFormat="1" hidden="1" x14ac:dyDescent="0.25">
      <c r="A300" s="16">
        <v>297</v>
      </c>
      <c r="G300" s="16" t="s">
        <v>77</v>
      </c>
      <c r="I300" s="16" t="s">
        <v>75</v>
      </c>
      <c r="L300" s="105" t="s">
        <v>99</v>
      </c>
      <c r="M300" s="17" t="str">
        <f>VLOOKUP(RiskRegister[[#This Row],[Inherent Impact LevelL3:L1020D1007L3:L1019]],'Rating factors'!$F$4:$G$9,2,FALSE)</f>
        <v>--- Error ---</v>
      </c>
      <c r="N300" s="16" t="s">
        <v>79</v>
      </c>
      <c r="O300" s="17" t="str">
        <f>VLOOKUP(RiskRegister[[#This Row],[Inherent Likelihood Level]],'Rating factors'!$F$16:$G$21,2,FALSE)</f>
        <v>--- Error ---</v>
      </c>
      <c r="P300" s="17" t="str">
        <f>IFERROR(VLOOKUP(RiskRegister[[#This Row],[Inherent Risk Rating]],'Rating factors'!$F$30:$G$44,2,FALSE),"-- Error --")</f>
        <v>-- Error --</v>
      </c>
      <c r="Q300" s="17" t="str">
        <f>IFERROR(RiskRegister[[#This Row],[Inherent Impact Rating]]*RiskRegister[[#This Row],[Inherent Likelihood Rating]],"-- Error --")</f>
        <v>-- Error --</v>
      </c>
      <c r="R300" s="16" t="s">
        <v>98</v>
      </c>
      <c r="T300" s="16" t="s">
        <v>99</v>
      </c>
      <c r="U300" s="17" t="e" cm="1">
        <f t="array" aca="1" ref="U300" ca="1">+U300:Y1019VLOOKUP(RiskRegister[[#This Row],[Residual Impact Level]],'Rating factors'!$F$4:$G$9,2,FALSE)</f>
        <v>#NAME?</v>
      </c>
      <c r="V300" s="16" t="s">
        <v>79</v>
      </c>
      <c r="W300" s="17" t="str">
        <f>VLOOKUP(RiskRegister[[#This Row],[Residual Likelihood Level]],'Rating factors'!$F$16:$G$21,2,FALSE)</f>
        <v>--- Error ---</v>
      </c>
      <c r="X300" s="17" t="str">
        <f ca="1">IFERROR(VLOOKUP(RiskRegister[[#This Row],[Residual Risk Rating]],'Rating factors'!$F$30:$G$44,2,FALSE),"-- Error --")</f>
        <v>-- Error --</v>
      </c>
      <c r="Y300" s="17" t="str">
        <f ca="1">IFERROR(RiskRegister[[#This Row],[Residual Impact Rating]]*RiskRegister[[#This Row],[Residual Likelihood Rating]],"-- Error --")</f>
        <v>-- Error --</v>
      </c>
      <c r="Z300" s="16" t="s">
        <v>100</v>
      </c>
      <c r="AB300" s="39"/>
      <c r="AD300" s="20"/>
    </row>
    <row r="301" spans="1:30" s="16" customFormat="1" hidden="1" x14ac:dyDescent="0.25">
      <c r="A301" s="16">
        <v>298</v>
      </c>
      <c r="G301" s="16" t="s">
        <v>77</v>
      </c>
      <c r="I301" s="16" t="s">
        <v>75</v>
      </c>
      <c r="L301" s="105" t="s">
        <v>99</v>
      </c>
      <c r="M301" s="17" t="str">
        <f>VLOOKUP(RiskRegister[[#This Row],[Inherent Impact LevelL3:L1020D1007L3:L1019]],'Rating factors'!$F$4:$G$9,2,FALSE)</f>
        <v>--- Error ---</v>
      </c>
      <c r="N301" s="16" t="s">
        <v>79</v>
      </c>
      <c r="O301" s="17" t="str">
        <f>VLOOKUP(RiskRegister[[#This Row],[Inherent Likelihood Level]],'Rating factors'!$F$16:$G$21,2,FALSE)</f>
        <v>--- Error ---</v>
      </c>
      <c r="P301" s="17" t="str">
        <f>IFERROR(VLOOKUP(RiskRegister[[#This Row],[Inherent Risk Rating]],'Rating factors'!$F$30:$G$44,2,FALSE),"-- Error --")</f>
        <v>-- Error --</v>
      </c>
      <c r="Q301" s="17" t="str">
        <f>IFERROR(RiskRegister[[#This Row],[Inherent Impact Rating]]*RiskRegister[[#This Row],[Inherent Likelihood Rating]],"-- Error --")</f>
        <v>-- Error --</v>
      </c>
      <c r="R301" s="16" t="s">
        <v>98</v>
      </c>
      <c r="T301" s="16" t="s">
        <v>99</v>
      </c>
      <c r="U301" s="17" t="e" cm="1">
        <f t="array" aca="1" ref="U301" ca="1">+U301:Y1019VLOOKUP(RiskRegister[[#This Row],[Residual Impact Level]],'Rating factors'!$F$4:$G$9,2,FALSE)</f>
        <v>#NAME?</v>
      </c>
      <c r="V301" s="16" t="s">
        <v>79</v>
      </c>
      <c r="W301" s="17" t="str">
        <f>VLOOKUP(RiskRegister[[#This Row],[Residual Likelihood Level]],'Rating factors'!$F$16:$G$21,2,FALSE)</f>
        <v>--- Error ---</v>
      </c>
      <c r="X301" s="17" t="str">
        <f ca="1">IFERROR(VLOOKUP(RiskRegister[[#This Row],[Residual Risk Rating]],'Rating factors'!$F$30:$G$44,2,FALSE),"-- Error --")</f>
        <v>-- Error --</v>
      </c>
      <c r="Y301" s="17" t="str">
        <f ca="1">IFERROR(RiskRegister[[#This Row],[Residual Impact Rating]]*RiskRegister[[#This Row],[Residual Likelihood Rating]],"-- Error --")</f>
        <v>-- Error --</v>
      </c>
      <c r="Z301" s="16" t="s">
        <v>100</v>
      </c>
      <c r="AB301" s="39"/>
      <c r="AD301" s="20"/>
    </row>
    <row r="302" spans="1:30" s="16" customFormat="1" hidden="1" x14ac:dyDescent="0.25">
      <c r="A302" s="16">
        <v>299</v>
      </c>
      <c r="G302" s="16" t="s">
        <v>77</v>
      </c>
      <c r="I302" s="16" t="s">
        <v>75</v>
      </c>
      <c r="L302" s="105" t="s">
        <v>99</v>
      </c>
      <c r="M302" s="17" t="str">
        <f>VLOOKUP(RiskRegister[[#This Row],[Inherent Impact LevelL3:L1020D1007L3:L1019]],'Rating factors'!$F$4:$G$9,2,FALSE)</f>
        <v>--- Error ---</v>
      </c>
      <c r="N302" s="16" t="s">
        <v>79</v>
      </c>
      <c r="O302" s="17" t="str">
        <f>VLOOKUP(RiskRegister[[#This Row],[Inherent Likelihood Level]],'Rating factors'!$F$16:$G$21,2,FALSE)</f>
        <v>--- Error ---</v>
      </c>
      <c r="P302" s="17" t="str">
        <f>IFERROR(VLOOKUP(RiskRegister[[#This Row],[Inherent Risk Rating]],'Rating factors'!$F$30:$G$44,2,FALSE),"-- Error --")</f>
        <v>-- Error --</v>
      </c>
      <c r="Q302" s="17" t="str">
        <f>IFERROR(RiskRegister[[#This Row],[Inherent Impact Rating]]*RiskRegister[[#This Row],[Inherent Likelihood Rating]],"-- Error --")</f>
        <v>-- Error --</v>
      </c>
      <c r="R302" s="16" t="s">
        <v>98</v>
      </c>
      <c r="T302" s="16" t="s">
        <v>99</v>
      </c>
      <c r="U302" s="17" t="e" cm="1">
        <f t="array" aca="1" ref="U302" ca="1">+U302:Y1019VLOOKUP(RiskRegister[[#This Row],[Residual Impact Level]],'Rating factors'!$F$4:$G$9,2,FALSE)</f>
        <v>#NAME?</v>
      </c>
      <c r="V302" s="16" t="s">
        <v>79</v>
      </c>
      <c r="W302" s="17" t="str">
        <f>VLOOKUP(RiskRegister[[#This Row],[Residual Likelihood Level]],'Rating factors'!$F$16:$G$21,2,FALSE)</f>
        <v>--- Error ---</v>
      </c>
      <c r="X302" s="17" t="str">
        <f ca="1">IFERROR(VLOOKUP(RiskRegister[[#This Row],[Residual Risk Rating]],'Rating factors'!$F$30:$G$44,2,FALSE),"-- Error --")</f>
        <v>-- Error --</v>
      </c>
      <c r="Y302" s="17" t="str">
        <f ca="1">IFERROR(RiskRegister[[#This Row],[Residual Impact Rating]]*RiskRegister[[#This Row],[Residual Likelihood Rating]],"-- Error --")</f>
        <v>-- Error --</v>
      </c>
      <c r="Z302" s="16" t="s">
        <v>100</v>
      </c>
      <c r="AB302" s="39"/>
      <c r="AD302" s="20"/>
    </row>
    <row r="303" spans="1:30" s="16" customFormat="1" hidden="1" x14ac:dyDescent="0.25">
      <c r="A303" s="16">
        <v>300</v>
      </c>
      <c r="G303" s="16" t="s">
        <v>77</v>
      </c>
      <c r="I303" s="16" t="s">
        <v>75</v>
      </c>
      <c r="L303" s="105" t="s">
        <v>99</v>
      </c>
      <c r="M303" s="17" t="str">
        <f>VLOOKUP(RiskRegister[[#This Row],[Inherent Impact LevelL3:L1020D1007L3:L1019]],'Rating factors'!$F$4:$G$9,2,FALSE)</f>
        <v>--- Error ---</v>
      </c>
      <c r="N303" s="16" t="s">
        <v>79</v>
      </c>
      <c r="O303" s="17" t="str">
        <f>VLOOKUP(RiskRegister[[#This Row],[Inherent Likelihood Level]],'Rating factors'!$F$16:$G$21,2,FALSE)</f>
        <v>--- Error ---</v>
      </c>
      <c r="P303" s="17" t="str">
        <f>IFERROR(VLOOKUP(RiskRegister[[#This Row],[Inherent Risk Rating]],'Rating factors'!$F$30:$G$44,2,FALSE),"-- Error --")</f>
        <v>-- Error --</v>
      </c>
      <c r="Q303" s="17" t="str">
        <f>IFERROR(RiskRegister[[#This Row],[Inherent Impact Rating]]*RiskRegister[[#This Row],[Inherent Likelihood Rating]],"-- Error --")</f>
        <v>-- Error --</v>
      </c>
      <c r="R303" s="16" t="s">
        <v>98</v>
      </c>
      <c r="T303" s="16" t="s">
        <v>99</v>
      </c>
      <c r="U303" s="17" t="e" cm="1">
        <f t="array" aca="1" ref="U303" ca="1">+U303:Y1019VLOOKUP(RiskRegister[[#This Row],[Residual Impact Level]],'Rating factors'!$F$4:$G$9,2,FALSE)</f>
        <v>#NAME?</v>
      </c>
      <c r="V303" s="16" t="s">
        <v>79</v>
      </c>
      <c r="W303" s="17" t="str">
        <f>VLOOKUP(RiskRegister[[#This Row],[Residual Likelihood Level]],'Rating factors'!$F$16:$G$21,2,FALSE)</f>
        <v>--- Error ---</v>
      </c>
      <c r="X303" s="17" t="str">
        <f ca="1">IFERROR(VLOOKUP(RiskRegister[[#This Row],[Residual Risk Rating]],'Rating factors'!$F$30:$G$44,2,FALSE),"-- Error --")</f>
        <v>-- Error --</v>
      </c>
      <c r="Y303" s="17" t="str">
        <f ca="1">IFERROR(RiskRegister[[#This Row],[Residual Impact Rating]]*RiskRegister[[#This Row],[Residual Likelihood Rating]],"-- Error --")</f>
        <v>-- Error --</v>
      </c>
      <c r="Z303" s="16" t="s">
        <v>100</v>
      </c>
      <c r="AB303" s="39"/>
      <c r="AD303" s="20"/>
    </row>
    <row r="304" spans="1:30" s="16" customFormat="1" hidden="1" x14ac:dyDescent="0.25">
      <c r="A304" s="16">
        <v>301</v>
      </c>
      <c r="G304" s="16" t="s">
        <v>77</v>
      </c>
      <c r="I304" s="16" t="s">
        <v>75</v>
      </c>
      <c r="L304" s="105" t="s">
        <v>99</v>
      </c>
      <c r="M304" s="17" t="str">
        <f>VLOOKUP(RiskRegister[[#This Row],[Inherent Impact LevelL3:L1020D1007L3:L1019]],'Rating factors'!$F$4:$G$9,2,FALSE)</f>
        <v>--- Error ---</v>
      </c>
      <c r="N304" s="16" t="s">
        <v>79</v>
      </c>
      <c r="O304" s="17" t="str">
        <f>VLOOKUP(RiskRegister[[#This Row],[Inherent Likelihood Level]],'Rating factors'!$F$16:$G$21,2,FALSE)</f>
        <v>--- Error ---</v>
      </c>
      <c r="P304" s="17" t="str">
        <f>IFERROR(VLOOKUP(RiskRegister[[#This Row],[Inherent Risk Rating]],'Rating factors'!$F$30:$G$44,2,FALSE),"-- Error --")</f>
        <v>-- Error --</v>
      </c>
      <c r="Q304" s="17" t="str">
        <f>IFERROR(RiskRegister[[#This Row],[Inherent Impact Rating]]*RiskRegister[[#This Row],[Inherent Likelihood Rating]],"-- Error --")</f>
        <v>-- Error --</v>
      </c>
      <c r="R304" s="16" t="s">
        <v>98</v>
      </c>
      <c r="T304" s="16" t="s">
        <v>99</v>
      </c>
      <c r="U304" s="17" t="e" cm="1">
        <f t="array" aca="1" ref="U304" ca="1">+U304:Y1019VLOOKUP(RiskRegister[[#This Row],[Residual Impact Level]],'Rating factors'!$F$4:$G$9,2,FALSE)</f>
        <v>#NAME?</v>
      </c>
      <c r="V304" s="16" t="s">
        <v>79</v>
      </c>
      <c r="W304" s="17" t="str">
        <f>VLOOKUP(RiskRegister[[#This Row],[Residual Likelihood Level]],'Rating factors'!$F$16:$G$21,2,FALSE)</f>
        <v>--- Error ---</v>
      </c>
      <c r="X304" s="17" t="str">
        <f ca="1">IFERROR(VLOOKUP(RiskRegister[[#This Row],[Residual Risk Rating]],'Rating factors'!$F$30:$G$44,2,FALSE),"-- Error --")</f>
        <v>-- Error --</v>
      </c>
      <c r="Y304" s="17" t="str">
        <f ca="1">IFERROR(RiskRegister[[#This Row],[Residual Impact Rating]]*RiskRegister[[#This Row],[Residual Likelihood Rating]],"-- Error --")</f>
        <v>-- Error --</v>
      </c>
      <c r="Z304" s="16" t="s">
        <v>100</v>
      </c>
      <c r="AB304" s="39"/>
      <c r="AD304" s="20"/>
    </row>
    <row r="305" spans="1:30" s="16" customFormat="1" hidden="1" x14ac:dyDescent="0.25">
      <c r="A305" s="16">
        <v>302</v>
      </c>
      <c r="G305" s="16" t="s">
        <v>77</v>
      </c>
      <c r="I305" s="16" t="s">
        <v>75</v>
      </c>
      <c r="L305" s="105" t="s">
        <v>99</v>
      </c>
      <c r="M305" s="17" t="str">
        <f>VLOOKUP(RiskRegister[[#This Row],[Inherent Impact LevelL3:L1020D1007L3:L1019]],'Rating factors'!$F$4:$G$9,2,FALSE)</f>
        <v>--- Error ---</v>
      </c>
      <c r="N305" s="16" t="s">
        <v>79</v>
      </c>
      <c r="O305" s="17" t="str">
        <f>VLOOKUP(RiskRegister[[#This Row],[Inherent Likelihood Level]],'Rating factors'!$F$16:$G$21,2,FALSE)</f>
        <v>--- Error ---</v>
      </c>
      <c r="P305" s="17" t="str">
        <f>IFERROR(VLOOKUP(RiskRegister[[#This Row],[Inherent Risk Rating]],'Rating factors'!$F$30:$G$44,2,FALSE),"-- Error --")</f>
        <v>-- Error --</v>
      </c>
      <c r="Q305" s="17" t="str">
        <f>IFERROR(RiskRegister[[#This Row],[Inherent Impact Rating]]*RiskRegister[[#This Row],[Inherent Likelihood Rating]],"-- Error --")</f>
        <v>-- Error --</v>
      </c>
      <c r="R305" s="16" t="s">
        <v>98</v>
      </c>
      <c r="T305" s="16" t="s">
        <v>99</v>
      </c>
      <c r="U305" s="17" t="e" cm="1">
        <f t="array" aca="1" ref="U305" ca="1">+U305:Y1019VLOOKUP(RiskRegister[[#This Row],[Residual Impact Level]],'Rating factors'!$F$4:$G$9,2,FALSE)</f>
        <v>#NAME?</v>
      </c>
      <c r="V305" s="16" t="s">
        <v>79</v>
      </c>
      <c r="W305" s="17" t="str">
        <f>VLOOKUP(RiskRegister[[#This Row],[Residual Likelihood Level]],'Rating factors'!$F$16:$G$21,2,FALSE)</f>
        <v>--- Error ---</v>
      </c>
      <c r="X305" s="17" t="str">
        <f ca="1">IFERROR(VLOOKUP(RiskRegister[[#This Row],[Residual Risk Rating]],'Rating factors'!$F$30:$G$44,2,FALSE),"-- Error --")</f>
        <v>-- Error --</v>
      </c>
      <c r="Y305" s="17" t="str">
        <f ca="1">IFERROR(RiskRegister[[#This Row],[Residual Impact Rating]]*RiskRegister[[#This Row],[Residual Likelihood Rating]],"-- Error --")</f>
        <v>-- Error --</v>
      </c>
      <c r="Z305" s="16" t="s">
        <v>100</v>
      </c>
      <c r="AB305" s="39"/>
      <c r="AD305" s="20"/>
    </row>
    <row r="306" spans="1:30" s="16" customFormat="1" hidden="1" x14ac:dyDescent="0.25">
      <c r="A306" s="16">
        <v>303</v>
      </c>
      <c r="G306" s="16" t="s">
        <v>77</v>
      </c>
      <c r="I306" s="16" t="s">
        <v>75</v>
      </c>
      <c r="L306" s="105" t="s">
        <v>99</v>
      </c>
      <c r="M306" s="17" t="str">
        <f>VLOOKUP(RiskRegister[[#This Row],[Inherent Impact LevelL3:L1020D1007L3:L1019]],'Rating factors'!$F$4:$G$9,2,FALSE)</f>
        <v>--- Error ---</v>
      </c>
      <c r="N306" s="16" t="s">
        <v>79</v>
      </c>
      <c r="O306" s="17" t="str">
        <f>VLOOKUP(RiskRegister[[#This Row],[Inherent Likelihood Level]],'Rating factors'!$F$16:$G$21,2,FALSE)</f>
        <v>--- Error ---</v>
      </c>
      <c r="P306" s="17" t="str">
        <f>IFERROR(VLOOKUP(RiskRegister[[#This Row],[Inherent Risk Rating]],'Rating factors'!$F$30:$G$44,2,FALSE),"-- Error --")</f>
        <v>-- Error --</v>
      </c>
      <c r="Q306" s="17" t="str">
        <f>IFERROR(RiskRegister[[#This Row],[Inherent Impact Rating]]*RiskRegister[[#This Row],[Inherent Likelihood Rating]],"-- Error --")</f>
        <v>-- Error --</v>
      </c>
      <c r="R306" s="16" t="s">
        <v>98</v>
      </c>
      <c r="T306" s="16" t="s">
        <v>99</v>
      </c>
      <c r="U306" s="17" t="e" cm="1">
        <f t="array" aca="1" ref="U306" ca="1">+U306:Y1019VLOOKUP(RiskRegister[[#This Row],[Residual Impact Level]],'Rating factors'!$F$4:$G$9,2,FALSE)</f>
        <v>#NAME?</v>
      </c>
      <c r="V306" s="16" t="s">
        <v>79</v>
      </c>
      <c r="W306" s="17" t="str">
        <f>VLOOKUP(RiskRegister[[#This Row],[Residual Likelihood Level]],'Rating factors'!$F$16:$G$21,2,FALSE)</f>
        <v>--- Error ---</v>
      </c>
      <c r="X306" s="17" t="str">
        <f ca="1">IFERROR(VLOOKUP(RiskRegister[[#This Row],[Residual Risk Rating]],'Rating factors'!$F$30:$G$44,2,FALSE),"-- Error --")</f>
        <v>-- Error --</v>
      </c>
      <c r="Y306" s="17" t="str">
        <f ca="1">IFERROR(RiskRegister[[#This Row],[Residual Impact Rating]]*RiskRegister[[#This Row],[Residual Likelihood Rating]],"-- Error --")</f>
        <v>-- Error --</v>
      </c>
      <c r="Z306" s="16" t="s">
        <v>100</v>
      </c>
      <c r="AB306" s="39"/>
      <c r="AD306" s="20"/>
    </row>
    <row r="307" spans="1:30" s="16" customFormat="1" hidden="1" x14ac:dyDescent="0.25">
      <c r="A307" s="16">
        <v>304</v>
      </c>
      <c r="G307" s="16" t="s">
        <v>77</v>
      </c>
      <c r="I307" s="16" t="s">
        <v>75</v>
      </c>
      <c r="L307" s="105" t="s">
        <v>99</v>
      </c>
      <c r="M307" s="17" t="str">
        <f>VLOOKUP(RiskRegister[[#This Row],[Inherent Impact LevelL3:L1020D1007L3:L1019]],'Rating factors'!$F$4:$G$9,2,FALSE)</f>
        <v>--- Error ---</v>
      </c>
      <c r="N307" s="16" t="s">
        <v>79</v>
      </c>
      <c r="O307" s="17" t="str">
        <f>VLOOKUP(RiskRegister[[#This Row],[Inherent Likelihood Level]],'Rating factors'!$F$16:$G$21,2,FALSE)</f>
        <v>--- Error ---</v>
      </c>
      <c r="P307" s="17" t="str">
        <f>IFERROR(VLOOKUP(RiskRegister[[#This Row],[Inherent Risk Rating]],'Rating factors'!$F$30:$G$44,2,FALSE),"-- Error --")</f>
        <v>-- Error --</v>
      </c>
      <c r="Q307" s="17" t="str">
        <f>IFERROR(RiskRegister[[#This Row],[Inherent Impact Rating]]*RiskRegister[[#This Row],[Inherent Likelihood Rating]],"-- Error --")</f>
        <v>-- Error --</v>
      </c>
      <c r="R307" s="16" t="s">
        <v>98</v>
      </c>
      <c r="T307" s="16" t="s">
        <v>99</v>
      </c>
      <c r="U307" s="17" t="e" cm="1">
        <f t="array" aca="1" ref="U307" ca="1">+U307:Y1019VLOOKUP(RiskRegister[[#This Row],[Residual Impact Level]],'Rating factors'!$F$4:$G$9,2,FALSE)</f>
        <v>#NAME?</v>
      </c>
      <c r="V307" s="16" t="s">
        <v>79</v>
      </c>
      <c r="W307" s="17" t="str">
        <f>VLOOKUP(RiskRegister[[#This Row],[Residual Likelihood Level]],'Rating factors'!$F$16:$G$21,2,FALSE)</f>
        <v>--- Error ---</v>
      </c>
      <c r="X307" s="17" t="str">
        <f ca="1">IFERROR(VLOOKUP(RiskRegister[[#This Row],[Residual Risk Rating]],'Rating factors'!$F$30:$G$44,2,FALSE),"-- Error --")</f>
        <v>-- Error --</v>
      </c>
      <c r="Y307" s="17" t="str">
        <f ca="1">IFERROR(RiskRegister[[#This Row],[Residual Impact Rating]]*RiskRegister[[#This Row],[Residual Likelihood Rating]],"-- Error --")</f>
        <v>-- Error --</v>
      </c>
      <c r="Z307" s="16" t="s">
        <v>100</v>
      </c>
      <c r="AB307" s="39"/>
      <c r="AD307" s="20"/>
    </row>
    <row r="308" spans="1:30" s="16" customFormat="1" hidden="1" x14ac:dyDescent="0.25">
      <c r="A308" s="16">
        <v>305</v>
      </c>
      <c r="G308" s="16" t="s">
        <v>77</v>
      </c>
      <c r="I308" s="16" t="s">
        <v>75</v>
      </c>
      <c r="L308" s="105" t="s">
        <v>99</v>
      </c>
      <c r="M308" s="17" t="str">
        <f>VLOOKUP(RiskRegister[[#This Row],[Inherent Impact LevelL3:L1020D1007L3:L1019]],'Rating factors'!$F$4:$G$9,2,FALSE)</f>
        <v>--- Error ---</v>
      </c>
      <c r="N308" s="16" t="s">
        <v>79</v>
      </c>
      <c r="O308" s="17" t="str">
        <f>VLOOKUP(RiskRegister[[#This Row],[Inherent Likelihood Level]],'Rating factors'!$F$16:$G$21,2,FALSE)</f>
        <v>--- Error ---</v>
      </c>
      <c r="P308" s="17" t="str">
        <f>IFERROR(VLOOKUP(RiskRegister[[#This Row],[Inherent Risk Rating]],'Rating factors'!$F$30:$G$44,2,FALSE),"-- Error --")</f>
        <v>-- Error --</v>
      </c>
      <c r="Q308" s="17" t="str">
        <f>IFERROR(RiskRegister[[#This Row],[Inherent Impact Rating]]*RiskRegister[[#This Row],[Inherent Likelihood Rating]],"-- Error --")</f>
        <v>-- Error --</v>
      </c>
      <c r="R308" s="16" t="s">
        <v>98</v>
      </c>
      <c r="T308" s="16" t="s">
        <v>99</v>
      </c>
      <c r="U308" s="17" t="e" cm="1">
        <f t="array" aca="1" ref="U308" ca="1">+U308:Y1019VLOOKUP(RiskRegister[[#This Row],[Residual Impact Level]],'Rating factors'!$F$4:$G$9,2,FALSE)</f>
        <v>#NAME?</v>
      </c>
      <c r="V308" s="16" t="s">
        <v>79</v>
      </c>
      <c r="W308" s="17" t="str">
        <f>VLOOKUP(RiskRegister[[#This Row],[Residual Likelihood Level]],'Rating factors'!$F$16:$G$21,2,FALSE)</f>
        <v>--- Error ---</v>
      </c>
      <c r="X308" s="17" t="str">
        <f ca="1">IFERROR(VLOOKUP(RiskRegister[[#This Row],[Residual Risk Rating]],'Rating factors'!$F$30:$G$44,2,FALSE),"-- Error --")</f>
        <v>-- Error --</v>
      </c>
      <c r="Y308" s="17" t="str">
        <f ca="1">IFERROR(RiskRegister[[#This Row],[Residual Impact Rating]]*RiskRegister[[#This Row],[Residual Likelihood Rating]],"-- Error --")</f>
        <v>-- Error --</v>
      </c>
      <c r="Z308" s="16" t="s">
        <v>100</v>
      </c>
      <c r="AB308" s="39"/>
      <c r="AD308" s="20"/>
    </row>
    <row r="309" spans="1:30" s="16" customFormat="1" hidden="1" x14ac:dyDescent="0.25">
      <c r="A309" s="16">
        <v>306</v>
      </c>
      <c r="G309" s="16" t="s">
        <v>77</v>
      </c>
      <c r="I309" s="16" t="s">
        <v>75</v>
      </c>
      <c r="L309" s="105" t="s">
        <v>99</v>
      </c>
      <c r="M309" s="17" t="str">
        <f>VLOOKUP(RiskRegister[[#This Row],[Inherent Impact LevelL3:L1020D1007L3:L1019]],'Rating factors'!$F$4:$G$9,2,FALSE)</f>
        <v>--- Error ---</v>
      </c>
      <c r="N309" s="16" t="s">
        <v>79</v>
      </c>
      <c r="O309" s="17" t="str">
        <f>VLOOKUP(RiskRegister[[#This Row],[Inherent Likelihood Level]],'Rating factors'!$F$16:$G$21,2,FALSE)</f>
        <v>--- Error ---</v>
      </c>
      <c r="P309" s="17" t="str">
        <f>IFERROR(VLOOKUP(RiskRegister[[#This Row],[Inherent Risk Rating]],'Rating factors'!$F$30:$G$44,2,FALSE),"-- Error --")</f>
        <v>-- Error --</v>
      </c>
      <c r="Q309" s="17" t="str">
        <f>IFERROR(RiskRegister[[#This Row],[Inherent Impact Rating]]*RiskRegister[[#This Row],[Inherent Likelihood Rating]],"-- Error --")</f>
        <v>-- Error --</v>
      </c>
      <c r="R309" s="16" t="s">
        <v>98</v>
      </c>
      <c r="T309" s="16" t="s">
        <v>99</v>
      </c>
      <c r="U309" s="17" t="e" cm="1">
        <f t="array" aca="1" ref="U309" ca="1">+U309:Y1019VLOOKUP(RiskRegister[[#This Row],[Residual Impact Level]],'Rating factors'!$F$4:$G$9,2,FALSE)</f>
        <v>#NAME?</v>
      </c>
      <c r="V309" s="16" t="s">
        <v>79</v>
      </c>
      <c r="W309" s="17" t="str">
        <f>VLOOKUP(RiskRegister[[#This Row],[Residual Likelihood Level]],'Rating factors'!$F$16:$G$21,2,FALSE)</f>
        <v>--- Error ---</v>
      </c>
      <c r="X309" s="17" t="str">
        <f ca="1">IFERROR(VLOOKUP(RiskRegister[[#This Row],[Residual Risk Rating]],'Rating factors'!$F$30:$G$44,2,FALSE),"-- Error --")</f>
        <v>-- Error --</v>
      </c>
      <c r="Y309" s="17" t="str">
        <f ca="1">IFERROR(RiskRegister[[#This Row],[Residual Impact Rating]]*RiskRegister[[#This Row],[Residual Likelihood Rating]],"-- Error --")</f>
        <v>-- Error --</v>
      </c>
      <c r="Z309" s="16" t="s">
        <v>100</v>
      </c>
      <c r="AB309" s="39"/>
      <c r="AD309" s="20"/>
    </row>
    <row r="310" spans="1:30" s="16" customFormat="1" hidden="1" x14ac:dyDescent="0.25">
      <c r="A310" s="16">
        <v>307</v>
      </c>
      <c r="G310" s="16" t="s">
        <v>77</v>
      </c>
      <c r="I310" s="16" t="s">
        <v>75</v>
      </c>
      <c r="L310" s="105" t="s">
        <v>99</v>
      </c>
      <c r="M310" s="17" t="str">
        <f>VLOOKUP(RiskRegister[[#This Row],[Inherent Impact LevelL3:L1020D1007L3:L1019]],'Rating factors'!$F$4:$G$9,2,FALSE)</f>
        <v>--- Error ---</v>
      </c>
      <c r="N310" s="16" t="s">
        <v>79</v>
      </c>
      <c r="O310" s="17" t="str">
        <f>VLOOKUP(RiskRegister[[#This Row],[Inherent Likelihood Level]],'Rating factors'!$F$16:$G$21,2,FALSE)</f>
        <v>--- Error ---</v>
      </c>
      <c r="P310" s="17" t="str">
        <f>IFERROR(VLOOKUP(RiskRegister[[#This Row],[Inherent Risk Rating]],'Rating factors'!$F$30:$G$44,2,FALSE),"-- Error --")</f>
        <v>-- Error --</v>
      </c>
      <c r="Q310" s="17" t="str">
        <f>IFERROR(RiskRegister[[#This Row],[Inherent Impact Rating]]*RiskRegister[[#This Row],[Inherent Likelihood Rating]],"-- Error --")</f>
        <v>-- Error --</v>
      </c>
      <c r="R310" s="16" t="s">
        <v>98</v>
      </c>
      <c r="T310" s="16" t="s">
        <v>99</v>
      </c>
      <c r="U310" s="17" t="e" cm="1">
        <f t="array" aca="1" ref="U310" ca="1">+U310:Y1019VLOOKUP(RiskRegister[[#This Row],[Residual Impact Level]],'Rating factors'!$F$4:$G$9,2,FALSE)</f>
        <v>#NAME?</v>
      </c>
      <c r="V310" s="16" t="s">
        <v>79</v>
      </c>
      <c r="W310" s="17" t="str">
        <f>VLOOKUP(RiskRegister[[#This Row],[Residual Likelihood Level]],'Rating factors'!$F$16:$G$21,2,FALSE)</f>
        <v>--- Error ---</v>
      </c>
      <c r="X310" s="17" t="str">
        <f ca="1">IFERROR(VLOOKUP(RiskRegister[[#This Row],[Residual Risk Rating]],'Rating factors'!$F$30:$G$44,2,FALSE),"-- Error --")</f>
        <v>-- Error --</v>
      </c>
      <c r="Y310" s="17" t="str">
        <f ca="1">IFERROR(RiskRegister[[#This Row],[Residual Impact Rating]]*RiskRegister[[#This Row],[Residual Likelihood Rating]],"-- Error --")</f>
        <v>-- Error --</v>
      </c>
      <c r="Z310" s="16" t="s">
        <v>100</v>
      </c>
      <c r="AB310" s="39"/>
      <c r="AD310" s="20"/>
    </row>
    <row r="311" spans="1:30" s="16" customFormat="1" hidden="1" x14ac:dyDescent="0.25">
      <c r="A311" s="16">
        <v>308</v>
      </c>
      <c r="G311" s="16" t="s">
        <v>77</v>
      </c>
      <c r="I311" s="16" t="s">
        <v>75</v>
      </c>
      <c r="L311" s="105" t="s">
        <v>99</v>
      </c>
      <c r="M311" s="17" t="str">
        <f>VLOOKUP(RiskRegister[[#This Row],[Inherent Impact LevelL3:L1020D1007L3:L1019]],'Rating factors'!$F$4:$G$9,2,FALSE)</f>
        <v>--- Error ---</v>
      </c>
      <c r="N311" s="16" t="s">
        <v>79</v>
      </c>
      <c r="O311" s="17" t="str">
        <f>VLOOKUP(RiskRegister[[#This Row],[Inherent Likelihood Level]],'Rating factors'!$F$16:$G$21,2,FALSE)</f>
        <v>--- Error ---</v>
      </c>
      <c r="P311" s="17" t="str">
        <f>IFERROR(VLOOKUP(RiskRegister[[#This Row],[Inherent Risk Rating]],'Rating factors'!$F$30:$G$44,2,FALSE),"-- Error --")</f>
        <v>-- Error --</v>
      </c>
      <c r="Q311" s="17" t="str">
        <f>IFERROR(RiskRegister[[#This Row],[Inherent Impact Rating]]*RiskRegister[[#This Row],[Inherent Likelihood Rating]],"-- Error --")</f>
        <v>-- Error --</v>
      </c>
      <c r="R311" s="16" t="s">
        <v>98</v>
      </c>
      <c r="T311" s="16" t="s">
        <v>99</v>
      </c>
      <c r="U311" s="17" t="e" cm="1">
        <f t="array" aca="1" ref="U311" ca="1">+U311:Y1019VLOOKUP(RiskRegister[[#This Row],[Residual Impact Level]],'Rating factors'!$F$4:$G$9,2,FALSE)</f>
        <v>#NAME?</v>
      </c>
      <c r="V311" s="16" t="s">
        <v>79</v>
      </c>
      <c r="W311" s="17" t="str">
        <f>VLOOKUP(RiskRegister[[#This Row],[Residual Likelihood Level]],'Rating factors'!$F$16:$G$21,2,FALSE)</f>
        <v>--- Error ---</v>
      </c>
      <c r="X311" s="17" t="str">
        <f ca="1">IFERROR(VLOOKUP(RiskRegister[[#This Row],[Residual Risk Rating]],'Rating factors'!$F$30:$G$44,2,FALSE),"-- Error --")</f>
        <v>-- Error --</v>
      </c>
      <c r="Y311" s="17" t="str">
        <f ca="1">IFERROR(RiskRegister[[#This Row],[Residual Impact Rating]]*RiskRegister[[#This Row],[Residual Likelihood Rating]],"-- Error --")</f>
        <v>-- Error --</v>
      </c>
      <c r="Z311" s="16" t="s">
        <v>100</v>
      </c>
      <c r="AB311" s="39"/>
      <c r="AD311" s="20"/>
    </row>
    <row r="312" spans="1:30" s="16" customFormat="1" hidden="1" x14ac:dyDescent="0.25">
      <c r="A312" s="16">
        <v>309</v>
      </c>
      <c r="G312" s="16" t="s">
        <v>77</v>
      </c>
      <c r="I312" s="16" t="s">
        <v>75</v>
      </c>
      <c r="L312" s="105" t="s">
        <v>99</v>
      </c>
      <c r="M312" s="17" t="str">
        <f>VLOOKUP(RiskRegister[[#This Row],[Inherent Impact LevelL3:L1020D1007L3:L1019]],'Rating factors'!$F$4:$G$9,2,FALSE)</f>
        <v>--- Error ---</v>
      </c>
      <c r="N312" s="16" t="s">
        <v>79</v>
      </c>
      <c r="O312" s="17" t="str">
        <f>VLOOKUP(RiskRegister[[#This Row],[Inherent Likelihood Level]],'Rating factors'!$F$16:$G$21,2,FALSE)</f>
        <v>--- Error ---</v>
      </c>
      <c r="P312" s="17" t="str">
        <f>IFERROR(VLOOKUP(RiskRegister[[#This Row],[Inherent Risk Rating]],'Rating factors'!$F$30:$G$44,2,FALSE),"-- Error --")</f>
        <v>-- Error --</v>
      </c>
      <c r="Q312" s="17" t="str">
        <f>IFERROR(RiskRegister[[#This Row],[Inherent Impact Rating]]*RiskRegister[[#This Row],[Inherent Likelihood Rating]],"-- Error --")</f>
        <v>-- Error --</v>
      </c>
      <c r="R312" s="16" t="s">
        <v>98</v>
      </c>
      <c r="T312" s="16" t="s">
        <v>99</v>
      </c>
      <c r="U312" s="17" t="e" cm="1">
        <f t="array" aca="1" ref="U312" ca="1">+U312:Y1019VLOOKUP(RiskRegister[[#This Row],[Residual Impact Level]],'Rating factors'!$F$4:$G$9,2,FALSE)</f>
        <v>#NAME?</v>
      </c>
      <c r="V312" s="16" t="s">
        <v>79</v>
      </c>
      <c r="W312" s="17" t="str">
        <f>VLOOKUP(RiskRegister[[#This Row],[Residual Likelihood Level]],'Rating factors'!$F$16:$G$21,2,FALSE)</f>
        <v>--- Error ---</v>
      </c>
      <c r="X312" s="17" t="str">
        <f ca="1">IFERROR(VLOOKUP(RiskRegister[[#This Row],[Residual Risk Rating]],'Rating factors'!$F$30:$G$44,2,FALSE),"-- Error --")</f>
        <v>-- Error --</v>
      </c>
      <c r="Y312" s="17" t="str">
        <f ca="1">IFERROR(RiskRegister[[#This Row],[Residual Impact Rating]]*RiskRegister[[#This Row],[Residual Likelihood Rating]],"-- Error --")</f>
        <v>-- Error --</v>
      </c>
      <c r="Z312" s="16" t="s">
        <v>100</v>
      </c>
      <c r="AB312" s="39"/>
      <c r="AD312" s="20"/>
    </row>
    <row r="313" spans="1:30" s="16" customFormat="1" hidden="1" x14ac:dyDescent="0.25">
      <c r="A313" s="16">
        <v>310</v>
      </c>
      <c r="G313" s="16" t="s">
        <v>77</v>
      </c>
      <c r="I313" s="16" t="s">
        <v>75</v>
      </c>
      <c r="L313" s="105" t="s">
        <v>99</v>
      </c>
      <c r="M313" s="17" t="str">
        <f>VLOOKUP(RiskRegister[[#This Row],[Inherent Impact LevelL3:L1020D1007L3:L1019]],'Rating factors'!$F$4:$G$9,2,FALSE)</f>
        <v>--- Error ---</v>
      </c>
      <c r="N313" s="16" t="s">
        <v>79</v>
      </c>
      <c r="O313" s="17" t="str">
        <f>VLOOKUP(RiskRegister[[#This Row],[Inherent Likelihood Level]],'Rating factors'!$F$16:$G$21,2,FALSE)</f>
        <v>--- Error ---</v>
      </c>
      <c r="P313" s="17" t="str">
        <f>IFERROR(VLOOKUP(RiskRegister[[#This Row],[Inherent Risk Rating]],'Rating factors'!$F$30:$G$44,2,FALSE),"-- Error --")</f>
        <v>-- Error --</v>
      </c>
      <c r="Q313" s="17" t="str">
        <f>IFERROR(RiskRegister[[#This Row],[Inherent Impact Rating]]*RiskRegister[[#This Row],[Inherent Likelihood Rating]],"-- Error --")</f>
        <v>-- Error --</v>
      </c>
      <c r="R313" s="16" t="s">
        <v>98</v>
      </c>
      <c r="T313" s="16" t="s">
        <v>99</v>
      </c>
      <c r="U313" s="17" t="e" cm="1">
        <f t="array" aca="1" ref="U313" ca="1">+U313:Y1019VLOOKUP(RiskRegister[[#This Row],[Residual Impact Level]],'Rating factors'!$F$4:$G$9,2,FALSE)</f>
        <v>#NAME?</v>
      </c>
      <c r="V313" s="16" t="s">
        <v>79</v>
      </c>
      <c r="W313" s="17" t="str">
        <f>VLOOKUP(RiskRegister[[#This Row],[Residual Likelihood Level]],'Rating factors'!$F$16:$G$21,2,FALSE)</f>
        <v>--- Error ---</v>
      </c>
      <c r="X313" s="17" t="str">
        <f ca="1">IFERROR(VLOOKUP(RiskRegister[[#This Row],[Residual Risk Rating]],'Rating factors'!$F$30:$G$44,2,FALSE),"-- Error --")</f>
        <v>-- Error --</v>
      </c>
      <c r="Y313" s="17" t="str">
        <f ca="1">IFERROR(RiskRegister[[#This Row],[Residual Impact Rating]]*RiskRegister[[#This Row],[Residual Likelihood Rating]],"-- Error --")</f>
        <v>-- Error --</v>
      </c>
      <c r="Z313" s="16" t="s">
        <v>100</v>
      </c>
      <c r="AB313" s="39"/>
      <c r="AD313" s="20"/>
    </row>
    <row r="314" spans="1:30" s="16" customFormat="1" hidden="1" x14ac:dyDescent="0.25">
      <c r="A314" s="16">
        <v>311</v>
      </c>
      <c r="G314" s="16" t="s">
        <v>77</v>
      </c>
      <c r="I314" s="16" t="s">
        <v>75</v>
      </c>
      <c r="L314" s="105" t="s">
        <v>99</v>
      </c>
      <c r="M314" s="17" t="str">
        <f>VLOOKUP(RiskRegister[[#This Row],[Inherent Impact LevelL3:L1020D1007L3:L1019]],'Rating factors'!$F$4:$G$9,2,FALSE)</f>
        <v>--- Error ---</v>
      </c>
      <c r="N314" s="16" t="s">
        <v>79</v>
      </c>
      <c r="O314" s="17" t="str">
        <f>VLOOKUP(RiskRegister[[#This Row],[Inherent Likelihood Level]],'Rating factors'!$F$16:$G$21,2,FALSE)</f>
        <v>--- Error ---</v>
      </c>
      <c r="P314" s="17" t="str">
        <f>IFERROR(VLOOKUP(RiskRegister[[#This Row],[Inherent Risk Rating]],'Rating factors'!$F$30:$G$44,2,FALSE),"-- Error --")</f>
        <v>-- Error --</v>
      </c>
      <c r="Q314" s="17" t="str">
        <f>IFERROR(RiskRegister[[#This Row],[Inherent Impact Rating]]*RiskRegister[[#This Row],[Inherent Likelihood Rating]],"-- Error --")</f>
        <v>-- Error --</v>
      </c>
      <c r="R314" s="16" t="s">
        <v>98</v>
      </c>
      <c r="T314" s="16" t="s">
        <v>99</v>
      </c>
      <c r="U314" s="17" t="e" cm="1">
        <f t="array" aca="1" ref="U314" ca="1">+U314:Y1019VLOOKUP(RiskRegister[[#This Row],[Residual Impact Level]],'Rating factors'!$F$4:$G$9,2,FALSE)</f>
        <v>#NAME?</v>
      </c>
      <c r="V314" s="16" t="s">
        <v>79</v>
      </c>
      <c r="W314" s="17" t="str">
        <f>VLOOKUP(RiskRegister[[#This Row],[Residual Likelihood Level]],'Rating factors'!$F$16:$G$21,2,FALSE)</f>
        <v>--- Error ---</v>
      </c>
      <c r="X314" s="17" t="str">
        <f ca="1">IFERROR(VLOOKUP(RiskRegister[[#This Row],[Residual Risk Rating]],'Rating factors'!$F$30:$G$44,2,FALSE),"-- Error --")</f>
        <v>-- Error --</v>
      </c>
      <c r="Y314" s="17" t="str">
        <f ca="1">IFERROR(RiskRegister[[#This Row],[Residual Impact Rating]]*RiskRegister[[#This Row],[Residual Likelihood Rating]],"-- Error --")</f>
        <v>-- Error --</v>
      </c>
      <c r="Z314" s="16" t="s">
        <v>100</v>
      </c>
      <c r="AB314" s="39"/>
      <c r="AD314" s="20"/>
    </row>
    <row r="315" spans="1:30" s="16" customFormat="1" hidden="1" x14ac:dyDescent="0.25">
      <c r="A315" s="16">
        <v>312</v>
      </c>
      <c r="G315" s="16" t="s">
        <v>77</v>
      </c>
      <c r="I315" s="16" t="s">
        <v>75</v>
      </c>
      <c r="L315" s="105" t="s">
        <v>99</v>
      </c>
      <c r="M315" s="17" t="str">
        <f>VLOOKUP(RiskRegister[[#This Row],[Inherent Impact LevelL3:L1020D1007L3:L1019]],'Rating factors'!$F$4:$G$9,2,FALSE)</f>
        <v>--- Error ---</v>
      </c>
      <c r="N315" s="16" t="s">
        <v>79</v>
      </c>
      <c r="O315" s="17" t="str">
        <f>VLOOKUP(RiskRegister[[#This Row],[Inherent Likelihood Level]],'Rating factors'!$F$16:$G$21,2,FALSE)</f>
        <v>--- Error ---</v>
      </c>
      <c r="P315" s="17" t="str">
        <f>IFERROR(VLOOKUP(RiskRegister[[#This Row],[Inherent Risk Rating]],'Rating factors'!$F$30:$G$44,2,FALSE),"-- Error --")</f>
        <v>-- Error --</v>
      </c>
      <c r="Q315" s="17" t="str">
        <f>IFERROR(RiskRegister[[#This Row],[Inherent Impact Rating]]*RiskRegister[[#This Row],[Inherent Likelihood Rating]],"-- Error --")</f>
        <v>-- Error --</v>
      </c>
      <c r="R315" s="16" t="s">
        <v>98</v>
      </c>
      <c r="T315" s="16" t="s">
        <v>99</v>
      </c>
      <c r="U315" s="17" t="e" cm="1">
        <f t="array" aca="1" ref="U315" ca="1">+U315:Y1019VLOOKUP(RiskRegister[[#This Row],[Residual Impact Level]],'Rating factors'!$F$4:$G$9,2,FALSE)</f>
        <v>#NAME?</v>
      </c>
      <c r="V315" s="16" t="s">
        <v>79</v>
      </c>
      <c r="W315" s="17" t="str">
        <f>VLOOKUP(RiskRegister[[#This Row],[Residual Likelihood Level]],'Rating factors'!$F$16:$G$21,2,FALSE)</f>
        <v>--- Error ---</v>
      </c>
      <c r="X315" s="17" t="str">
        <f ca="1">IFERROR(VLOOKUP(RiskRegister[[#This Row],[Residual Risk Rating]],'Rating factors'!$F$30:$G$44,2,FALSE),"-- Error --")</f>
        <v>-- Error --</v>
      </c>
      <c r="Y315" s="17" t="str">
        <f ca="1">IFERROR(RiskRegister[[#This Row],[Residual Impact Rating]]*RiskRegister[[#This Row],[Residual Likelihood Rating]],"-- Error --")</f>
        <v>-- Error --</v>
      </c>
      <c r="Z315" s="16" t="s">
        <v>100</v>
      </c>
      <c r="AB315" s="39"/>
      <c r="AD315" s="20"/>
    </row>
    <row r="316" spans="1:30" s="16" customFormat="1" hidden="1" x14ac:dyDescent="0.25">
      <c r="A316" s="16">
        <v>313</v>
      </c>
      <c r="G316" s="16" t="s">
        <v>77</v>
      </c>
      <c r="I316" s="16" t="s">
        <v>75</v>
      </c>
      <c r="L316" s="105" t="s">
        <v>99</v>
      </c>
      <c r="M316" s="17" t="str">
        <f>VLOOKUP(RiskRegister[[#This Row],[Inherent Impact LevelL3:L1020D1007L3:L1019]],'Rating factors'!$F$4:$G$9,2,FALSE)</f>
        <v>--- Error ---</v>
      </c>
      <c r="N316" s="16" t="s">
        <v>79</v>
      </c>
      <c r="O316" s="17" t="str">
        <f>VLOOKUP(RiskRegister[[#This Row],[Inherent Likelihood Level]],'Rating factors'!$F$16:$G$21,2,FALSE)</f>
        <v>--- Error ---</v>
      </c>
      <c r="P316" s="17" t="str">
        <f>IFERROR(VLOOKUP(RiskRegister[[#This Row],[Inherent Risk Rating]],'Rating factors'!$F$30:$G$44,2,FALSE),"-- Error --")</f>
        <v>-- Error --</v>
      </c>
      <c r="Q316" s="17" t="str">
        <f>IFERROR(RiskRegister[[#This Row],[Inherent Impact Rating]]*RiskRegister[[#This Row],[Inherent Likelihood Rating]],"-- Error --")</f>
        <v>-- Error --</v>
      </c>
      <c r="R316" s="16" t="s">
        <v>98</v>
      </c>
      <c r="T316" s="16" t="s">
        <v>99</v>
      </c>
      <c r="U316" s="17" t="e" cm="1">
        <f t="array" aca="1" ref="U316" ca="1">+U316:Y1019VLOOKUP(RiskRegister[[#This Row],[Residual Impact Level]],'Rating factors'!$F$4:$G$9,2,FALSE)</f>
        <v>#NAME?</v>
      </c>
      <c r="V316" s="16" t="s">
        <v>79</v>
      </c>
      <c r="W316" s="17" t="str">
        <f>VLOOKUP(RiskRegister[[#This Row],[Residual Likelihood Level]],'Rating factors'!$F$16:$G$21,2,FALSE)</f>
        <v>--- Error ---</v>
      </c>
      <c r="X316" s="17" t="str">
        <f ca="1">IFERROR(VLOOKUP(RiskRegister[[#This Row],[Residual Risk Rating]],'Rating factors'!$F$30:$G$44,2,FALSE),"-- Error --")</f>
        <v>-- Error --</v>
      </c>
      <c r="Y316" s="17" t="str">
        <f ca="1">IFERROR(RiskRegister[[#This Row],[Residual Impact Rating]]*RiskRegister[[#This Row],[Residual Likelihood Rating]],"-- Error --")</f>
        <v>-- Error --</v>
      </c>
      <c r="Z316" s="16" t="s">
        <v>100</v>
      </c>
      <c r="AB316" s="39"/>
      <c r="AD316" s="20"/>
    </row>
    <row r="317" spans="1:30" s="16" customFormat="1" hidden="1" x14ac:dyDescent="0.25">
      <c r="A317" s="16">
        <v>314</v>
      </c>
      <c r="G317" s="16" t="s">
        <v>77</v>
      </c>
      <c r="I317" s="16" t="s">
        <v>75</v>
      </c>
      <c r="L317" s="105" t="s">
        <v>99</v>
      </c>
      <c r="M317" s="17" t="str">
        <f>VLOOKUP(RiskRegister[[#This Row],[Inherent Impact LevelL3:L1020D1007L3:L1019]],'Rating factors'!$F$4:$G$9,2,FALSE)</f>
        <v>--- Error ---</v>
      </c>
      <c r="N317" s="16" t="s">
        <v>79</v>
      </c>
      <c r="O317" s="17" t="str">
        <f>VLOOKUP(RiskRegister[[#This Row],[Inherent Likelihood Level]],'Rating factors'!$F$16:$G$21,2,FALSE)</f>
        <v>--- Error ---</v>
      </c>
      <c r="P317" s="17" t="str">
        <f>IFERROR(VLOOKUP(RiskRegister[[#This Row],[Inherent Risk Rating]],'Rating factors'!$F$30:$G$44,2,FALSE),"-- Error --")</f>
        <v>-- Error --</v>
      </c>
      <c r="Q317" s="17" t="str">
        <f>IFERROR(RiskRegister[[#This Row],[Inherent Impact Rating]]*RiskRegister[[#This Row],[Inherent Likelihood Rating]],"-- Error --")</f>
        <v>-- Error --</v>
      </c>
      <c r="R317" s="16" t="s">
        <v>98</v>
      </c>
      <c r="T317" s="16" t="s">
        <v>99</v>
      </c>
      <c r="U317" s="17" t="e" cm="1">
        <f t="array" aca="1" ref="U317" ca="1">+U317:Y1019VLOOKUP(RiskRegister[[#This Row],[Residual Impact Level]],'Rating factors'!$F$4:$G$9,2,FALSE)</f>
        <v>#NAME?</v>
      </c>
      <c r="V317" s="16" t="s">
        <v>79</v>
      </c>
      <c r="W317" s="17" t="str">
        <f>VLOOKUP(RiskRegister[[#This Row],[Residual Likelihood Level]],'Rating factors'!$F$16:$G$21,2,FALSE)</f>
        <v>--- Error ---</v>
      </c>
      <c r="X317" s="17" t="str">
        <f ca="1">IFERROR(VLOOKUP(RiskRegister[[#This Row],[Residual Risk Rating]],'Rating factors'!$F$30:$G$44,2,FALSE),"-- Error --")</f>
        <v>-- Error --</v>
      </c>
      <c r="Y317" s="17" t="str">
        <f ca="1">IFERROR(RiskRegister[[#This Row],[Residual Impact Rating]]*RiskRegister[[#This Row],[Residual Likelihood Rating]],"-- Error --")</f>
        <v>-- Error --</v>
      </c>
      <c r="Z317" s="16" t="s">
        <v>100</v>
      </c>
      <c r="AB317" s="39"/>
      <c r="AD317" s="20"/>
    </row>
    <row r="318" spans="1:30" s="16" customFormat="1" hidden="1" x14ac:dyDescent="0.25">
      <c r="A318" s="16">
        <v>315</v>
      </c>
      <c r="G318" s="16" t="s">
        <v>77</v>
      </c>
      <c r="I318" s="16" t="s">
        <v>75</v>
      </c>
      <c r="L318" s="105" t="s">
        <v>99</v>
      </c>
      <c r="M318" s="17" t="str">
        <f>VLOOKUP(RiskRegister[[#This Row],[Inherent Impact LevelL3:L1020D1007L3:L1019]],'Rating factors'!$F$4:$G$9,2,FALSE)</f>
        <v>--- Error ---</v>
      </c>
      <c r="N318" s="16" t="s">
        <v>79</v>
      </c>
      <c r="O318" s="17" t="str">
        <f>VLOOKUP(RiskRegister[[#This Row],[Inherent Likelihood Level]],'Rating factors'!$F$16:$G$21,2,FALSE)</f>
        <v>--- Error ---</v>
      </c>
      <c r="P318" s="17" t="str">
        <f>IFERROR(VLOOKUP(RiskRegister[[#This Row],[Inherent Risk Rating]],'Rating factors'!$F$30:$G$44,2,FALSE),"-- Error --")</f>
        <v>-- Error --</v>
      </c>
      <c r="Q318" s="17" t="str">
        <f>IFERROR(RiskRegister[[#This Row],[Inherent Impact Rating]]*RiskRegister[[#This Row],[Inherent Likelihood Rating]],"-- Error --")</f>
        <v>-- Error --</v>
      </c>
      <c r="R318" s="16" t="s">
        <v>98</v>
      </c>
      <c r="T318" s="16" t="s">
        <v>99</v>
      </c>
      <c r="U318" s="17" t="e" cm="1">
        <f t="array" aca="1" ref="U318" ca="1">+U318:Y1019VLOOKUP(RiskRegister[[#This Row],[Residual Impact Level]],'Rating factors'!$F$4:$G$9,2,FALSE)</f>
        <v>#NAME?</v>
      </c>
      <c r="V318" s="16" t="s">
        <v>79</v>
      </c>
      <c r="W318" s="17" t="str">
        <f>VLOOKUP(RiskRegister[[#This Row],[Residual Likelihood Level]],'Rating factors'!$F$16:$G$21,2,FALSE)</f>
        <v>--- Error ---</v>
      </c>
      <c r="X318" s="17" t="str">
        <f ca="1">IFERROR(VLOOKUP(RiskRegister[[#This Row],[Residual Risk Rating]],'Rating factors'!$F$30:$G$44,2,FALSE),"-- Error --")</f>
        <v>-- Error --</v>
      </c>
      <c r="Y318" s="17" t="str">
        <f ca="1">IFERROR(RiskRegister[[#This Row],[Residual Impact Rating]]*RiskRegister[[#This Row],[Residual Likelihood Rating]],"-- Error --")</f>
        <v>-- Error --</v>
      </c>
      <c r="Z318" s="16" t="s">
        <v>100</v>
      </c>
      <c r="AB318" s="39"/>
      <c r="AD318" s="20"/>
    </row>
    <row r="319" spans="1:30" s="16" customFormat="1" hidden="1" x14ac:dyDescent="0.25">
      <c r="A319" s="16">
        <v>316</v>
      </c>
      <c r="G319" s="16" t="s">
        <v>77</v>
      </c>
      <c r="I319" s="16" t="s">
        <v>75</v>
      </c>
      <c r="L319" s="105" t="s">
        <v>99</v>
      </c>
      <c r="M319" s="17" t="str">
        <f>VLOOKUP(RiskRegister[[#This Row],[Inherent Impact LevelL3:L1020D1007L3:L1019]],'Rating factors'!$F$4:$G$9,2,FALSE)</f>
        <v>--- Error ---</v>
      </c>
      <c r="N319" s="16" t="s">
        <v>79</v>
      </c>
      <c r="O319" s="17" t="str">
        <f>VLOOKUP(RiskRegister[[#This Row],[Inherent Likelihood Level]],'Rating factors'!$F$16:$G$21,2,FALSE)</f>
        <v>--- Error ---</v>
      </c>
      <c r="P319" s="17" t="str">
        <f>IFERROR(VLOOKUP(RiskRegister[[#This Row],[Inherent Risk Rating]],'Rating factors'!$F$30:$G$44,2,FALSE),"-- Error --")</f>
        <v>-- Error --</v>
      </c>
      <c r="Q319" s="17" t="str">
        <f>IFERROR(RiskRegister[[#This Row],[Inherent Impact Rating]]*RiskRegister[[#This Row],[Inherent Likelihood Rating]],"-- Error --")</f>
        <v>-- Error --</v>
      </c>
      <c r="R319" s="16" t="s">
        <v>98</v>
      </c>
      <c r="T319" s="16" t="s">
        <v>99</v>
      </c>
      <c r="U319" s="17" t="e" cm="1">
        <f t="array" aca="1" ref="U319" ca="1">+U319:Y1019VLOOKUP(RiskRegister[[#This Row],[Residual Impact Level]],'Rating factors'!$F$4:$G$9,2,FALSE)</f>
        <v>#NAME?</v>
      </c>
      <c r="V319" s="16" t="s">
        <v>79</v>
      </c>
      <c r="W319" s="17" t="str">
        <f>VLOOKUP(RiskRegister[[#This Row],[Residual Likelihood Level]],'Rating factors'!$F$16:$G$21,2,FALSE)</f>
        <v>--- Error ---</v>
      </c>
      <c r="X319" s="17" t="str">
        <f ca="1">IFERROR(VLOOKUP(RiskRegister[[#This Row],[Residual Risk Rating]],'Rating factors'!$F$30:$G$44,2,FALSE),"-- Error --")</f>
        <v>-- Error --</v>
      </c>
      <c r="Y319" s="17" t="str">
        <f ca="1">IFERROR(RiskRegister[[#This Row],[Residual Impact Rating]]*RiskRegister[[#This Row],[Residual Likelihood Rating]],"-- Error --")</f>
        <v>-- Error --</v>
      </c>
      <c r="Z319" s="16" t="s">
        <v>100</v>
      </c>
      <c r="AB319" s="39"/>
      <c r="AD319" s="20"/>
    </row>
    <row r="320" spans="1:30" s="16" customFormat="1" hidden="1" x14ac:dyDescent="0.25">
      <c r="A320" s="16">
        <v>317</v>
      </c>
      <c r="G320" s="16" t="s">
        <v>77</v>
      </c>
      <c r="I320" s="16" t="s">
        <v>75</v>
      </c>
      <c r="L320" s="105" t="s">
        <v>99</v>
      </c>
      <c r="M320" s="17" t="str">
        <f>VLOOKUP(RiskRegister[[#This Row],[Inherent Impact LevelL3:L1020D1007L3:L1019]],'Rating factors'!$F$4:$G$9,2,FALSE)</f>
        <v>--- Error ---</v>
      </c>
      <c r="N320" s="16" t="s">
        <v>79</v>
      </c>
      <c r="O320" s="17" t="str">
        <f>VLOOKUP(RiskRegister[[#This Row],[Inherent Likelihood Level]],'Rating factors'!$F$16:$G$21,2,FALSE)</f>
        <v>--- Error ---</v>
      </c>
      <c r="P320" s="17" t="str">
        <f>IFERROR(VLOOKUP(RiskRegister[[#This Row],[Inherent Risk Rating]],'Rating factors'!$F$30:$G$44,2,FALSE),"-- Error --")</f>
        <v>-- Error --</v>
      </c>
      <c r="Q320" s="17" t="str">
        <f>IFERROR(RiskRegister[[#This Row],[Inherent Impact Rating]]*RiskRegister[[#This Row],[Inherent Likelihood Rating]],"-- Error --")</f>
        <v>-- Error --</v>
      </c>
      <c r="R320" s="16" t="s">
        <v>98</v>
      </c>
      <c r="T320" s="16" t="s">
        <v>99</v>
      </c>
      <c r="U320" s="17" t="e" cm="1">
        <f t="array" aca="1" ref="U320" ca="1">+U320:Y1019VLOOKUP(RiskRegister[[#This Row],[Residual Impact Level]],'Rating factors'!$F$4:$G$9,2,FALSE)</f>
        <v>#NAME?</v>
      </c>
      <c r="V320" s="16" t="s">
        <v>79</v>
      </c>
      <c r="W320" s="17" t="str">
        <f>VLOOKUP(RiskRegister[[#This Row],[Residual Likelihood Level]],'Rating factors'!$F$16:$G$21,2,FALSE)</f>
        <v>--- Error ---</v>
      </c>
      <c r="X320" s="17" t="str">
        <f ca="1">IFERROR(VLOOKUP(RiskRegister[[#This Row],[Residual Risk Rating]],'Rating factors'!$F$30:$G$44,2,FALSE),"-- Error --")</f>
        <v>-- Error --</v>
      </c>
      <c r="Y320" s="17" t="str">
        <f ca="1">IFERROR(RiskRegister[[#This Row],[Residual Impact Rating]]*RiskRegister[[#This Row],[Residual Likelihood Rating]],"-- Error --")</f>
        <v>-- Error --</v>
      </c>
      <c r="Z320" s="16" t="s">
        <v>100</v>
      </c>
      <c r="AB320" s="39"/>
      <c r="AD320" s="20"/>
    </row>
    <row r="321" spans="1:30" s="16" customFormat="1" hidden="1" x14ac:dyDescent="0.25">
      <c r="A321" s="16">
        <v>318</v>
      </c>
      <c r="G321" s="16" t="s">
        <v>77</v>
      </c>
      <c r="I321" s="16" t="s">
        <v>75</v>
      </c>
      <c r="L321" s="105" t="s">
        <v>99</v>
      </c>
      <c r="M321" s="17" t="str">
        <f>VLOOKUP(RiskRegister[[#This Row],[Inherent Impact LevelL3:L1020D1007L3:L1019]],'Rating factors'!$F$4:$G$9,2,FALSE)</f>
        <v>--- Error ---</v>
      </c>
      <c r="N321" s="16" t="s">
        <v>79</v>
      </c>
      <c r="O321" s="17" t="str">
        <f>VLOOKUP(RiskRegister[[#This Row],[Inherent Likelihood Level]],'Rating factors'!$F$16:$G$21,2,FALSE)</f>
        <v>--- Error ---</v>
      </c>
      <c r="P321" s="17" t="str">
        <f>IFERROR(VLOOKUP(RiskRegister[[#This Row],[Inherent Risk Rating]],'Rating factors'!$F$30:$G$44,2,FALSE),"-- Error --")</f>
        <v>-- Error --</v>
      </c>
      <c r="Q321" s="17" t="str">
        <f>IFERROR(RiskRegister[[#This Row],[Inherent Impact Rating]]*RiskRegister[[#This Row],[Inherent Likelihood Rating]],"-- Error --")</f>
        <v>-- Error --</v>
      </c>
      <c r="R321" s="16" t="s">
        <v>98</v>
      </c>
      <c r="T321" s="16" t="s">
        <v>99</v>
      </c>
      <c r="U321" s="17" t="e" cm="1">
        <f t="array" aca="1" ref="U321" ca="1">+U321:Y1019VLOOKUP(RiskRegister[[#This Row],[Residual Impact Level]],'Rating factors'!$F$4:$G$9,2,FALSE)</f>
        <v>#NAME?</v>
      </c>
      <c r="V321" s="16" t="s">
        <v>79</v>
      </c>
      <c r="W321" s="17" t="str">
        <f>VLOOKUP(RiskRegister[[#This Row],[Residual Likelihood Level]],'Rating factors'!$F$16:$G$21,2,FALSE)</f>
        <v>--- Error ---</v>
      </c>
      <c r="X321" s="17" t="str">
        <f ca="1">IFERROR(VLOOKUP(RiskRegister[[#This Row],[Residual Risk Rating]],'Rating factors'!$F$30:$G$44,2,FALSE),"-- Error --")</f>
        <v>-- Error --</v>
      </c>
      <c r="Y321" s="17" t="str">
        <f ca="1">IFERROR(RiskRegister[[#This Row],[Residual Impact Rating]]*RiskRegister[[#This Row],[Residual Likelihood Rating]],"-- Error --")</f>
        <v>-- Error --</v>
      </c>
      <c r="Z321" s="16" t="s">
        <v>100</v>
      </c>
      <c r="AB321" s="39"/>
      <c r="AD321" s="20"/>
    </row>
    <row r="322" spans="1:30" s="16" customFormat="1" hidden="1" x14ac:dyDescent="0.25">
      <c r="A322" s="16">
        <v>319</v>
      </c>
      <c r="G322" s="16" t="s">
        <v>77</v>
      </c>
      <c r="I322" s="16" t="s">
        <v>75</v>
      </c>
      <c r="L322" s="105" t="s">
        <v>99</v>
      </c>
      <c r="M322" s="17" t="str">
        <f>VLOOKUP(RiskRegister[[#This Row],[Inherent Impact LevelL3:L1020D1007L3:L1019]],'Rating factors'!$F$4:$G$9,2,FALSE)</f>
        <v>--- Error ---</v>
      </c>
      <c r="N322" s="16" t="s">
        <v>79</v>
      </c>
      <c r="O322" s="17" t="str">
        <f>VLOOKUP(RiskRegister[[#This Row],[Inherent Likelihood Level]],'Rating factors'!$F$16:$G$21,2,FALSE)</f>
        <v>--- Error ---</v>
      </c>
      <c r="P322" s="17" t="str">
        <f>IFERROR(VLOOKUP(RiskRegister[[#This Row],[Inherent Risk Rating]],'Rating factors'!$F$30:$G$44,2,FALSE),"-- Error --")</f>
        <v>-- Error --</v>
      </c>
      <c r="Q322" s="17" t="str">
        <f>IFERROR(RiskRegister[[#This Row],[Inherent Impact Rating]]*RiskRegister[[#This Row],[Inherent Likelihood Rating]],"-- Error --")</f>
        <v>-- Error --</v>
      </c>
      <c r="R322" s="16" t="s">
        <v>98</v>
      </c>
      <c r="T322" s="16" t="s">
        <v>99</v>
      </c>
      <c r="U322" s="17" t="e" cm="1">
        <f t="array" aca="1" ref="U322" ca="1">+U322:Y1019VLOOKUP(RiskRegister[[#This Row],[Residual Impact Level]],'Rating factors'!$F$4:$G$9,2,FALSE)</f>
        <v>#NAME?</v>
      </c>
      <c r="V322" s="16" t="s">
        <v>79</v>
      </c>
      <c r="W322" s="17" t="str">
        <f>VLOOKUP(RiskRegister[[#This Row],[Residual Likelihood Level]],'Rating factors'!$F$16:$G$21,2,FALSE)</f>
        <v>--- Error ---</v>
      </c>
      <c r="X322" s="17" t="str">
        <f ca="1">IFERROR(VLOOKUP(RiskRegister[[#This Row],[Residual Risk Rating]],'Rating factors'!$F$30:$G$44,2,FALSE),"-- Error --")</f>
        <v>-- Error --</v>
      </c>
      <c r="Y322" s="17" t="str">
        <f ca="1">IFERROR(RiskRegister[[#This Row],[Residual Impact Rating]]*RiskRegister[[#This Row],[Residual Likelihood Rating]],"-- Error --")</f>
        <v>-- Error --</v>
      </c>
      <c r="Z322" s="16" t="s">
        <v>100</v>
      </c>
      <c r="AB322" s="39"/>
      <c r="AD322" s="20"/>
    </row>
    <row r="323" spans="1:30" s="16" customFormat="1" hidden="1" x14ac:dyDescent="0.25">
      <c r="A323" s="16">
        <v>320</v>
      </c>
      <c r="G323" s="16" t="s">
        <v>77</v>
      </c>
      <c r="I323" s="16" t="s">
        <v>75</v>
      </c>
      <c r="L323" s="105" t="s">
        <v>99</v>
      </c>
      <c r="M323" s="17" t="str">
        <f>VLOOKUP(RiskRegister[[#This Row],[Inherent Impact LevelL3:L1020D1007L3:L1019]],'Rating factors'!$F$4:$G$9,2,FALSE)</f>
        <v>--- Error ---</v>
      </c>
      <c r="N323" s="16" t="s">
        <v>79</v>
      </c>
      <c r="O323" s="17" t="str">
        <f>VLOOKUP(RiskRegister[[#This Row],[Inherent Likelihood Level]],'Rating factors'!$F$16:$G$21,2,FALSE)</f>
        <v>--- Error ---</v>
      </c>
      <c r="P323" s="17" t="str">
        <f>IFERROR(VLOOKUP(RiskRegister[[#This Row],[Inherent Risk Rating]],'Rating factors'!$F$30:$G$44,2,FALSE),"-- Error --")</f>
        <v>-- Error --</v>
      </c>
      <c r="Q323" s="17" t="str">
        <f>IFERROR(RiskRegister[[#This Row],[Inherent Impact Rating]]*RiskRegister[[#This Row],[Inherent Likelihood Rating]],"-- Error --")</f>
        <v>-- Error --</v>
      </c>
      <c r="R323" s="16" t="s">
        <v>98</v>
      </c>
      <c r="T323" s="16" t="s">
        <v>99</v>
      </c>
      <c r="U323" s="17" t="e" cm="1">
        <f t="array" aca="1" ref="U323" ca="1">+U323:Y1019VLOOKUP(RiskRegister[[#This Row],[Residual Impact Level]],'Rating factors'!$F$4:$G$9,2,FALSE)</f>
        <v>#NAME?</v>
      </c>
      <c r="V323" s="16" t="s">
        <v>79</v>
      </c>
      <c r="W323" s="17" t="str">
        <f>VLOOKUP(RiskRegister[[#This Row],[Residual Likelihood Level]],'Rating factors'!$F$16:$G$21,2,FALSE)</f>
        <v>--- Error ---</v>
      </c>
      <c r="X323" s="17" t="str">
        <f ca="1">IFERROR(VLOOKUP(RiskRegister[[#This Row],[Residual Risk Rating]],'Rating factors'!$F$30:$G$44,2,FALSE),"-- Error --")</f>
        <v>-- Error --</v>
      </c>
      <c r="Y323" s="17" t="str">
        <f ca="1">IFERROR(RiskRegister[[#This Row],[Residual Impact Rating]]*RiskRegister[[#This Row],[Residual Likelihood Rating]],"-- Error --")</f>
        <v>-- Error --</v>
      </c>
      <c r="Z323" s="16" t="s">
        <v>100</v>
      </c>
      <c r="AB323" s="39"/>
      <c r="AD323" s="20"/>
    </row>
    <row r="324" spans="1:30" s="16" customFormat="1" hidden="1" x14ac:dyDescent="0.25">
      <c r="A324" s="16">
        <v>321</v>
      </c>
      <c r="G324" s="16" t="s">
        <v>77</v>
      </c>
      <c r="I324" s="16" t="s">
        <v>75</v>
      </c>
      <c r="L324" s="105" t="s">
        <v>99</v>
      </c>
      <c r="M324" s="17" t="str">
        <f>VLOOKUP(RiskRegister[[#This Row],[Inherent Impact LevelL3:L1020D1007L3:L1019]],'Rating factors'!$F$4:$G$9,2,FALSE)</f>
        <v>--- Error ---</v>
      </c>
      <c r="N324" s="16" t="s">
        <v>79</v>
      </c>
      <c r="O324" s="17" t="str">
        <f>VLOOKUP(RiskRegister[[#This Row],[Inherent Likelihood Level]],'Rating factors'!$F$16:$G$21,2,FALSE)</f>
        <v>--- Error ---</v>
      </c>
      <c r="P324" s="17" t="str">
        <f>IFERROR(VLOOKUP(RiskRegister[[#This Row],[Inherent Risk Rating]],'Rating factors'!$F$30:$G$44,2,FALSE),"-- Error --")</f>
        <v>-- Error --</v>
      </c>
      <c r="Q324" s="17" t="str">
        <f>IFERROR(RiskRegister[[#This Row],[Inherent Impact Rating]]*RiskRegister[[#This Row],[Inherent Likelihood Rating]],"-- Error --")</f>
        <v>-- Error --</v>
      </c>
      <c r="R324" s="16" t="s">
        <v>98</v>
      </c>
      <c r="T324" s="16" t="s">
        <v>99</v>
      </c>
      <c r="U324" s="17" t="e" cm="1">
        <f t="array" aca="1" ref="U324" ca="1">+U324:Y1019VLOOKUP(RiskRegister[[#This Row],[Residual Impact Level]],'Rating factors'!$F$4:$G$9,2,FALSE)</f>
        <v>#NAME?</v>
      </c>
      <c r="V324" s="16" t="s">
        <v>79</v>
      </c>
      <c r="W324" s="17" t="str">
        <f>VLOOKUP(RiskRegister[[#This Row],[Residual Likelihood Level]],'Rating factors'!$F$16:$G$21,2,FALSE)</f>
        <v>--- Error ---</v>
      </c>
      <c r="X324" s="17" t="str">
        <f ca="1">IFERROR(VLOOKUP(RiskRegister[[#This Row],[Residual Risk Rating]],'Rating factors'!$F$30:$G$44,2,FALSE),"-- Error --")</f>
        <v>-- Error --</v>
      </c>
      <c r="Y324" s="17" t="str">
        <f ca="1">IFERROR(RiskRegister[[#This Row],[Residual Impact Rating]]*RiskRegister[[#This Row],[Residual Likelihood Rating]],"-- Error --")</f>
        <v>-- Error --</v>
      </c>
      <c r="Z324" s="16" t="s">
        <v>100</v>
      </c>
      <c r="AB324" s="39"/>
      <c r="AD324" s="20"/>
    </row>
    <row r="325" spans="1:30" s="16" customFormat="1" hidden="1" x14ac:dyDescent="0.25">
      <c r="A325" s="16">
        <v>322</v>
      </c>
      <c r="G325" s="16" t="s">
        <v>77</v>
      </c>
      <c r="I325" s="16" t="s">
        <v>75</v>
      </c>
      <c r="L325" s="105" t="s">
        <v>99</v>
      </c>
      <c r="M325" s="17" t="str">
        <f>VLOOKUP(RiskRegister[[#This Row],[Inherent Impact LevelL3:L1020D1007L3:L1019]],'Rating factors'!$F$4:$G$9,2,FALSE)</f>
        <v>--- Error ---</v>
      </c>
      <c r="N325" s="16" t="s">
        <v>79</v>
      </c>
      <c r="O325" s="17" t="str">
        <f>VLOOKUP(RiskRegister[[#This Row],[Inherent Likelihood Level]],'Rating factors'!$F$16:$G$21,2,FALSE)</f>
        <v>--- Error ---</v>
      </c>
      <c r="P325" s="17" t="str">
        <f>IFERROR(VLOOKUP(RiskRegister[[#This Row],[Inherent Risk Rating]],'Rating factors'!$F$30:$G$44,2,FALSE),"-- Error --")</f>
        <v>-- Error --</v>
      </c>
      <c r="Q325" s="17" t="str">
        <f>IFERROR(RiskRegister[[#This Row],[Inherent Impact Rating]]*RiskRegister[[#This Row],[Inherent Likelihood Rating]],"-- Error --")</f>
        <v>-- Error --</v>
      </c>
      <c r="R325" s="16" t="s">
        <v>98</v>
      </c>
      <c r="T325" s="16" t="s">
        <v>99</v>
      </c>
      <c r="U325" s="17" t="e" cm="1">
        <f t="array" aca="1" ref="U325" ca="1">+U325:Y1019VLOOKUP(RiskRegister[[#This Row],[Residual Impact Level]],'Rating factors'!$F$4:$G$9,2,FALSE)</f>
        <v>#NAME?</v>
      </c>
      <c r="V325" s="16" t="s">
        <v>79</v>
      </c>
      <c r="W325" s="17" t="str">
        <f>VLOOKUP(RiskRegister[[#This Row],[Residual Likelihood Level]],'Rating factors'!$F$16:$G$21,2,FALSE)</f>
        <v>--- Error ---</v>
      </c>
      <c r="X325" s="17" t="str">
        <f ca="1">IFERROR(VLOOKUP(RiskRegister[[#This Row],[Residual Risk Rating]],'Rating factors'!$F$30:$G$44,2,FALSE),"-- Error --")</f>
        <v>-- Error --</v>
      </c>
      <c r="Y325" s="17" t="str">
        <f ca="1">IFERROR(RiskRegister[[#This Row],[Residual Impact Rating]]*RiskRegister[[#This Row],[Residual Likelihood Rating]],"-- Error --")</f>
        <v>-- Error --</v>
      </c>
      <c r="Z325" s="16" t="s">
        <v>100</v>
      </c>
      <c r="AB325" s="39"/>
      <c r="AD325" s="20"/>
    </row>
    <row r="326" spans="1:30" s="16" customFormat="1" hidden="1" x14ac:dyDescent="0.25">
      <c r="A326" s="16">
        <v>323</v>
      </c>
      <c r="G326" s="16" t="s">
        <v>77</v>
      </c>
      <c r="I326" s="16" t="s">
        <v>75</v>
      </c>
      <c r="L326" s="105" t="s">
        <v>99</v>
      </c>
      <c r="M326" s="17" t="str">
        <f>VLOOKUP(RiskRegister[[#This Row],[Inherent Impact LevelL3:L1020D1007L3:L1019]],'Rating factors'!$F$4:$G$9,2,FALSE)</f>
        <v>--- Error ---</v>
      </c>
      <c r="N326" s="16" t="s">
        <v>79</v>
      </c>
      <c r="O326" s="17" t="str">
        <f>VLOOKUP(RiskRegister[[#This Row],[Inherent Likelihood Level]],'Rating factors'!$F$16:$G$21,2,FALSE)</f>
        <v>--- Error ---</v>
      </c>
      <c r="P326" s="17" t="str">
        <f>IFERROR(VLOOKUP(RiskRegister[[#This Row],[Inherent Risk Rating]],'Rating factors'!$F$30:$G$44,2,FALSE),"-- Error --")</f>
        <v>-- Error --</v>
      </c>
      <c r="Q326" s="17" t="str">
        <f>IFERROR(RiskRegister[[#This Row],[Inherent Impact Rating]]*RiskRegister[[#This Row],[Inherent Likelihood Rating]],"-- Error --")</f>
        <v>-- Error --</v>
      </c>
      <c r="R326" s="16" t="s">
        <v>98</v>
      </c>
      <c r="T326" s="16" t="s">
        <v>99</v>
      </c>
      <c r="U326" s="17" t="e" cm="1">
        <f t="array" aca="1" ref="U326" ca="1">+U326:Y1019VLOOKUP(RiskRegister[[#This Row],[Residual Impact Level]],'Rating factors'!$F$4:$G$9,2,FALSE)</f>
        <v>#NAME?</v>
      </c>
      <c r="V326" s="16" t="s">
        <v>79</v>
      </c>
      <c r="W326" s="17" t="str">
        <f>VLOOKUP(RiskRegister[[#This Row],[Residual Likelihood Level]],'Rating factors'!$F$16:$G$21,2,FALSE)</f>
        <v>--- Error ---</v>
      </c>
      <c r="X326" s="17" t="str">
        <f ca="1">IFERROR(VLOOKUP(RiskRegister[[#This Row],[Residual Risk Rating]],'Rating factors'!$F$30:$G$44,2,FALSE),"-- Error --")</f>
        <v>-- Error --</v>
      </c>
      <c r="Y326" s="17" t="str">
        <f ca="1">IFERROR(RiskRegister[[#This Row],[Residual Impact Rating]]*RiskRegister[[#This Row],[Residual Likelihood Rating]],"-- Error --")</f>
        <v>-- Error --</v>
      </c>
      <c r="Z326" s="16" t="s">
        <v>100</v>
      </c>
      <c r="AB326" s="39"/>
      <c r="AD326" s="20"/>
    </row>
    <row r="327" spans="1:30" s="16" customFormat="1" hidden="1" x14ac:dyDescent="0.25">
      <c r="A327" s="16">
        <v>324</v>
      </c>
      <c r="G327" s="16" t="s">
        <v>77</v>
      </c>
      <c r="I327" s="16" t="s">
        <v>75</v>
      </c>
      <c r="L327" s="105" t="s">
        <v>99</v>
      </c>
      <c r="M327" s="17" t="str">
        <f>VLOOKUP(RiskRegister[[#This Row],[Inherent Impact LevelL3:L1020D1007L3:L1019]],'Rating factors'!$F$4:$G$9,2,FALSE)</f>
        <v>--- Error ---</v>
      </c>
      <c r="N327" s="16" t="s">
        <v>79</v>
      </c>
      <c r="O327" s="17" t="str">
        <f>VLOOKUP(RiskRegister[[#This Row],[Inherent Likelihood Level]],'Rating factors'!$F$16:$G$21,2,FALSE)</f>
        <v>--- Error ---</v>
      </c>
      <c r="P327" s="17" t="str">
        <f>IFERROR(VLOOKUP(RiskRegister[[#This Row],[Inherent Risk Rating]],'Rating factors'!$F$30:$G$44,2,FALSE),"-- Error --")</f>
        <v>-- Error --</v>
      </c>
      <c r="Q327" s="17" t="str">
        <f>IFERROR(RiskRegister[[#This Row],[Inherent Impact Rating]]*RiskRegister[[#This Row],[Inherent Likelihood Rating]],"-- Error --")</f>
        <v>-- Error --</v>
      </c>
      <c r="R327" s="16" t="s">
        <v>98</v>
      </c>
      <c r="T327" s="16" t="s">
        <v>99</v>
      </c>
      <c r="U327" s="17" t="e" cm="1">
        <f t="array" aca="1" ref="U327" ca="1">+U327:Y1019VLOOKUP(RiskRegister[[#This Row],[Residual Impact Level]],'Rating factors'!$F$4:$G$9,2,FALSE)</f>
        <v>#NAME?</v>
      </c>
      <c r="V327" s="16" t="s">
        <v>79</v>
      </c>
      <c r="W327" s="17" t="str">
        <f>VLOOKUP(RiskRegister[[#This Row],[Residual Likelihood Level]],'Rating factors'!$F$16:$G$21,2,FALSE)</f>
        <v>--- Error ---</v>
      </c>
      <c r="X327" s="17" t="str">
        <f ca="1">IFERROR(VLOOKUP(RiskRegister[[#This Row],[Residual Risk Rating]],'Rating factors'!$F$30:$G$44,2,FALSE),"-- Error --")</f>
        <v>-- Error --</v>
      </c>
      <c r="Y327" s="17" t="str">
        <f ca="1">IFERROR(RiskRegister[[#This Row],[Residual Impact Rating]]*RiskRegister[[#This Row],[Residual Likelihood Rating]],"-- Error --")</f>
        <v>-- Error --</v>
      </c>
      <c r="Z327" s="16" t="s">
        <v>100</v>
      </c>
      <c r="AB327" s="39"/>
      <c r="AD327" s="20"/>
    </row>
    <row r="328" spans="1:30" s="16" customFormat="1" hidden="1" x14ac:dyDescent="0.25">
      <c r="A328" s="16">
        <v>325</v>
      </c>
      <c r="G328" s="16" t="s">
        <v>77</v>
      </c>
      <c r="I328" s="16" t="s">
        <v>75</v>
      </c>
      <c r="L328" s="105" t="s">
        <v>99</v>
      </c>
      <c r="M328" s="17" t="str">
        <f>VLOOKUP(RiskRegister[[#This Row],[Inherent Impact LevelL3:L1020D1007L3:L1019]],'Rating factors'!$F$4:$G$9,2,FALSE)</f>
        <v>--- Error ---</v>
      </c>
      <c r="N328" s="16" t="s">
        <v>79</v>
      </c>
      <c r="O328" s="17" t="str">
        <f>VLOOKUP(RiskRegister[[#This Row],[Inherent Likelihood Level]],'Rating factors'!$F$16:$G$21,2,FALSE)</f>
        <v>--- Error ---</v>
      </c>
      <c r="P328" s="17" t="str">
        <f>IFERROR(VLOOKUP(RiskRegister[[#This Row],[Inherent Risk Rating]],'Rating factors'!$F$30:$G$44,2,FALSE),"-- Error --")</f>
        <v>-- Error --</v>
      </c>
      <c r="Q328" s="17" t="str">
        <f>IFERROR(RiskRegister[[#This Row],[Inherent Impact Rating]]*RiskRegister[[#This Row],[Inherent Likelihood Rating]],"-- Error --")</f>
        <v>-- Error --</v>
      </c>
      <c r="R328" s="16" t="s">
        <v>98</v>
      </c>
      <c r="T328" s="16" t="s">
        <v>99</v>
      </c>
      <c r="U328" s="17" t="e" cm="1">
        <f t="array" aca="1" ref="U328" ca="1">+U328:Y1019VLOOKUP(RiskRegister[[#This Row],[Residual Impact Level]],'Rating factors'!$F$4:$G$9,2,FALSE)</f>
        <v>#NAME?</v>
      </c>
      <c r="V328" s="16" t="s">
        <v>79</v>
      </c>
      <c r="W328" s="17" t="str">
        <f>VLOOKUP(RiskRegister[[#This Row],[Residual Likelihood Level]],'Rating factors'!$F$16:$G$21,2,FALSE)</f>
        <v>--- Error ---</v>
      </c>
      <c r="X328" s="17" t="str">
        <f ca="1">IFERROR(VLOOKUP(RiskRegister[[#This Row],[Residual Risk Rating]],'Rating factors'!$F$30:$G$44,2,FALSE),"-- Error --")</f>
        <v>-- Error --</v>
      </c>
      <c r="Y328" s="17" t="str">
        <f ca="1">IFERROR(RiskRegister[[#This Row],[Residual Impact Rating]]*RiskRegister[[#This Row],[Residual Likelihood Rating]],"-- Error --")</f>
        <v>-- Error --</v>
      </c>
      <c r="Z328" s="16" t="s">
        <v>100</v>
      </c>
      <c r="AB328" s="39"/>
      <c r="AD328" s="20"/>
    </row>
    <row r="329" spans="1:30" s="16" customFormat="1" hidden="1" x14ac:dyDescent="0.25">
      <c r="A329" s="16">
        <v>326</v>
      </c>
      <c r="G329" s="16" t="s">
        <v>77</v>
      </c>
      <c r="I329" s="16" t="s">
        <v>75</v>
      </c>
      <c r="L329" s="105" t="s">
        <v>99</v>
      </c>
      <c r="M329" s="17" t="str">
        <f>VLOOKUP(RiskRegister[[#This Row],[Inherent Impact LevelL3:L1020D1007L3:L1019]],'Rating factors'!$F$4:$G$9,2,FALSE)</f>
        <v>--- Error ---</v>
      </c>
      <c r="N329" s="16" t="s">
        <v>79</v>
      </c>
      <c r="O329" s="17" t="str">
        <f>VLOOKUP(RiskRegister[[#This Row],[Inherent Likelihood Level]],'Rating factors'!$F$16:$G$21,2,FALSE)</f>
        <v>--- Error ---</v>
      </c>
      <c r="P329" s="17" t="str">
        <f>IFERROR(VLOOKUP(RiskRegister[[#This Row],[Inherent Risk Rating]],'Rating factors'!$F$30:$G$44,2,FALSE),"-- Error --")</f>
        <v>-- Error --</v>
      </c>
      <c r="Q329" s="17" t="str">
        <f>IFERROR(RiskRegister[[#This Row],[Inherent Impact Rating]]*RiskRegister[[#This Row],[Inherent Likelihood Rating]],"-- Error --")</f>
        <v>-- Error --</v>
      </c>
      <c r="R329" s="16" t="s">
        <v>98</v>
      </c>
      <c r="T329" s="16" t="s">
        <v>99</v>
      </c>
      <c r="U329" s="17" t="e" cm="1">
        <f t="array" aca="1" ref="U329" ca="1">+U329:Y1019VLOOKUP(RiskRegister[[#This Row],[Residual Impact Level]],'Rating factors'!$F$4:$G$9,2,FALSE)</f>
        <v>#NAME?</v>
      </c>
      <c r="V329" s="16" t="s">
        <v>79</v>
      </c>
      <c r="W329" s="17" t="str">
        <f>VLOOKUP(RiskRegister[[#This Row],[Residual Likelihood Level]],'Rating factors'!$F$16:$G$21,2,FALSE)</f>
        <v>--- Error ---</v>
      </c>
      <c r="X329" s="17" t="str">
        <f ca="1">IFERROR(VLOOKUP(RiskRegister[[#This Row],[Residual Risk Rating]],'Rating factors'!$F$30:$G$44,2,FALSE),"-- Error --")</f>
        <v>-- Error --</v>
      </c>
      <c r="Y329" s="17" t="str">
        <f ca="1">IFERROR(RiskRegister[[#This Row],[Residual Impact Rating]]*RiskRegister[[#This Row],[Residual Likelihood Rating]],"-- Error --")</f>
        <v>-- Error --</v>
      </c>
      <c r="Z329" s="16" t="s">
        <v>100</v>
      </c>
      <c r="AB329" s="39"/>
      <c r="AD329" s="20"/>
    </row>
    <row r="330" spans="1:30" s="16" customFormat="1" hidden="1" x14ac:dyDescent="0.25">
      <c r="A330" s="16">
        <v>327</v>
      </c>
      <c r="G330" s="16" t="s">
        <v>77</v>
      </c>
      <c r="I330" s="16" t="s">
        <v>75</v>
      </c>
      <c r="L330" s="105" t="s">
        <v>99</v>
      </c>
      <c r="M330" s="17" t="str">
        <f>VLOOKUP(RiskRegister[[#This Row],[Inherent Impact LevelL3:L1020D1007L3:L1019]],'Rating factors'!$F$4:$G$9,2,FALSE)</f>
        <v>--- Error ---</v>
      </c>
      <c r="N330" s="16" t="s">
        <v>79</v>
      </c>
      <c r="O330" s="17" t="str">
        <f>VLOOKUP(RiskRegister[[#This Row],[Inherent Likelihood Level]],'Rating factors'!$F$16:$G$21,2,FALSE)</f>
        <v>--- Error ---</v>
      </c>
      <c r="P330" s="17" t="str">
        <f>IFERROR(VLOOKUP(RiskRegister[[#This Row],[Inherent Risk Rating]],'Rating factors'!$F$30:$G$44,2,FALSE),"-- Error --")</f>
        <v>-- Error --</v>
      </c>
      <c r="Q330" s="17" t="str">
        <f>IFERROR(RiskRegister[[#This Row],[Inherent Impact Rating]]*RiskRegister[[#This Row],[Inherent Likelihood Rating]],"-- Error --")</f>
        <v>-- Error --</v>
      </c>
      <c r="R330" s="16" t="s">
        <v>98</v>
      </c>
      <c r="T330" s="16" t="s">
        <v>99</v>
      </c>
      <c r="U330" s="17" t="e" cm="1">
        <f t="array" aca="1" ref="U330" ca="1">+U330:Y1019VLOOKUP(RiskRegister[[#This Row],[Residual Impact Level]],'Rating factors'!$F$4:$G$9,2,FALSE)</f>
        <v>#NAME?</v>
      </c>
      <c r="V330" s="16" t="s">
        <v>79</v>
      </c>
      <c r="W330" s="17" t="str">
        <f>VLOOKUP(RiskRegister[[#This Row],[Residual Likelihood Level]],'Rating factors'!$F$16:$G$21,2,FALSE)</f>
        <v>--- Error ---</v>
      </c>
      <c r="X330" s="17" t="str">
        <f ca="1">IFERROR(VLOOKUP(RiskRegister[[#This Row],[Residual Risk Rating]],'Rating factors'!$F$30:$G$44,2,FALSE),"-- Error --")</f>
        <v>-- Error --</v>
      </c>
      <c r="Y330" s="17" t="str">
        <f ca="1">IFERROR(RiskRegister[[#This Row],[Residual Impact Rating]]*RiskRegister[[#This Row],[Residual Likelihood Rating]],"-- Error --")</f>
        <v>-- Error --</v>
      </c>
      <c r="Z330" s="16" t="s">
        <v>100</v>
      </c>
      <c r="AB330" s="39"/>
      <c r="AD330" s="20"/>
    </row>
    <row r="331" spans="1:30" s="16" customFormat="1" hidden="1" x14ac:dyDescent="0.25">
      <c r="A331" s="16">
        <v>328</v>
      </c>
      <c r="G331" s="16" t="s">
        <v>77</v>
      </c>
      <c r="I331" s="16" t="s">
        <v>75</v>
      </c>
      <c r="L331" s="105" t="s">
        <v>99</v>
      </c>
      <c r="M331" s="17" t="str">
        <f>VLOOKUP(RiskRegister[[#This Row],[Inherent Impact LevelL3:L1020D1007L3:L1019]],'Rating factors'!$F$4:$G$9,2,FALSE)</f>
        <v>--- Error ---</v>
      </c>
      <c r="N331" s="16" t="s">
        <v>79</v>
      </c>
      <c r="O331" s="17" t="str">
        <f>VLOOKUP(RiskRegister[[#This Row],[Inherent Likelihood Level]],'Rating factors'!$F$16:$G$21,2,FALSE)</f>
        <v>--- Error ---</v>
      </c>
      <c r="P331" s="17" t="str">
        <f>IFERROR(VLOOKUP(RiskRegister[[#This Row],[Inherent Risk Rating]],'Rating factors'!$F$30:$G$44,2,FALSE),"-- Error --")</f>
        <v>-- Error --</v>
      </c>
      <c r="Q331" s="17" t="str">
        <f>IFERROR(RiskRegister[[#This Row],[Inherent Impact Rating]]*RiskRegister[[#This Row],[Inherent Likelihood Rating]],"-- Error --")</f>
        <v>-- Error --</v>
      </c>
      <c r="R331" s="16" t="s">
        <v>98</v>
      </c>
      <c r="T331" s="16" t="s">
        <v>99</v>
      </c>
      <c r="U331" s="17" t="e" cm="1">
        <f t="array" aca="1" ref="U331" ca="1">+U331:Y1019VLOOKUP(RiskRegister[[#This Row],[Residual Impact Level]],'Rating factors'!$F$4:$G$9,2,FALSE)</f>
        <v>#NAME?</v>
      </c>
      <c r="V331" s="16" t="s">
        <v>79</v>
      </c>
      <c r="W331" s="17" t="str">
        <f>VLOOKUP(RiskRegister[[#This Row],[Residual Likelihood Level]],'Rating factors'!$F$16:$G$21,2,FALSE)</f>
        <v>--- Error ---</v>
      </c>
      <c r="X331" s="17" t="str">
        <f ca="1">IFERROR(VLOOKUP(RiskRegister[[#This Row],[Residual Risk Rating]],'Rating factors'!$F$30:$G$44,2,FALSE),"-- Error --")</f>
        <v>-- Error --</v>
      </c>
      <c r="Y331" s="17" t="str">
        <f ca="1">IFERROR(RiskRegister[[#This Row],[Residual Impact Rating]]*RiskRegister[[#This Row],[Residual Likelihood Rating]],"-- Error --")</f>
        <v>-- Error --</v>
      </c>
      <c r="Z331" s="16" t="s">
        <v>100</v>
      </c>
      <c r="AB331" s="39"/>
      <c r="AD331" s="20"/>
    </row>
    <row r="332" spans="1:30" s="16" customFormat="1" hidden="1" x14ac:dyDescent="0.25">
      <c r="A332" s="16">
        <v>329</v>
      </c>
      <c r="G332" s="16" t="s">
        <v>77</v>
      </c>
      <c r="I332" s="16" t="s">
        <v>75</v>
      </c>
      <c r="L332" s="105" t="s">
        <v>99</v>
      </c>
      <c r="M332" s="17" t="str">
        <f>VLOOKUP(RiskRegister[[#This Row],[Inherent Impact LevelL3:L1020D1007L3:L1019]],'Rating factors'!$F$4:$G$9,2,FALSE)</f>
        <v>--- Error ---</v>
      </c>
      <c r="N332" s="16" t="s">
        <v>79</v>
      </c>
      <c r="O332" s="17" t="str">
        <f>VLOOKUP(RiskRegister[[#This Row],[Inherent Likelihood Level]],'Rating factors'!$F$16:$G$21,2,FALSE)</f>
        <v>--- Error ---</v>
      </c>
      <c r="P332" s="17" t="str">
        <f>IFERROR(VLOOKUP(RiskRegister[[#This Row],[Inherent Risk Rating]],'Rating factors'!$F$30:$G$44,2,FALSE),"-- Error --")</f>
        <v>-- Error --</v>
      </c>
      <c r="Q332" s="17" t="str">
        <f>IFERROR(RiskRegister[[#This Row],[Inherent Impact Rating]]*RiskRegister[[#This Row],[Inherent Likelihood Rating]],"-- Error --")</f>
        <v>-- Error --</v>
      </c>
      <c r="R332" s="16" t="s">
        <v>98</v>
      </c>
      <c r="T332" s="16" t="s">
        <v>99</v>
      </c>
      <c r="U332" s="17" t="e" cm="1">
        <f t="array" aca="1" ref="U332" ca="1">+U332:Y1019VLOOKUP(RiskRegister[[#This Row],[Residual Impact Level]],'Rating factors'!$F$4:$G$9,2,FALSE)</f>
        <v>#NAME?</v>
      </c>
      <c r="V332" s="16" t="s">
        <v>79</v>
      </c>
      <c r="W332" s="17" t="str">
        <f>VLOOKUP(RiskRegister[[#This Row],[Residual Likelihood Level]],'Rating factors'!$F$16:$G$21,2,FALSE)</f>
        <v>--- Error ---</v>
      </c>
      <c r="X332" s="17" t="str">
        <f ca="1">IFERROR(VLOOKUP(RiskRegister[[#This Row],[Residual Risk Rating]],'Rating factors'!$F$30:$G$44,2,FALSE),"-- Error --")</f>
        <v>-- Error --</v>
      </c>
      <c r="Y332" s="17" t="str">
        <f ca="1">IFERROR(RiskRegister[[#This Row],[Residual Impact Rating]]*RiskRegister[[#This Row],[Residual Likelihood Rating]],"-- Error --")</f>
        <v>-- Error --</v>
      </c>
      <c r="Z332" s="16" t="s">
        <v>100</v>
      </c>
      <c r="AB332" s="39"/>
      <c r="AD332" s="20"/>
    </row>
    <row r="333" spans="1:30" s="16" customFormat="1" hidden="1" x14ac:dyDescent="0.25">
      <c r="A333" s="16">
        <v>330</v>
      </c>
      <c r="G333" s="16" t="s">
        <v>77</v>
      </c>
      <c r="I333" s="16" t="s">
        <v>75</v>
      </c>
      <c r="L333" s="105" t="s">
        <v>99</v>
      </c>
      <c r="M333" s="17" t="str">
        <f>VLOOKUP(RiskRegister[[#This Row],[Inherent Impact LevelL3:L1020D1007L3:L1019]],'Rating factors'!$F$4:$G$9,2,FALSE)</f>
        <v>--- Error ---</v>
      </c>
      <c r="N333" s="16" t="s">
        <v>79</v>
      </c>
      <c r="O333" s="17" t="str">
        <f>VLOOKUP(RiskRegister[[#This Row],[Inherent Likelihood Level]],'Rating factors'!$F$16:$G$21,2,FALSE)</f>
        <v>--- Error ---</v>
      </c>
      <c r="P333" s="17" t="str">
        <f>IFERROR(VLOOKUP(RiskRegister[[#This Row],[Inherent Risk Rating]],'Rating factors'!$F$30:$G$44,2,FALSE),"-- Error --")</f>
        <v>-- Error --</v>
      </c>
      <c r="Q333" s="17" t="str">
        <f>IFERROR(RiskRegister[[#This Row],[Inherent Impact Rating]]*RiskRegister[[#This Row],[Inherent Likelihood Rating]],"-- Error --")</f>
        <v>-- Error --</v>
      </c>
      <c r="R333" s="16" t="s">
        <v>98</v>
      </c>
      <c r="T333" s="16" t="s">
        <v>99</v>
      </c>
      <c r="U333" s="17" t="e" cm="1">
        <f t="array" aca="1" ref="U333" ca="1">+U333:Y1019VLOOKUP(RiskRegister[[#This Row],[Residual Impact Level]],'Rating factors'!$F$4:$G$9,2,FALSE)</f>
        <v>#NAME?</v>
      </c>
      <c r="V333" s="16" t="s">
        <v>79</v>
      </c>
      <c r="W333" s="17" t="str">
        <f>VLOOKUP(RiskRegister[[#This Row],[Residual Likelihood Level]],'Rating factors'!$F$16:$G$21,2,FALSE)</f>
        <v>--- Error ---</v>
      </c>
      <c r="X333" s="17" t="str">
        <f ca="1">IFERROR(VLOOKUP(RiskRegister[[#This Row],[Residual Risk Rating]],'Rating factors'!$F$30:$G$44,2,FALSE),"-- Error --")</f>
        <v>-- Error --</v>
      </c>
      <c r="Y333" s="17" t="str">
        <f ca="1">IFERROR(RiskRegister[[#This Row],[Residual Impact Rating]]*RiskRegister[[#This Row],[Residual Likelihood Rating]],"-- Error --")</f>
        <v>-- Error --</v>
      </c>
      <c r="Z333" s="16" t="s">
        <v>100</v>
      </c>
      <c r="AB333" s="39"/>
      <c r="AD333" s="20"/>
    </row>
    <row r="334" spans="1:30" s="16" customFormat="1" hidden="1" x14ac:dyDescent="0.25">
      <c r="A334" s="16">
        <v>331</v>
      </c>
      <c r="G334" s="16" t="s">
        <v>77</v>
      </c>
      <c r="I334" s="16" t="s">
        <v>75</v>
      </c>
      <c r="L334" s="105" t="s">
        <v>99</v>
      </c>
      <c r="M334" s="17" t="str">
        <f>VLOOKUP(RiskRegister[[#This Row],[Inherent Impact LevelL3:L1020D1007L3:L1019]],'Rating factors'!$F$4:$G$9,2,FALSE)</f>
        <v>--- Error ---</v>
      </c>
      <c r="N334" s="16" t="s">
        <v>79</v>
      </c>
      <c r="O334" s="17" t="str">
        <f>VLOOKUP(RiskRegister[[#This Row],[Inherent Likelihood Level]],'Rating factors'!$F$16:$G$21,2,FALSE)</f>
        <v>--- Error ---</v>
      </c>
      <c r="P334" s="17" t="str">
        <f>IFERROR(VLOOKUP(RiskRegister[[#This Row],[Inherent Risk Rating]],'Rating factors'!$F$30:$G$44,2,FALSE),"-- Error --")</f>
        <v>-- Error --</v>
      </c>
      <c r="Q334" s="17" t="str">
        <f>IFERROR(RiskRegister[[#This Row],[Inherent Impact Rating]]*RiskRegister[[#This Row],[Inherent Likelihood Rating]],"-- Error --")</f>
        <v>-- Error --</v>
      </c>
      <c r="R334" s="16" t="s">
        <v>98</v>
      </c>
      <c r="T334" s="16" t="s">
        <v>99</v>
      </c>
      <c r="U334" s="17" t="e" cm="1">
        <f t="array" aca="1" ref="U334" ca="1">+U334:Y1019VLOOKUP(RiskRegister[[#This Row],[Residual Impact Level]],'Rating factors'!$F$4:$G$9,2,FALSE)</f>
        <v>#NAME?</v>
      </c>
      <c r="V334" s="16" t="s">
        <v>79</v>
      </c>
      <c r="W334" s="17" t="str">
        <f>VLOOKUP(RiskRegister[[#This Row],[Residual Likelihood Level]],'Rating factors'!$F$16:$G$21,2,FALSE)</f>
        <v>--- Error ---</v>
      </c>
      <c r="X334" s="17" t="str">
        <f ca="1">IFERROR(VLOOKUP(RiskRegister[[#This Row],[Residual Risk Rating]],'Rating factors'!$F$30:$G$44,2,FALSE),"-- Error --")</f>
        <v>-- Error --</v>
      </c>
      <c r="Y334" s="17" t="str">
        <f ca="1">IFERROR(RiskRegister[[#This Row],[Residual Impact Rating]]*RiskRegister[[#This Row],[Residual Likelihood Rating]],"-- Error --")</f>
        <v>-- Error --</v>
      </c>
      <c r="Z334" s="16" t="s">
        <v>100</v>
      </c>
      <c r="AB334" s="39"/>
      <c r="AD334" s="20"/>
    </row>
    <row r="335" spans="1:30" s="16" customFormat="1" hidden="1" x14ac:dyDescent="0.25">
      <c r="A335" s="16">
        <v>332</v>
      </c>
      <c r="G335" s="16" t="s">
        <v>77</v>
      </c>
      <c r="I335" s="16" t="s">
        <v>75</v>
      </c>
      <c r="L335" s="105" t="s">
        <v>99</v>
      </c>
      <c r="M335" s="17" t="str">
        <f>VLOOKUP(RiskRegister[[#This Row],[Inherent Impact LevelL3:L1020D1007L3:L1019]],'Rating factors'!$F$4:$G$9,2,FALSE)</f>
        <v>--- Error ---</v>
      </c>
      <c r="N335" s="16" t="s">
        <v>79</v>
      </c>
      <c r="O335" s="17" t="str">
        <f>VLOOKUP(RiskRegister[[#This Row],[Inherent Likelihood Level]],'Rating factors'!$F$16:$G$21,2,FALSE)</f>
        <v>--- Error ---</v>
      </c>
      <c r="P335" s="17" t="str">
        <f>IFERROR(VLOOKUP(RiskRegister[[#This Row],[Inherent Risk Rating]],'Rating factors'!$F$30:$G$44,2,FALSE),"-- Error --")</f>
        <v>-- Error --</v>
      </c>
      <c r="Q335" s="17" t="str">
        <f>IFERROR(RiskRegister[[#This Row],[Inherent Impact Rating]]*RiskRegister[[#This Row],[Inherent Likelihood Rating]],"-- Error --")</f>
        <v>-- Error --</v>
      </c>
      <c r="R335" s="16" t="s">
        <v>98</v>
      </c>
      <c r="T335" s="16" t="s">
        <v>99</v>
      </c>
      <c r="U335" s="17" t="e" cm="1">
        <f t="array" aca="1" ref="U335" ca="1">+U335:Y1019VLOOKUP(RiskRegister[[#This Row],[Residual Impact Level]],'Rating factors'!$F$4:$G$9,2,FALSE)</f>
        <v>#NAME?</v>
      </c>
      <c r="V335" s="16" t="s">
        <v>79</v>
      </c>
      <c r="W335" s="17" t="str">
        <f>VLOOKUP(RiskRegister[[#This Row],[Residual Likelihood Level]],'Rating factors'!$F$16:$G$21,2,FALSE)</f>
        <v>--- Error ---</v>
      </c>
      <c r="X335" s="17" t="str">
        <f ca="1">IFERROR(VLOOKUP(RiskRegister[[#This Row],[Residual Risk Rating]],'Rating factors'!$F$30:$G$44,2,FALSE),"-- Error --")</f>
        <v>-- Error --</v>
      </c>
      <c r="Y335" s="17" t="str">
        <f ca="1">IFERROR(RiskRegister[[#This Row],[Residual Impact Rating]]*RiskRegister[[#This Row],[Residual Likelihood Rating]],"-- Error --")</f>
        <v>-- Error --</v>
      </c>
      <c r="Z335" s="16" t="s">
        <v>100</v>
      </c>
      <c r="AB335" s="39"/>
      <c r="AD335" s="20"/>
    </row>
    <row r="336" spans="1:30" s="16" customFormat="1" hidden="1" x14ac:dyDescent="0.25">
      <c r="A336" s="16">
        <v>333</v>
      </c>
      <c r="G336" s="16" t="s">
        <v>77</v>
      </c>
      <c r="I336" s="16" t="s">
        <v>75</v>
      </c>
      <c r="L336" s="105" t="s">
        <v>99</v>
      </c>
      <c r="M336" s="17" t="str">
        <f>VLOOKUP(RiskRegister[[#This Row],[Inherent Impact LevelL3:L1020D1007L3:L1019]],'Rating factors'!$F$4:$G$9,2,FALSE)</f>
        <v>--- Error ---</v>
      </c>
      <c r="N336" s="16" t="s">
        <v>79</v>
      </c>
      <c r="O336" s="17" t="str">
        <f>VLOOKUP(RiskRegister[[#This Row],[Inherent Likelihood Level]],'Rating factors'!$F$16:$G$21,2,FALSE)</f>
        <v>--- Error ---</v>
      </c>
      <c r="P336" s="17" t="str">
        <f>IFERROR(VLOOKUP(RiskRegister[[#This Row],[Inherent Risk Rating]],'Rating factors'!$F$30:$G$44,2,FALSE),"-- Error --")</f>
        <v>-- Error --</v>
      </c>
      <c r="Q336" s="17" t="str">
        <f>IFERROR(RiskRegister[[#This Row],[Inherent Impact Rating]]*RiskRegister[[#This Row],[Inherent Likelihood Rating]],"-- Error --")</f>
        <v>-- Error --</v>
      </c>
      <c r="R336" s="16" t="s">
        <v>98</v>
      </c>
      <c r="T336" s="16" t="s">
        <v>99</v>
      </c>
      <c r="U336" s="17" t="e" cm="1">
        <f t="array" aca="1" ref="U336" ca="1">+U336:Y1019VLOOKUP(RiskRegister[[#This Row],[Residual Impact Level]],'Rating factors'!$F$4:$G$9,2,FALSE)</f>
        <v>#NAME?</v>
      </c>
      <c r="V336" s="16" t="s">
        <v>79</v>
      </c>
      <c r="W336" s="17" t="str">
        <f>VLOOKUP(RiskRegister[[#This Row],[Residual Likelihood Level]],'Rating factors'!$F$16:$G$21,2,FALSE)</f>
        <v>--- Error ---</v>
      </c>
      <c r="X336" s="17" t="str">
        <f ca="1">IFERROR(VLOOKUP(RiskRegister[[#This Row],[Residual Risk Rating]],'Rating factors'!$F$30:$G$44,2,FALSE),"-- Error --")</f>
        <v>-- Error --</v>
      </c>
      <c r="Y336" s="17" t="str">
        <f ca="1">IFERROR(RiskRegister[[#This Row],[Residual Impact Rating]]*RiskRegister[[#This Row],[Residual Likelihood Rating]],"-- Error --")</f>
        <v>-- Error --</v>
      </c>
      <c r="Z336" s="16" t="s">
        <v>100</v>
      </c>
      <c r="AB336" s="39"/>
      <c r="AD336" s="20"/>
    </row>
    <row r="337" spans="1:30" s="16" customFormat="1" hidden="1" x14ac:dyDescent="0.25">
      <c r="A337" s="16">
        <v>334</v>
      </c>
      <c r="G337" s="16" t="s">
        <v>77</v>
      </c>
      <c r="I337" s="16" t="s">
        <v>75</v>
      </c>
      <c r="L337" s="105" t="s">
        <v>99</v>
      </c>
      <c r="M337" s="17" t="str">
        <f>VLOOKUP(RiskRegister[[#This Row],[Inherent Impact LevelL3:L1020D1007L3:L1019]],'Rating factors'!$F$4:$G$9,2,FALSE)</f>
        <v>--- Error ---</v>
      </c>
      <c r="N337" s="16" t="s">
        <v>79</v>
      </c>
      <c r="O337" s="17" t="str">
        <f>VLOOKUP(RiskRegister[[#This Row],[Inherent Likelihood Level]],'Rating factors'!$F$16:$G$21,2,FALSE)</f>
        <v>--- Error ---</v>
      </c>
      <c r="P337" s="17" t="str">
        <f>IFERROR(VLOOKUP(RiskRegister[[#This Row],[Inherent Risk Rating]],'Rating factors'!$F$30:$G$44,2,FALSE),"-- Error --")</f>
        <v>-- Error --</v>
      </c>
      <c r="Q337" s="17" t="str">
        <f>IFERROR(RiskRegister[[#This Row],[Inherent Impact Rating]]*RiskRegister[[#This Row],[Inherent Likelihood Rating]],"-- Error --")</f>
        <v>-- Error --</v>
      </c>
      <c r="R337" s="16" t="s">
        <v>98</v>
      </c>
      <c r="T337" s="16" t="s">
        <v>99</v>
      </c>
      <c r="U337" s="17" t="e" cm="1">
        <f t="array" aca="1" ref="U337" ca="1">+U337:Y1019VLOOKUP(RiskRegister[[#This Row],[Residual Impact Level]],'Rating factors'!$F$4:$G$9,2,FALSE)</f>
        <v>#NAME?</v>
      </c>
      <c r="V337" s="16" t="s">
        <v>79</v>
      </c>
      <c r="W337" s="17" t="str">
        <f>VLOOKUP(RiskRegister[[#This Row],[Residual Likelihood Level]],'Rating factors'!$F$16:$G$21,2,FALSE)</f>
        <v>--- Error ---</v>
      </c>
      <c r="X337" s="17" t="str">
        <f ca="1">IFERROR(VLOOKUP(RiskRegister[[#This Row],[Residual Risk Rating]],'Rating factors'!$F$30:$G$44,2,FALSE),"-- Error --")</f>
        <v>-- Error --</v>
      </c>
      <c r="Y337" s="17" t="str">
        <f ca="1">IFERROR(RiskRegister[[#This Row],[Residual Impact Rating]]*RiskRegister[[#This Row],[Residual Likelihood Rating]],"-- Error --")</f>
        <v>-- Error --</v>
      </c>
      <c r="Z337" s="16" t="s">
        <v>100</v>
      </c>
      <c r="AB337" s="39"/>
      <c r="AD337" s="20"/>
    </row>
    <row r="338" spans="1:30" s="16" customFormat="1" hidden="1" x14ac:dyDescent="0.25">
      <c r="A338" s="16">
        <v>335</v>
      </c>
      <c r="G338" s="16" t="s">
        <v>77</v>
      </c>
      <c r="I338" s="16" t="s">
        <v>75</v>
      </c>
      <c r="L338" s="105" t="s">
        <v>99</v>
      </c>
      <c r="M338" s="17" t="str">
        <f>VLOOKUP(RiskRegister[[#This Row],[Inherent Impact LevelL3:L1020D1007L3:L1019]],'Rating factors'!$F$4:$G$9,2,FALSE)</f>
        <v>--- Error ---</v>
      </c>
      <c r="N338" s="16" t="s">
        <v>79</v>
      </c>
      <c r="O338" s="17" t="str">
        <f>VLOOKUP(RiskRegister[[#This Row],[Inherent Likelihood Level]],'Rating factors'!$F$16:$G$21,2,FALSE)</f>
        <v>--- Error ---</v>
      </c>
      <c r="P338" s="17" t="str">
        <f>IFERROR(VLOOKUP(RiskRegister[[#This Row],[Inherent Risk Rating]],'Rating factors'!$F$30:$G$44,2,FALSE),"-- Error --")</f>
        <v>-- Error --</v>
      </c>
      <c r="Q338" s="17" t="str">
        <f>IFERROR(RiskRegister[[#This Row],[Inherent Impact Rating]]*RiskRegister[[#This Row],[Inherent Likelihood Rating]],"-- Error --")</f>
        <v>-- Error --</v>
      </c>
      <c r="R338" s="16" t="s">
        <v>98</v>
      </c>
      <c r="T338" s="16" t="s">
        <v>99</v>
      </c>
      <c r="U338" s="17" t="e" cm="1">
        <f t="array" aca="1" ref="U338" ca="1">+U338:Y1019VLOOKUP(RiskRegister[[#This Row],[Residual Impact Level]],'Rating factors'!$F$4:$G$9,2,FALSE)</f>
        <v>#NAME?</v>
      </c>
      <c r="V338" s="16" t="s">
        <v>79</v>
      </c>
      <c r="W338" s="17" t="str">
        <f>VLOOKUP(RiskRegister[[#This Row],[Residual Likelihood Level]],'Rating factors'!$F$16:$G$21,2,FALSE)</f>
        <v>--- Error ---</v>
      </c>
      <c r="X338" s="17" t="str">
        <f ca="1">IFERROR(VLOOKUP(RiskRegister[[#This Row],[Residual Risk Rating]],'Rating factors'!$F$30:$G$44,2,FALSE),"-- Error --")</f>
        <v>-- Error --</v>
      </c>
      <c r="Y338" s="17" t="str">
        <f ca="1">IFERROR(RiskRegister[[#This Row],[Residual Impact Rating]]*RiskRegister[[#This Row],[Residual Likelihood Rating]],"-- Error --")</f>
        <v>-- Error --</v>
      </c>
      <c r="Z338" s="16" t="s">
        <v>100</v>
      </c>
      <c r="AB338" s="39"/>
      <c r="AD338" s="20"/>
    </row>
    <row r="339" spans="1:30" s="16" customFormat="1" hidden="1" x14ac:dyDescent="0.25">
      <c r="A339" s="16">
        <v>336</v>
      </c>
      <c r="G339" s="16" t="s">
        <v>77</v>
      </c>
      <c r="I339" s="16" t="s">
        <v>75</v>
      </c>
      <c r="L339" s="105" t="s">
        <v>99</v>
      </c>
      <c r="M339" s="17" t="str">
        <f>VLOOKUP(RiskRegister[[#This Row],[Inherent Impact LevelL3:L1020D1007L3:L1019]],'Rating factors'!$F$4:$G$9,2,FALSE)</f>
        <v>--- Error ---</v>
      </c>
      <c r="N339" s="16" t="s">
        <v>79</v>
      </c>
      <c r="O339" s="17" t="str">
        <f>VLOOKUP(RiskRegister[[#This Row],[Inherent Likelihood Level]],'Rating factors'!$F$16:$G$21,2,FALSE)</f>
        <v>--- Error ---</v>
      </c>
      <c r="P339" s="17" t="str">
        <f>IFERROR(VLOOKUP(RiskRegister[[#This Row],[Inherent Risk Rating]],'Rating factors'!$F$30:$G$44,2,FALSE),"-- Error --")</f>
        <v>-- Error --</v>
      </c>
      <c r="Q339" s="17" t="str">
        <f>IFERROR(RiskRegister[[#This Row],[Inherent Impact Rating]]*RiskRegister[[#This Row],[Inherent Likelihood Rating]],"-- Error --")</f>
        <v>-- Error --</v>
      </c>
      <c r="R339" s="16" t="s">
        <v>98</v>
      </c>
      <c r="T339" s="16" t="s">
        <v>99</v>
      </c>
      <c r="U339" s="17" t="e" cm="1">
        <f t="array" aca="1" ref="U339" ca="1">+U339:Y1019VLOOKUP(RiskRegister[[#This Row],[Residual Impact Level]],'Rating factors'!$F$4:$G$9,2,FALSE)</f>
        <v>#NAME?</v>
      </c>
      <c r="V339" s="16" t="s">
        <v>79</v>
      </c>
      <c r="W339" s="17" t="str">
        <f>VLOOKUP(RiskRegister[[#This Row],[Residual Likelihood Level]],'Rating factors'!$F$16:$G$21,2,FALSE)</f>
        <v>--- Error ---</v>
      </c>
      <c r="X339" s="17" t="str">
        <f ca="1">IFERROR(VLOOKUP(RiskRegister[[#This Row],[Residual Risk Rating]],'Rating factors'!$F$30:$G$44,2,FALSE),"-- Error --")</f>
        <v>-- Error --</v>
      </c>
      <c r="Y339" s="17" t="str">
        <f ca="1">IFERROR(RiskRegister[[#This Row],[Residual Impact Rating]]*RiskRegister[[#This Row],[Residual Likelihood Rating]],"-- Error --")</f>
        <v>-- Error --</v>
      </c>
      <c r="Z339" s="16" t="s">
        <v>100</v>
      </c>
      <c r="AB339" s="39"/>
      <c r="AD339" s="20"/>
    </row>
    <row r="340" spans="1:30" s="16" customFormat="1" hidden="1" x14ac:dyDescent="0.25">
      <c r="A340" s="16">
        <v>337</v>
      </c>
      <c r="G340" s="16" t="s">
        <v>77</v>
      </c>
      <c r="I340" s="16" t="s">
        <v>75</v>
      </c>
      <c r="L340" s="105" t="s">
        <v>99</v>
      </c>
      <c r="M340" s="17" t="str">
        <f>VLOOKUP(RiskRegister[[#This Row],[Inherent Impact LevelL3:L1020D1007L3:L1019]],'Rating factors'!$F$4:$G$9,2,FALSE)</f>
        <v>--- Error ---</v>
      </c>
      <c r="N340" s="16" t="s">
        <v>79</v>
      </c>
      <c r="O340" s="17" t="str">
        <f>VLOOKUP(RiskRegister[[#This Row],[Inherent Likelihood Level]],'Rating factors'!$F$16:$G$21,2,FALSE)</f>
        <v>--- Error ---</v>
      </c>
      <c r="P340" s="17" t="str">
        <f>IFERROR(VLOOKUP(RiskRegister[[#This Row],[Inherent Risk Rating]],'Rating factors'!$F$30:$G$44,2,FALSE),"-- Error --")</f>
        <v>-- Error --</v>
      </c>
      <c r="Q340" s="17" t="str">
        <f>IFERROR(RiskRegister[[#This Row],[Inherent Impact Rating]]*RiskRegister[[#This Row],[Inherent Likelihood Rating]],"-- Error --")</f>
        <v>-- Error --</v>
      </c>
      <c r="R340" s="16" t="s">
        <v>98</v>
      </c>
      <c r="T340" s="16" t="s">
        <v>99</v>
      </c>
      <c r="U340" s="17" t="e" cm="1">
        <f t="array" aca="1" ref="U340" ca="1">+U340:Y1019VLOOKUP(RiskRegister[[#This Row],[Residual Impact Level]],'Rating factors'!$F$4:$G$9,2,FALSE)</f>
        <v>#NAME?</v>
      </c>
      <c r="V340" s="16" t="s">
        <v>79</v>
      </c>
      <c r="W340" s="17" t="str">
        <f>VLOOKUP(RiskRegister[[#This Row],[Residual Likelihood Level]],'Rating factors'!$F$16:$G$21,2,FALSE)</f>
        <v>--- Error ---</v>
      </c>
      <c r="X340" s="17" t="str">
        <f ca="1">IFERROR(VLOOKUP(RiskRegister[[#This Row],[Residual Risk Rating]],'Rating factors'!$F$30:$G$44,2,FALSE),"-- Error --")</f>
        <v>-- Error --</v>
      </c>
      <c r="Y340" s="17" t="str">
        <f ca="1">IFERROR(RiskRegister[[#This Row],[Residual Impact Rating]]*RiskRegister[[#This Row],[Residual Likelihood Rating]],"-- Error --")</f>
        <v>-- Error --</v>
      </c>
      <c r="Z340" s="16" t="s">
        <v>100</v>
      </c>
      <c r="AB340" s="39"/>
      <c r="AD340" s="20"/>
    </row>
    <row r="341" spans="1:30" s="16" customFormat="1" hidden="1" x14ac:dyDescent="0.25">
      <c r="A341" s="16">
        <v>338</v>
      </c>
      <c r="G341" s="16" t="s">
        <v>77</v>
      </c>
      <c r="I341" s="16" t="s">
        <v>75</v>
      </c>
      <c r="L341" s="105" t="s">
        <v>99</v>
      </c>
      <c r="M341" s="17" t="str">
        <f>VLOOKUP(RiskRegister[[#This Row],[Inherent Impact LevelL3:L1020D1007L3:L1019]],'Rating factors'!$F$4:$G$9,2,FALSE)</f>
        <v>--- Error ---</v>
      </c>
      <c r="N341" s="16" t="s">
        <v>79</v>
      </c>
      <c r="O341" s="17" t="str">
        <f>VLOOKUP(RiskRegister[[#This Row],[Inherent Likelihood Level]],'Rating factors'!$F$16:$G$21,2,FALSE)</f>
        <v>--- Error ---</v>
      </c>
      <c r="P341" s="17" t="str">
        <f>IFERROR(VLOOKUP(RiskRegister[[#This Row],[Inherent Risk Rating]],'Rating factors'!$F$30:$G$44,2,FALSE),"-- Error --")</f>
        <v>-- Error --</v>
      </c>
      <c r="Q341" s="17" t="str">
        <f>IFERROR(RiskRegister[[#This Row],[Inherent Impact Rating]]*RiskRegister[[#This Row],[Inherent Likelihood Rating]],"-- Error --")</f>
        <v>-- Error --</v>
      </c>
      <c r="R341" s="16" t="s">
        <v>98</v>
      </c>
      <c r="T341" s="16" t="s">
        <v>99</v>
      </c>
      <c r="U341" s="17" t="e" cm="1">
        <f t="array" aca="1" ref="U341" ca="1">+U341:Y1019VLOOKUP(RiskRegister[[#This Row],[Residual Impact Level]],'Rating factors'!$F$4:$G$9,2,FALSE)</f>
        <v>#NAME?</v>
      </c>
      <c r="V341" s="16" t="s">
        <v>79</v>
      </c>
      <c r="W341" s="17" t="str">
        <f>VLOOKUP(RiskRegister[[#This Row],[Residual Likelihood Level]],'Rating factors'!$F$16:$G$21,2,FALSE)</f>
        <v>--- Error ---</v>
      </c>
      <c r="X341" s="17" t="str">
        <f ca="1">IFERROR(VLOOKUP(RiskRegister[[#This Row],[Residual Risk Rating]],'Rating factors'!$F$30:$G$44,2,FALSE),"-- Error --")</f>
        <v>-- Error --</v>
      </c>
      <c r="Y341" s="17" t="str">
        <f ca="1">IFERROR(RiskRegister[[#This Row],[Residual Impact Rating]]*RiskRegister[[#This Row],[Residual Likelihood Rating]],"-- Error --")</f>
        <v>-- Error --</v>
      </c>
      <c r="Z341" s="16" t="s">
        <v>100</v>
      </c>
      <c r="AB341" s="39"/>
      <c r="AD341" s="20"/>
    </row>
    <row r="342" spans="1:30" s="16" customFormat="1" hidden="1" x14ac:dyDescent="0.25">
      <c r="A342" s="16">
        <v>339</v>
      </c>
      <c r="G342" s="16" t="s">
        <v>77</v>
      </c>
      <c r="I342" s="16" t="s">
        <v>75</v>
      </c>
      <c r="L342" s="105" t="s">
        <v>99</v>
      </c>
      <c r="M342" s="17" t="str">
        <f>VLOOKUP(RiskRegister[[#This Row],[Inherent Impact LevelL3:L1020D1007L3:L1019]],'Rating factors'!$F$4:$G$9,2,FALSE)</f>
        <v>--- Error ---</v>
      </c>
      <c r="N342" s="16" t="s">
        <v>79</v>
      </c>
      <c r="O342" s="17" t="str">
        <f>VLOOKUP(RiskRegister[[#This Row],[Inherent Likelihood Level]],'Rating factors'!$F$16:$G$21,2,FALSE)</f>
        <v>--- Error ---</v>
      </c>
      <c r="P342" s="17" t="str">
        <f>IFERROR(VLOOKUP(RiskRegister[[#This Row],[Inherent Risk Rating]],'Rating factors'!$F$30:$G$44,2,FALSE),"-- Error --")</f>
        <v>-- Error --</v>
      </c>
      <c r="Q342" s="17" t="str">
        <f>IFERROR(RiskRegister[[#This Row],[Inherent Impact Rating]]*RiskRegister[[#This Row],[Inherent Likelihood Rating]],"-- Error --")</f>
        <v>-- Error --</v>
      </c>
      <c r="R342" s="16" t="s">
        <v>98</v>
      </c>
      <c r="T342" s="16" t="s">
        <v>99</v>
      </c>
      <c r="U342" s="17" t="e" cm="1">
        <f t="array" aca="1" ref="U342" ca="1">+U342:Y1019VLOOKUP(RiskRegister[[#This Row],[Residual Impact Level]],'Rating factors'!$F$4:$G$9,2,FALSE)</f>
        <v>#NAME?</v>
      </c>
      <c r="V342" s="16" t="s">
        <v>79</v>
      </c>
      <c r="W342" s="17" t="str">
        <f>VLOOKUP(RiskRegister[[#This Row],[Residual Likelihood Level]],'Rating factors'!$F$16:$G$21,2,FALSE)</f>
        <v>--- Error ---</v>
      </c>
      <c r="X342" s="17" t="str">
        <f ca="1">IFERROR(VLOOKUP(RiskRegister[[#This Row],[Residual Risk Rating]],'Rating factors'!$F$30:$G$44,2,FALSE),"-- Error --")</f>
        <v>-- Error --</v>
      </c>
      <c r="Y342" s="17" t="str">
        <f ca="1">IFERROR(RiskRegister[[#This Row],[Residual Impact Rating]]*RiskRegister[[#This Row],[Residual Likelihood Rating]],"-- Error --")</f>
        <v>-- Error --</v>
      </c>
      <c r="Z342" s="16" t="s">
        <v>100</v>
      </c>
      <c r="AB342" s="39"/>
      <c r="AD342" s="20"/>
    </row>
    <row r="343" spans="1:30" s="16" customFormat="1" hidden="1" x14ac:dyDescent="0.25">
      <c r="A343" s="16">
        <v>340</v>
      </c>
      <c r="G343" s="16" t="s">
        <v>77</v>
      </c>
      <c r="I343" s="16" t="s">
        <v>75</v>
      </c>
      <c r="L343" s="105" t="s">
        <v>99</v>
      </c>
      <c r="M343" s="17" t="str">
        <f>VLOOKUP(RiskRegister[[#This Row],[Inherent Impact LevelL3:L1020D1007L3:L1019]],'Rating factors'!$F$4:$G$9,2,FALSE)</f>
        <v>--- Error ---</v>
      </c>
      <c r="N343" s="16" t="s">
        <v>79</v>
      </c>
      <c r="O343" s="17" t="str">
        <f>VLOOKUP(RiskRegister[[#This Row],[Inherent Likelihood Level]],'Rating factors'!$F$16:$G$21,2,FALSE)</f>
        <v>--- Error ---</v>
      </c>
      <c r="P343" s="17" t="str">
        <f>IFERROR(VLOOKUP(RiskRegister[[#This Row],[Inherent Risk Rating]],'Rating factors'!$F$30:$G$44,2,FALSE),"-- Error --")</f>
        <v>-- Error --</v>
      </c>
      <c r="Q343" s="17" t="str">
        <f>IFERROR(RiskRegister[[#This Row],[Inherent Impact Rating]]*RiskRegister[[#This Row],[Inherent Likelihood Rating]],"-- Error --")</f>
        <v>-- Error --</v>
      </c>
      <c r="R343" s="16" t="s">
        <v>98</v>
      </c>
      <c r="T343" s="16" t="s">
        <v>99</v>
      </c>
      <c r="U343" s="17" t="e" cm="1">
        <f t="array" aca="1" ref="U343" ca="1">+U343:Y1019VLOOKUP(RiskRegister[[#This Row],[Residual Impact Level]],'Rating factors'!$F$4:$G$9,2,FALSE)</f>
        <v>#NAME?</v>
      </c>
      <c r="V343" s="16" t="s">
        <v>79</v>
      </c>
      <c r="W343" s="17" t="str">
        <f>VLOOKUP(RiskRegister[[#This Row],[Residual Likelihood Level]],'Rating factors'!$F$16:$G$21,2,FALSE)</f>
        <v>--- Error ---</v>
      </c>
      <c r="X343" s="17" t="str">
        <f ca="1">IFERROR(VLOOKUP(RiskRegister[[#This Row],[Residual Risk Rating]],'Rating factors'!$F$30:$G$44,2,FALSE),"-- Error --")</f>
        <v>-- Error --</v>
      </c>
      <c r="Y343" s="17" t="str">
        <f ca="1">IFERROR(RiskRegister[[#This Row],[Residual Impact Rating]]*RiskRegister[[#This Row],[Residual Likelihood Rating]],"-- Error --")</f>
        <v>-- Error --</v>
      </c>
      <c r="Z343" s="16" t="s">
        <v>100</v>
      </c>
      <c r="AB343" s="39"/>
      <c r="AD343" s="20"/>
    </row>
    <row r="344" spans="1:30" s="16" customFormat="1" hidden="1" x14ac:dyDescent="0.25">
      <c r="A344" s="16">
        <v>341</v>
      </c>
      <c r="G344" s="16" t="s">
        <v>77</v>
      </c>
      <c r="I344" s="16" t="s">
        <v>75</v>
      </c>
      <c r="L344" s="105" t="s">
        <v>99</v>
      </c>
      <c r="M344" s="17" t="str">
        <f>VLOOKUP(RiskRegister[[#This Row],[Inherent Impact LevelL3:L1020D1007L3:L1019]],'Rating factors'!$F$4:$G$9,2,FALSE)</f>
        <v>--- Error ---</v>
      </c>
      <c r="N344" s="16" t="s">
        <v>79</v>
      </c>
      <c r="O344" s="17" t="str">
        <f>VLOOKUP(RiskRegister[[#This Row],[Inherent Likelihood Level]],'Rating factors'!$F$16:$G$21,2,FALSE)</f>
        <v>--- Error ---</v>
      </c>
      <c r="P344" s="17" t="str">
        <f>IFERROR(VLOOKUP(RiskRegister[[#This Row],[Inherent Risk Rating]],'Rating factors'!$F$30:$G$44,2,FALSE),"-- Error --")</f>
        <v>-- Error --</v>
      </c>
      <c r="Q344" s="17" t="str">
        <f>IFERROR(RiskRegister[[#This Row],[Inherent Impact Rating]]*RiskRegister[[#This Row],[Inherent Likelihood Rating]],"-- Error --")</f>
        <v>-- Error --</v>
      </c>
      <c r="R344" s="16" t="s">
        <v>98</v>
      </c>
      <c r="T344" s="16" t="s">
        <v>99</v>
      </c>
      <c r="U344" s="17" t="e" cm="1">
        <f t="array" aca="1" ref="U344" ca="1">+U344:Y1019VLOOKUP(RiskRegister[[#This Row],[Residual Impact Level]],'Rating factors'!$F$4:$G$9,2,FALSE)</f>
        <v>#NAME?</v>
      </c>
      <c r="V344" s="16" t="s">
        <v>79</v>
      </c>
      <c r="W344" s="17" t="str">
        <f>VLOOKUP(RiskRegister[[#This Row],[Residual Likelihood Level]],'Rating factors'!$F$16:$G$21,2,FALSE)</f>
        <v>--- Error ---</v>
      </c>
      <c r="X344" s="17" t="str">
        <f ca="1">IFERROR(VLOOKUP(RiskRegister[[#This Row],[Residual Risk Rating]],'Rating factors'!$F$30:$G$44,2,FALSE),"-- Error --")</f>
        <v>-- Error --</v>
      </c>
      <c r="Y344" s="17" t="str">
        <f ca="1">IFERROR(RiskRegister[[#This Row],[Residual Impact Rating]]*RiskRegister[[#This Row],[Residual Likelihood Rating]],"-- Error --")</f>
        <v>-- Error --</v>
      </c>
      <c r="Z344" s="16" t="s">
        <v>100</v>
      </c>
      <c r="AB344" s="39"/>
      <c r="AD344" s="20"/>
    </row>
    <row r="345" spans="1:30" s="16" customFormat="1" hidden="1" x14ac:dyDescent="0.25">
      <c r="A345" s="16">
        <v>342</v>
      </c>
      <c r="G345" s="16" t="s">
        <v>77</v>
      </c>
      <c r="I345" s="16" t="s">
        <v>75</v>
      </c>
      <c r="L345" s="105" t="s">
        <v>99</v>
      </c>
      <c r="M345" s="17" t="str">
        <f>VLOOKUP(RiskRegister[[#This Row],[Inherent Impact LevelL3:L1020D1007L3:L1019]],'Rating factors'!$F$4:$G$9,2,FALSE)</f>
        <v>--- Error ---</v>
      </c>
      <c r="N345" s="16" t="s">
        <v>79</v>
      </c>
      <c r="O345" s="17" t="str">
        <f>VLOOKUP(RiskRegister[[#This Row],[Inherent Likelihood Level]],'Rating factors'!$F$16:$G$21,2,FALSE)</f>
        <v>--- Error ---</v>
      </c>
      <c r="P345" s="17" t="str">
        <f>IFERROR(VLOOKUP(RiskRegister[[#This Row],[Inherent Risk Rating]],'Rating factors'!$F$30:$G$44,2,FALSE),"-- Error --")</f>
        <v>-- Error --</v>
      </c>
      <c r="Q345" s="17" t="str">
        <f>IFERROR(RiskRegister[[#This Row],[Inherent Impact Rating]]*RiskRegister[[#This Row],[Inherent Likelihood Rating]],"-- Error --")</f>
        <v>-- Error --</v>
      </c>
      <c r="R345" s="16" t="s">
        <v>98</v>
      </c>
      <c r="T345" s="16" t="s">
        <v>99</v>
      </c>
      <c r="U345" s="17" t="e" cm="1">
        <f t="array" aca="1" ref="U345" ca="1">+U345:Y1019VLOOKUP(RiskRegister[[#This Row],[Residual Impact Level]],'Rating factors'!$F$4:$G$9,2,FALSE)</f>
        <v>#NAME?</v>
      </c>
      <c r="V345" s="16" t="s">
        <v>79</v>
      </c>
      <c r="W345" s="17" t="str">
        <f>VLOOKUP(RiskRegister[[#This Row],[Residual Likelihood Level]],'Rating factors'!$F$16:$G$21,2,FALSE)</f>
        <v>--- Error ---</v>
      </c>
      <c r="X345" s="17" t="str">
        <f ca="1">IFERROR(VLOOKUP(RiskRegister[[#This Row],[Residual Risk Rating]],'Rating factors'!$F$30:$G$44,2,FALSE),"-- Error --")</f>
        <v>-- Error --</v>
      </c>
      <c r="Y345" s="17" t="str">
        <f ca="1">IFERROR(RiskRegister[[#This Row],[Residual Impact Rating]]*RiskRegister[[#This Row],[Residual Likelihood Rating]],"-- Error --")</f>
        <v>-- Error --</v>
      </c>
      <c r="Z345" s="16" t="s">
        <v>100</v>
      </c>
      <c r="AB345" s="39"/>
      <c r="AD345" s="20"/>
    </row>
    <row r="346" spans="1:30" s="16" customFormat="1" hidden="1" x14ac:dyDescent="0.25">
      <c r="A346" s="16">
        <v>343</v>
      </c>
      <c r="G346" s="16" t="s">
        <v>77</v>
      </c>
      <c r="I346" s="16" t="s">
        <v>75</v>
      </c>
      <c r="L346" s="105" t="s">
        <v>99</v>
      </c>
      <c r="M346" s="17" t="str">
        <f>VLOOKUP(RiskRegister[[#This Row],[Inherent Impact LevelL3:L1020D1007L3:L1019]],'Rating factors'!$F$4:$G$9,2,FALSE)</f>
        <v>--- Error ---</v>
      </c>
      <c r="N346" s="16" t="s">
        <v>79</v>
      </c>
      <c r="O346" s="17" t="str">
        <f>VLOOKUP(RiskRegister[[#This Row],[Inherent Likelihood Level]],'Rating factors'!$F$16:$G$21,2,FALSE)</f>
        <v>--- Error ---</v>
      </c>
      <c r="P346" s="17" t="str">
        <f>IFERROR(VLOOKUP(RiskRegister[[#This Row],[Inherent Risk Rating]],'Rating factors'!$F$30:$G$44,2,FALSE),"-- Error --")</f>
        <v>-- Error --</v>
      </c>
      <c r="Q346" s="17" t="str">
        <f>IFERROR(RiskRegister[[#This Row],[Inherent Impact Rating]]*RiskRegister[[#This Row],[Inherent Likelihood Rating]],"-- Error --")</f>
        <v>-- Error --</v>
      </c>
      <c r="R346" s="16" t="s">
        <v>98</v>
      </c>
      <c r="T346" s="16" t="s">
        <v>99</v>
      </c>
      <c r="U346" s="17" t="e" cm="1">
        <f t="array" aca="1" ref="U346" ca="1">+U346:Y1019VLOOKUP(RiskRegister[[#This Row],[Residual Impact Level]],'Rating factors'!$F$4:$G$9,2,FALSE)</f>
        <v>#NAME?</v>
      </c>
      <c r="V346" s="16" t="s">
        <v>79</v>
      </c>
      <c r="W346" s="17" t="str">
        <f>VLOOKUP(RiskRegister[[#This Row],[Residual Likelihood Level]],'Rating factors'!$F$16:$G$21,2,FALSE)</f>
        <v>--- Error ---</v>
      </c>
      <c r="X346" s="17" t="str">
        <f ca="1">IFERROR(VLOOKUP(RiskRegister[[#This Row],[Residual Risk Rating]],'Rating factors'!$F$30:$G$44,2,FALSE),"-- Error --")</f>
        <v>-- Error --</v>
      </c>
      <c r="Y346" s="17" t="str">
        <f ca="1">IFERROR(RiskRegister[[#This Row],[Residual Impact Rating]]*RiskRegister[[#This Row],[Residual Likelihood Rating]],"-- Error --")</f>
        <v>-- Error --</v>
      </c>
      <c r="Z346" s="16" t="s">
        <v>100</v>
      </c>
      <c r="AB346" s="39"/>
      <c r="AD346" s="20"/>
    </row>
    <row r="347" spans="1:30" s="16" customFormat="1" hidden="1" x14ac:dyDescent="0.25">
      <c r="A347" s="16">
        <v>344</v>
      </c>
      <c r="G347" s="16" t="s">
        <v>77</v>
      </c>
      <c r="I347" s="16" t="s">
        <v>75</v>
      </c>
      <c r="L347" s="105" t="s">
        <v>99</v>
      </c>
      <c r="M347" s="17" t="str">
        <f>VLOOKUP(RiskRegister[[#This Row],[Inherent Impact LevelL3:L1020D1007L3:L1019]],'Rating factors'!$F$4:$G$9,2,FALSE)</f>
        <v>--- Error ---</v>
      </c>
      <c r="N347" s="16" t="s">
        <v>79</v>
      </c>
      <c r="O347" s="17" t="str">
        <f>VLOOKUP(RiskRegister[[#This Row],[Inherent Likelihood Level]],'Rating factors'!$F$16:$G$21,2,FALSE)</f>
        <v>--- Error ---</v>
      </c>
      <c r="P347" s="17" t="str">
        <f>IFERROR(VLOOKUP(RiskRegister[[#This Row],[Inherent Risk Rating]],'Rating factors'!$F$30:$G$44,2,FALSE),"-- Error --")</f>
        <v>-- Error --</v>
      </c>
      <c r="Q347" s="17" t="str">
        <f>IFERROR(RiskRegister[[#This Row],[Inherent Impact Rating]]*RiskRegister[[#This Row],[Inherent Likelihood Rating]],"-- Error --")</f>
        <v>-- Error --</v>
      </c>
      <c r="R347" s="16" t="s">
        <v>98</v>
      </c>
      <c r="T347" s="16" t="s">
        <v>99</v>
      </c>
      <c r="U347" s="17" t="e" cm="1">
        <f t="array" aca="1" ref="U347" ca="1">+U347:Y1019VLOOKUP(RiskRegister[[#This Row],[Residual Impact Level]],'Rating factors'!$F$4:$G$9,2,FALSE)</f>
        <v>#NAME?</v>
      </c>
      <c r="V347" s="16" t="s">
        <v>79</v>
      </c>
      <c r="W347" s="17" t="str">
        <f>VLOOKUP(RiskRegister[[#This Row],[Residual Likelihood Level]],'Rating factors'!$F$16:$G$21,2,FALSE)</f>
        <v>--- Error ---</v>
      </c>
      <c r="X347" s="17" t="str">
        <f ca="1">IFERROR(VLOOKUP(RiskRegister[[#This Row],[Residual Risk Rating]],'Rating factors'!$F$30:$G$44,2,FALSE),"-- Error --")</f>
        <v>-- Error --</v>
      </c>
      <c r="Y347" s="17" t="str">
        <f ca="1">IFERROR(RiskRegister[[#This Row],[Residual Impact Rating]]*RiskRegister[[#This Row],[Residual Likelihood Rating]],"-- Error --")</f>
        <v>-- Error --</v>
      </c>
      <c r="Z347" s="16" t="s">
        <v>100</v>
      </c>
      <c r="AB347" s="39"/>
      <c r="AD347" s="20"/>
    </row>
    <row r="348" spans="1:30" s="16" customFormat="1" hidden="1" x14ac:dyDescent="0.25">
      <c r="A348" s="16">
        <v>345</v>
      </c>
      <c r="G348" s="16" t="s">
        <v>77</v>
      </c>
      <c r="I348" s="16" t="s">
        <v>75</v>
      </c>
      <c r="L348" s="105" t="s">
        <v>99</v>
      </c>
      <c r="M348" s="17" t="str">
        <f>VLOOKUP(RiskRegister[[#This Row],[Inherent Impact LevelL3:L1020D1007L3:L1019]],'Rating factors'!$F$4:$G$9,2,FALSE)</f>
        <v>--- Error ---</v>
      </c>
      <c r="N348" s="16" t="s">
        <v>79</v>
      </c>
      <c r="O348" s="17" t="str">
        <f>VLOOKUP(RiskRegister[[#This Row],[Inherent Likelihood Level]],'Rating factors'!$F$16:$G$21,2,FALSE)</f>
        <v>--- Error ---</v>
      </c>
      <c r="P348" s="17" t="str">
        <f>IFERROR(VLOOKUP(RiskRegister[[#This Row],[Inherent Risk Rating]],'Rating factors'!$F$30:$G$44,2,FALSE),"-- Error --")</f>
        <v>-- Error --</v>
      </c>
      <c r="Q348" s="17" t="str">
        <f>IFERROR(RiskRegister[[#This Row],[Inherent Impact Rating]]*RiskRegister[[#This Row],[Inherent Likelihood Rating]],"-- Error --")</f>
        <v>-- Error --</v>
      </c>
      <c r="R348" s="16" t="s">
        <v>98</v>
      </c>
      <c r="T348" s="16" t="s">
        <v>99</v>
      </c>
      <c r="U348" s="17" t="e" cm="1">
        <f t="array" aca="1" ref="U348" ca="1">+U348:Y1019VLOOKUP(RiskRegister[[#This Row],[Residual Impact Level]],'Rating factors'!$F$4:$G$9,2,FALSE)</f>
        <v>#NAME?</v>
      </c>
      <c r="V348" s="16" t="s">
        <v>79</v>
      </c>
      <c r="W348" s="17" t="str">
        <f>VLOOKUP(RiskRegister[[#This Row],[Residual Likelihood Level]],'Rating factors'!$F$16:$G$21,2,FALSE)</f>
        <v>--- Error ---</v>
      </c>
      <c r="X348" s="17" t="str">
        <f ca="1">IFERROR(VLOOKUP(RiskRegister[[#This Row],[Residual Risk Rating]],'Rating factors'!$F$30:$G$44,2,FALSE),"-- Error --")</f>
        <v>-- Error --</v>
      </c>
      <c r="Y348" s="17" t="str">
        <f ca="1">IFERROR(RiskRegister[[#This Row],[Residual Impact Rating]]*RiskRegister[[#This Row],[Residual Likelihood Rating]],"-- Error --")</f>
        <v>-- Error --</v>
      </c>
      <c r="Z348" s="16" t="s">
        <v>100</v>
      </c>
      <c r="AB348" s="39"/>
      <c r="AD348" s="20"/>
    </row>
    <row r="349" spans="1:30" s="16" customFormat="1" hidden="1" x14ac:dyDescent="0.25">
      <c r="A349" s="16">
        <v>346</v>
      </c>
      <c r="G349" s="16" t="s">
        <v>77</v>
      </c>
      <c r="I349" s="16" t="s">
        <v>75</v>
      </c>
      <c r="L349" s="105" t="s">
        <v>99</v>
      </c>
      <c r="M349" s="17" t="str">
        <f>VLOOKUP(RiskRegister[[#This Row],[Inherent Impact LevelL3:L1020D1007L3:L1019]],'Rating factors'!$F$4:$G$9,2,FALSE)</f>
        <v>--- Error ---</v>
      </c>
      <c r="N349" s="16" t="s">
        <v>79</v>
      </c>
      <c r="O349" s="17" t="str">
        <f>VLOOKUP(RiskRegister[[#This Row],[Inherent Likelihood Level]],'Rating factors'!$F$16:$G$21,2,FALSE)</f>
        <v>--- Error ---</v>
      </c>
      <c r="P349" s="17" t="str">
        <f>IFERROR(VLOOKUP(RiskRegister[[#This Row],[Inherent Risk Rating]],'Rating factors'!$F$30:$G$44,2,FALSE),"-- Error --")</f>
        <v>-- Error --</v>
      </c>
      <c r="Q349" s="17" t="str">
        <f>IFERROR(RiskRegister[[#This Row],[Inherent Impact Rating]]*RiskRegister[[#This Row],[Inherent Likelihood Rating]],"-- Error --")</f>
        <v>-- Error --</v>
      </c>
      <c r="R349" s="16" t="s">
        <v>98</v>
      </c>
      <c r="T349" s="16" t="s">
        <v>99</v>
      </c>
      <c r="U349" s="17" t="e" cm="1">
        <f t="array" aca="1" ref="U349" ca="1">+U349:Y1019VLOOKUP(RiskRegister[[#This Row],[Residual Impact Level]],'Rating factors'!$F$4:$G$9,2,FALSE)</f>
        <v>#NAME?</v>
      </c>
      <c r="V349" s="16" t="s">
        <v>79</v>
      </c>
      <c r="W349" s="17" t="str">
        <f>VLOOKUP(RiskRegister[[#This Row],[Residual Likelihood Level]],'Rating factors'!$F$16:$G$21,2,FALSE)</f>
        <v>--- Error ---</v>
      </c>
      <c r="X349" s="17" t="str">
        <f ca="1">IFERROR(VLOOKUP(RiskRegister[[#This Row],[Residual Risk Rating]],'Rating factors'!$F$30:$G$44,2,FALSE),"-- Error --")</f>
        <v>-- Error --</v>
      </c>
      <c r="Y349" s="17" t="str">
        <f ca="1">IFERROR(RiskRegister[[#This Row],[Residual Impact Rating]]*RiskRegister[[#This Row],[Residual Likelihood Rating]],"-- Error --")</f>
        <v>-- Error --</v>
      </c>
      <c r="Z349" s="16" t="s">
        <v>100</v>
      </c>
      <c r="AB349" s="39"/>
      <c r="AD349" s="20"/>
    </row>
    <row r="350" spans="1:30" s="16" customFormat="1" hidden="1" x14ac:dyDescent="0.25">
      <c r="A350" s="16">
        <v>347</v>
      </c>
      <c r="G350" s="16" t="s">
        <v>77</v>
      </c>
      <c r="I350" s="16" t="s">
        <v>75</v>
      </c>
      <c r="L350" s="105" t="s">
        <v>99</v>
      </c>
      <c r="M350" s="17" t="str">
        <f>VLOOKUP(RiskRegister[[#This Row],[Inherent Impact LevelL3:L1020D1007L3:L1019]],'Rating factors'!$F$4:$G$9,2,FALSE)</f>
        <v>--- Error ---</v>
      </c>
      <c r="N350" s="16" t="s">
        <v>79</v>
      </c>
      <c r="O350" s="17" t="str">
        <f>VLOOKUP(RiskRegister[[#This Row],[Inherent Likelihood Level]],'Rating factors'!$F$16:$G$21,2,FALSE)</f>
        <v>--- Error ---</v>
      </c>
      <c r="P350" s="17" t="str">
        <f>IFERROR(VLOOKUP(RiskRegister[[#This Row],[Inherent Risk Rating]],'Rating factors'!$F$30:$G$44,2,FALSE),"-- Error --")</f>
        <v>-- Error --</v>
      </c>
      <c r="Q350" s="17" t="str">
        <f>IFERROR(RiskRegister[[#This Row],[Inherent Impact Rating]]*RiskRegister[[#This Row],[Inherent Likelihood Rating]],"-- Error --")</f>
        <v>-- Error --</v>
      </c>
      <c r="R350" s="16" t="s">
        <v>98</v>
      </c>
      <c r="T350" s="16" t="s">
        <v>99</v>
      </c>
      <c r="U350" s="17" t="e" cm="1">
        <f t="array" aca="1" ref="U350" ca="1">+U350:Y1019VLOOKUP(RiskRegister[[#This Row],[Residual Impact Level]],'Rating factors'!$F$4:$G$9,2,FALSE)</f>
        <v>#NAME?</v>
      </c>
      <c r="V350" s="16" t="s">
        <v>79</v>
      </c>
      <c r="W350" s="17" t="str">
        <f>VLOOKUP(RiskRegister[[#This Row],[Residual Likelihood Level]],'Rating factors'!$F$16:$G$21,2,FALSE)</f>
        <v>--- Error ---</v>
      </c>
      <c r="X350" s="17" t="str">
        <f ca="1">IFERROR(VLOOKUP(RiskRegister[[#This Row],[Residual Risk Rating]],'Rating factors'!$F$30:$G$44,2,FALSE),"-- Error --")</f>
        <v>-- Error --</v>
      </c>
      <c r="Y350" s="17" t="str">
        <f ca="1">IFERROR(RiskRegister[[#This Row],[Residual Impact Rating]]*RiskRegister[[#This Row],[Residual Likelihood Rating]],"-- Error --")</f>
        <v>-- Error --</v>
      </c>
      <c r="Z350" s="16" t="s">
        <v>100</v>
      </c>
      <c r="AB350" s="39"/>
      <c r="AD350" s="20"/>
    </row>
    <row r="351" spans="1:30" s="16" customFormat="1" hidden="1" x14ac:dyDescent="0.25">
      <c r="A351" s="16">
        <v>348</v>
      </c>
      <c r="G351" s="16" t="s">
        <v>77</v>
      </c>
      <c r="I351" s="16" t="s">
        <v>75</v>
      </c>
      <c r="L351" s="105" t="s">
        <v>99</v>
      </c>
      <c r="M351" s="17" t="str">
        <f>VLOOKUP(RiskRegister[[#This Row],[Inherent Impact LevelL3:L1020D1007L3:L1019]],'Rating factors'!$F$4:$G$9,2,FALSE)</f>
        <v>--- Error ---</v>
      </c>
      <c r="N351" s="16" t="s">
        <v>79</v>
      </c>
      <c r="O351" s="17" t="str">
        <f>VLOOKUP(RiskRegister[[#This Row],[Inherent Likelihood Level]],'Rating factors'!$F$16:$G$21,2,FALSE)</f>
        <v>--- Error ---</v>
      </c>
      <c r="P351" s="17" t="str">
        <f>IFERROR(VLOOKUP(RiskRegister[[#This Row],[Inherent Risk Rating]],'Rating factors'!$F$30:$G$44,2,FALSE),"-- Error --")</f>
        <v>-- Error --</v>
      </c>
      <c r="Q351" s="17" t="str">
        <f>IFERROR(RiskRegister[[#This Row],[Inherent Impact Rating]]*RiskRegister[[#This Row],[Inherent Likelihood Rating]],"-- Error --")</f>
        <v>-- Error --</v>
      </c>
      <c r="R351" s="16" t="s">
        <v>98</v>
      </c>
      <c r="T351" s="16" t="s">
        <v>99</v>
      </c>
      <c r="U351" s="17" t="e" cm="1">
        <f t="array" aca="1" ref="U351" ca="1">+U351:Y1019VLOOKUP(RiskRegister[[#This Row],[Residual Impact Level]],'Rating factors'!$F$4:$G$9,2,FALSE)</f>
        <v>#NAME?</v>
      </c>
      <c r="V351" s="16" t="s">
        <v>79</v>
      </c>
      <c r="W351" s="17" t="str">
        <f>VLOOKUP(RiskRegister[[#This Row],[Residual Likelihood Level]],'Rating factors'!$F$16:$G$21,2,FALSE)</f>
        <v>--- Error ---</v>
      </c>
      <c r="X351" s="17" t="str">
        <f ca="1">IFERROR(VLOOKUP(RiskRegister[[#This Row],[Residual Risk Rating]],'Rating factors'!$F$30:$G$44,2,FALSE),"-- Error --")</f>
        <v>-- Error --</v>
      </c>
      <c r="Y351" s="17" t="str">
        <f ca="1">IFERROR(RiskRegister[[#This Row],[Residual Impact Rating]]*RiskRegister[[#This Row],[Residual Likelihood Rating]],"-- Error --")</f>
        <v>-- Error --</v>
      </c>
      <c r="Z351" s="16" t="s">
        <v>100</v>
      </c>
      <c r="AB351" s="39"/>
      <c r="AD351" s="20"/>
    </row>
    <row r="352" spans="1:30" s="16" customFormat="1" hidden="1" x14ac:dyDescent="0.25">
      <c r="A352" s="16">
        <v>349</v>
      </c>
      <c r="G352" s="16" t="s">
        <v>77</v>
      </c>
      <c r="I352" s="16" t="s">
        <v>75</v>
      </c>
      <c r="L352" s="105" t="s">
        <v>99</v>
      </c>
      <c r="M352" s="17" t="str">
        <f>VLOOKUP(RiskRegister[[#This Row],[Inherent Impact LevelL3:L1020D1007L3:L1019]],'Rating factors'!$F$4:$G$9,2,FALSE)</f>
        <v>--- Error ---</v>
      </c>
      <c r="N352" s="16" t="s">
        <v>79</v>
      </c>
      <c r="O352" s="17" t="str">
        <f>VLOOKUP(RiskRegister[[#This Row],[Inherent Likelihood Level]],'Rating factors'!$F$16:$G$21,2,FALSE)</f>
        <v>--- Error ---</v>
      </c>
      <c r="P352" s="17" t="str">
        <f>IFERROR(VLOOKUP(RiskRegister[[#This Row],[Inherent Risk Rating]],'Rating factors'!$F$30:$G$44,2,FALSE),"-- Error --")</f>
        <v>-- Error --</v>
      </c>
      <c r="Q352" s="17" t="str">
        <f>IFERROR(RiskRegister[[#This Row],[Inherent Impact Rating]]*RiskRegister[[#This Row],[Inherent Likelihood Rating]],"-- Error --")</f>
        <v>-- Error --</v>
      </c>
      <c r="R352" s="16" t="s">
        <v>98</v>
      </c>
      <c r="T352" s="16" t="s">
        <v>99</v>
      </c>
      <c r="U352" s="17" t="e" cm="1">
        <f t="array" aca="1" ref="U352" ca="1">+U352:Y1019VLOOKUP(RiskRegister[[#This Row],[Residual Impact Level]],'Rating factors'!$F$4:$G$9,2,FALSE)</f>
        <v>#NAME?</v>
      </c>
      <c r="V352" s="16" t="s">
        <v>79</v>
      </c>
      <c r="W352" s="17" t="str">
        <f>VLOOKUP(RiskRegister[[#This Row],[Residual Likelihood Level]],'Rating factors'!$F$16:$G$21,2,FALSE)</f>
        <v>--- Error ---</v>
      </c>
      <c r="X352" s="17" t="str">
        <f ca="1">IFERROR(VLOOKUP(RiskRegister[[#This Row],[Residual Risk Rating]],'Rating factors'!$F$30:$G$44,2,FALSE),"-- Error --")</f>
        <v>-- Error --</v>
      </c>
      <c r="Y352" s="17" t="str">
        <f ca="1">IFERROR(RiskRegister[[#This Row],[Residual Impact Rating]]*RiskRegister[[#This Row],[Residual Likelihood Rating]],"-- Error --")</f>
        <v>-- Error --</v>
      </c>
      <c r="Z352" s="16" t="s">
        <v>100</v>
      </c>
      <c r="AB352" s="39"/>
      <c r="AD352" s="20"/>
    </row>
    <row r="353" spans="1:30" s="16" customFormat="1" hidden="1" x14ac:dyDescent="0.25">
      <c r="A353" s="16">
        <v>350</v>
      </c>
      <c r="G353" s="16" t="s">
        <v>77</v>
      </c>
      <c r="I353" s="16" t="s">
        <v>75</v>
      </c>
      <c r="L353" s="105" t="s">
        <v>99</v>
      </c>
      <c r="M353" s="17" t="str">
        <f>VLOOKUP(RiskRegister[[#This Row],[Inherent Impact LevelL3:L1020D1007L3:L1019]],'Rating factors'!$F$4:$G$9,2,FALSE)</f>
        <v>--- Error ---</v>
      </c>
      <c r="N353" s="16" t="s">
        <v>79</v>
      </c>
      <c r="O353" s="17" t="str">
        <f>VLOOKUP(RiskRegister[[#This Row],[Inherent Likelihood Level]],'Rating factors'!$F$16:$G$21,2,FALSE)</f>
        <v>--- Error ---</v>
      </c>
      <c r="P353" s="17" t="str">
        <f>IFERROR(VLOOKUP(RiskRegister[[#This Row],[Inherent Risk Rating]],'Rating factors'!$F$30:$G$44,2,FALSE),"-- Error --")</f>
        <v>-- Error --</v>
      </c>
      <c r="Q353" s="17" t="str">
        <f>IFERROR(RiskRegister[[#This Row],[Inherent Impact Rating]]*RiskRegister[[#This Row],[Inherent Likelihood Rating]],"-- Error --")</f>
        <v>-- Error --</v>
      </c>
      <c r="R353" s="16" t="s">
        <v>98</v>
      </c>
      <c r="T353" s="16" t="s">
        <v>99</v>
      </c>
      <c r="U353" s="17" t="e" cm="1">
        <f t="array" aca="1" ref="U353" ca="1">+U353:Y1019VLOOKUP(RiskRegister[[#This Row],[Residual Impact Level]],'Rating factors'!$F$4:$G$9,2,FALSE)</f>
        <v>#NAME?</v>
      </c>
      <c r="V353" s="16" t="s">
        <v>79</v>
      </c>
      <c r="W353" s="17" t="str">
        <f>VLOOKUP(RiskRegister[[#This Row],[Residual Likelihood Level]],'Rating factors'!$F$16:$G$21,2,FALSE)</f>
        <v>--- Error ---</v>
      </c>
      <c r="X353" s="17" t="str">
        <f ca="1">IFERROR(VLOOKUP(RiskRegister[[#This Row],[Residual Risk Rating]],'Rating factors'!$F$30:$G$44,2,FALSE),"-- Error --")</f>
        <v>-- Error --</v>
      </c>
      <c r="Y353" s="17" t="str">
        <f ca="1">IFERROR(RiskRegister[[#This Row],[Residual Impact Rating]]*RiskRegister[[#This Row],[Residual Likelihood Rating]],"-- Error --")</f>
        <v>-- Error --</v>
      </c>
      <c r="Z353" s="16" t="s">
        <v>100</v>
      </c>
      <c r="AB353" s="39"/>
      <c r="AD353" s="20"/>
    </row>
    <row r="354" spans="1:30" s="16" customFormat="1" hidden="1" x14ac:dyDescent="0.25">
      <c r="A354" s="16">
        <v>351</v>
      </c>
      <c r="G354" s="16" t="s">
        <v>77</v>
      </c>
      <c r="I354" s="16" t="s">
        <v>75</v>
      </c>
      <c r="L354" s="105" t="s">
        <v>99</v>
      </c>
      <c r="M354" s="17" t="str">
        <f>VLOOKUP(RiskRegister[[#This Row],[Inherent Impact LevelL3:L1020D1007L3:L1019]],'Rating factors'!$F$4:$G$9,2,FALSE)</f>
        <v>--- Error ---</v>
      </c>
      <c r="N354" s="16" t="s">
        <v>79</v>
      </c>
      <c r="O354" s="17" t="str">
        <f>VLOOKUP(RiskRegister[[#This Row],[Inherent Likelihood Level]],'Rating factors'!$F$16:$G$21,2,FALSE)</f>
        <v>--- Error ---</v>
      </c>
      <c r="P354" s="17" t="str">
        <f>IFERROR(VLOOKUP(RiskRegister[[#This Row],[Inherent Risk Rating]],'Rating factors'!$F$30:$G$44,2,FALSE),"-- Error --")</f>
        <v>-- Error --</v>
      </c>
      <c r="Q354" s="17" t="str">
        <f>IFERROR(RiskRegister[[#This Row],[Inherent Impact Rating]]*RiskRegister[[#This Row],[Inherent Likelihood Rating]],"-- Error --")</f>
        <v>-- Error --</v>
      </c>
      <c r="R354" s="16" t="s">
        <v>98</v>
      </c>
      <c r="T354" s="16" t="s">
        <v>99</v>
      </c>
      <c r="U354" s="17" t="e" cm="1">
        <f t="array" aca="1" ref="U354" ca="1">+U354:Y1019VLOOKUP(RiskRegister[[#This Row],[Residual Impact Level]],'Rating factors'!$F$4:$G$9,2,FALSE)</f>
        <v>#NAME?</v>
      </c>
      <c r="V354" s="16" t="s">
        <v>79</v>
      </c>
      <c r="W354" s="17" t="str">
        <f>VLOOKUP(RiskRegister[[#This Row],[Residual Likelihood Level]],'Rating factors'!$F$16:$G$21,2,FALSE)</f>
        <v>--- Error ---</v>
      </c>
      <c r="X354" s="17" t="str">
        <f ca="1">IFERROR(VLOOKUP(RiskRegister[[#This Row],[Residual Risk Rating]],'Rating factors'!$F$30:$G$44,2,FALSE),"-- Error --")</f>
        <v>-- Error --</v>
      </c>
      <c r="Y354" s="17" t="str">
        <f ca="1">IFERROR(RiskRegister[[#This Row],[Residual Impact Rating]]*RiskRegister[[#This Row],[Residual Likelihood Rating]],"-- Error --")</f>
        <v>-- Error --</v>
      </c>
      <c r="Z354" s="16" t="s">
        <v>100</v>
      </c>
      <c r="AB354" s="39"/>
      <c r="AD354" s="20"/>
    </row>
    <row r="355" spans="1:30" s="16" customFormat="1" hidden="1" x14ac:dyDescent="0.25">
      <c r="A355" s="16">
        <v>352</v>
      </c>
      <c r="G355" s="16" t="s">
        <v>77</v>
      </c>
      <c r="I355" s="16" t="s">
        <v>75</v>
      </c>
      <c r="L355" s="105" t="s">
        <v>99</v>
      </c>
      <c r="M355" s="17" t="str">
        <f>VLOOKUP(RiskRegister[[#This Row],[Inherent Impact LevelL3:L1020D1007L3:L1019]],'Rating factors'!$F$4:$G$9,2,FALSE)</f>
        <v>--- Error ---</v>
      </c>
      <c r="N355" s="16" t="s">
        <v>79</v>
      </c>
      <c r="O355" s="17" t="str">
        <f>VLOOKUP(RiskRegister[[#This Row],[Inherent Likelihood Level]],'Rating factors'!$F$16:$G$21,2,FALSE)</f>
        <v>--- Error ---</v>
      </c>
      <c r="P355" s="17" t="str">
        <f>IFERROR(VLOOKUP(RiskRegister[[#This Row],[Inherent Risk Rating]],'Rating factors'!$F$30:$G$44,2,FALSE),"-- Error --")</f>
        <v>-- Error --</v>
      </c>
      <c r="Q355" s="17" t="str">
        <f>IFERROR(RiskRegister[[#This Row],[Inherent Impact Rating]]*RiskRegister[[#This Row],[Inherent Likelihood Rating]],"-- Error --")</f>
        <v>-- Error --</v>
      </c>
      <c r="R355" s="16" t="s">
        <v>98</v>
      </c>
      <c r="T355" s="16" t="s">
        <v>99</v>
      </c>
      <c r="U355" s="17" t="e" cm="1">
        <f t="array" aca="1" ref="U355" ca="1">+U355:Y1019VLOOKUP(RiskRegister[[#This Row],[Residual Impact Level]],'Rating factors'!$F$4:$G$9,2,FALSE)</f>
        <v>#NAME?</v>
      </c>
      <c r="V355" s="16" t="s">
        <v>79</v>
      </c>
      <c r="W355" s="17" t="str">
        <f>VLOOKUP(RiskRegister[[#This Row],[Residual Likelihood Level]],'Rating factors'!$F$16:$G$21,2,FALSE)</f>
        <v>--- Error ---</v>
      </c>
      <c r="X355" s="17" t="str">
        <f ca="1">IFERROR(VLOOKUP(RiskRegister[[#This Row],[Residual Risk Rating]],'Rating factors'!$F$30:$G$44,2,FALSE),"-- Error --")</f>
        <v>-- Error --</v>
      </c>
      <c r="Y355" s="17" t="str">
        <f ca="1">IFERROR(RiskRegister[[#This Row],[Residual Impact Rating]]*RiskRegister[[#This Row],[Residual Likelihood Rating]],"-- Error --")</f>
        <v>-- Error --</v>
      </c>
      <c r="Z355" s="16" t="s">
        <v>100</v>
      </c>
      <c r="AB355" s="39"/>
      <c r="AD355" s="20"/>
    </row>
    <row r="356" spans="1:30" s="16" customFormat="1" hidden="1" x14ac:dyDescent="0.25">
      <c r="A356" s="16">
        <v>353</v>
      </c>
      <c r="G356" s="16" t="s">
        <v>77</v>
      </c>
      <c r="I356" s="16" t="s">
        <v>75</v>
      </c>
      <c r="L356" s="105" t="s">
        <v>99</v>
      </c>
      <c r="M356" s="17" t="str">
        <f>VLOOKUP(RiskRegister[[#This Row],[Inherent Impact LevelL3:L1020D1007L3:L1019]],'Rating factors'!$F$4:$G$9,2,FALSE)</f>
        <v>--- Error ---</v>
      </c>
      <c r="N356" s="16" t="s">
        <v>79</v>
      </c>
      <c r="O356" s="17" t="str">
        <f>VLOOKUP(RiskRegister[[#This Row],[Inherent Likelihood Level]],'Rating factors'!$F$16:$G$21,2,FALSE)</f>
        <v>--- Error ---</v>
      </c>
      <c r="P356" s="17" t="str">
        <f>IFERROR(VLOOKUP(RiskRegister[[#This Row],[Inherent Risk Rating]],'Rating factors'!$F$30:$G$44,2,FALSE),"-- Error --")</f>
        <v>-- Error --</v>
      </c>
      <c r="Q356" s="17" t="str">
        <f>IFERROR(RiskRegister[[#This Row],[Inherent Impact Rating]]*RiskRegister[[#This Row],[Inherent Likelihood Rating]],"-- Error --")</f>
        <v>-- Error --</v>
      </c>
      <c r="R356" s="16" t="s">
        <v>98</v>
      </c>
      <c r="T356" s="16" t="s">
        <v>99</v>
      </c>
      <c r="U356" s="17" t="e" cm="1">
        <f t="array" aca="1" ref="U356" ca="1">+U356:Y1019VLOOKUP(RiskRegister[[#This Row],[Residual Impact Level]],'Rating factors'!$F$4:$G$9,2,FALSE)</f>
        <v>#NAME?</v>
      </c>
      <c r="V356" s="16" t="s">
        <v>79</v>
      </c>
      <c r="W356" s="17" t="str">
        <f>VLOOKUP(RiskRegister[[#This Row],[Residual Likelihood Level]],'Rating factors'!$F$16:$G$21,2,FALSE)</f>
        <v>--- Error ---</v>
      </c>
      <c r="X356" s="17" t="str">
        <f ca="1">IFERROR(VLOOKUP(RiskRegister[[#This Row],[Residual Risk Rating]],'Rating factors'!$F$30:$G$44,2,FALSE),"-- Error --")</f>
        <v>-- Error --</v>
      </c>
      <c r="Y356" s="17" t="str">
        <f ca="1">IFERROR(RiskRegister[[#This Row],[Residual Impact Rating]]*RiskRegister[[#This Row],[Residual Likelihood Rating]],"-- Error --")</f>
        <v>-- Error --</v>
      </c>
      <c r="Z356" s="16" t="s">
        <v>100</v>
      </c>
      <c r="AB356" s="39"/>
      <c r="AD356" s="20"/>
    </row>
    <row r="357" spans="1:30" s="16" customFormat="1" hidden="1" x14ac:dyDescent="0.25">
      <c r="A357" s="16">
        <v>354</v>
      </c>
      <c r="G357" s="16" t="s">
        <v>77</v>
      </c>
      <c r="I357" s="16" t="s">
        <v>75</v>
      </c>
      <c r="L357" s="105" t="s">
        <v>99</v>
      </c>
      <c r="M357" s="17" t="str">
        <f>VLOOKUP(RiskRegister[[#This Row],[Inherent Impact LevelL3:L1020D1007L3:L1019]],'Rating factors'!$F$4:$G$9,2,FALSE)</f>
        <v>--- Error ---</v>
      </c>
      <c r="N357" s="16" t="s">
        <v>79</v>
      </c>
      <c r="O357" s="17" t="str">
        <f>VLOOKUP(RiskRegister[[#This Row],[Inherent Likelihood Level]],'Rating factors'!$F$16:$G$21,2,FALSE)</f>
        <v>--- Error ---</v>
      </c>
      <c r="P357" s="17" t="str">
        <f>IFERROR(VLOOKUP(RiskRegister[[#This Row],[Inherent Risk Rating]],'Rating factors'!$F$30:$G$44,2,FALSE),"-- Error --")</f>
        <v>-- Error --</v>
      </c>
      <c r="Q357" s="17" t="str">
        <f>IFERROR(RiskRegister[[#This Row],[Inherent Impact Rating]]*RiskRegister[[#This Row],[Inherent Likelihood Rating]],"-- Error --")</f>
        <v>-- Error --</v>
      </c>
      <c r="R357" s="16" t="s">
        <v>98</v>
      </c>
      <c r="T357" s="16" t="s">
        <v>99</v>
      </c>
      <c r="U357" s="17" t="e" cm="1">
        <f t="array" aca="1" ref="U357" ca="1">+U357:Y1019VLOOKUP(RiskRegister[[#This Row],[Residual Impact Level]],'Rating factors'!$F$4:$G$9,2,FALSE)</f>
        <v>#NAME?</v>
      </c>
      <c r="V357" s="16" t="s">
        <v>79</v>
      </c>
      <c r="W357" s="17" t="str">
        <f>VLOOKUP(RiskRegister[[#This Row],[Residual Likelihood Level]],'Rating factors'!$F$16:$G$21,2,FALSE)</f>
        <v>--- Error ---</v>
      </c>
      <c r="X357" s="17" t="str">
        <f ca="1">IFERROR(VLOOKUP(RiskRegister[[#This Row],[Residual Risk Rating]],'Rating factors'!$F$30:$G$44,2,FALSE),"-- Error --")</f>
        <v>-- Error --</v>
      </c>
      <c r="Y357" s="17" t="str">
        <f ca="1">IFERROR(RiskRegister[[#This Row],[Residual Impact Rating]]*RiskRegister[[#This Row],[Residual Likelihood Rating]],"-- Error --")</f>
        <v>-- Error --</v>
      </c>
      <c r="Z357" s="16" t="s">
        <v>100</v>
      </c>
      <c r="AB357" s="39"/>
      <c r="AD357" s="20"/>
    </row>
    <row r="358" spans="1:30" s="16" customFormat="1" hidden="1" x14ac:dyDescent="0.25">
      <c r="A358" s="16">
        <v>355</v>
      </c>
      <c r="G358" s="16" t="s">
        <v>77</v>
      </c>
      <c r="I358" s="16" t="s">
        <v>75</v>
      </c>
      <c r="L358" s="105" t="s">
        <v>99</v>
      </c>
      <c r="M358" s="17" t="str">
        <f>VLOOKUP(RiskRegister[[#This Row],[Inherent Impact LevelL3:L1020D1007L3:L1019]],'Rating factors'!$F$4:$G$9,2,FALSE)</f>
        <v>--- Error ---</v>
      </c>
      <c r="N358" s="16" t="s">
        <v>79</v>
      </c>
      <c r="O358" s="17" t="str">
        <f>VLOOKUP(RiskRegister[[#This Row],[Inherent Likelihood Level]],'Rating factors'!$F$16:$G$21,2,FALSE)</f>
        <v>--- Error ---</v>
      </c>
      <c r="P358" s="17" t="str">
        <f>IFERROR(VLOOKUP(RiskRegister[[#This Row],[Inherent Risk Rating]],'Rating factors'!$F$30:$G$44,2,FALSE),"-- Error --")</f>
        <v>-- Error --</v>
      </c>
      <c r="Q358" s="17" t="str">
        <f>IFERROR(RiskRegister[[#This Row],[Inherent Impact Rating]]*RiskRegister[[#This Row],[Inherent Likelihood Rating]],"-- Error --")</f>
        <v>-- Error --</v>
      </c>
      <c r="R358" s="16" t="s">
        <v>98</v>
      </c>
      <c r="T358" s="16" t="s">
        <v>99</v>
      </c>
      <c r="U358" s="17" t="e" cm="1">
        <f t="array" aca="1" ref="U358" ca="1">+U358:Y1019VLOOKUP(RiskRegister[[#This Row],[Residual Impact Level]],'Rating factors'!$F$4:$G$9,2,FALSE)</f>
        <v>#NAME?</v>
      </c>
      <c r="V358" s="16" t="s">
        <v>79</v>
      </c>
      <c r="W358" s="17" t="str">
        <f>VLOOKUP(RiskRegister[[#This Row],[Residual Likelihood Level]],'Rating factors'!$F$16:$G$21,2,FALSE)</f>
        <v>--- Error ---</v>
      </c>
      <c r="X358" s="17" t="str">
        <f ca="1">IFERROR(VLOOKUP(RiskRegister[[#This Row],[Residual Risk Rating]],'Rating factors'!$F$30:$G$44,2,FALSE),"-- Error --")</f>
        <v>-- Error --</v>
      </c>
      <c r="Y358" s="17" t="str">
        <f ca="1">IFERROR(RiskRegister[[#This Row],[Residual Impact Rating]]*RiskRegister[[#This Row],[Residual Likelihood Rating]],"-- Error --")</f>
        <v>-- Error --</v>
      </c>
      <c r="Z358" s="16" t="s">
        <v>100</v>
      </c>
      <c r="AB358" s="39"/>
      <c r="AD358" s="20"/>
    </row>
    <row r="359" spans="1:30" s="16" customFormat="1" hidden="1" x14ac:dyDescent="0.25">
      <c r="A359" s="16">
        <v>356</v>
      </c>
      <c r="G359" s="16" t="s">
        <v>77</v>
      </c>
      <c r="I359" s="16" t="s">
        <v>75</v>
      </c>
      <c r="L359" s="105" t="s">
        <v>99</v>
      </c>
      <c r="M359" s="17" t="str">
        <f>VLOOKUP(RiskRegister[[#This Row],[Inherent Impact LevelL3:L1020D1007L3:L1019]],'Rating factors'!$F$4:$G$9,2,FALSE)</f>
        <v>--- Error ---</v>
      </c>
      <c r="N359" s="16" t="s">
        <v>79</v>
      </c>
      <c r="O359" s="17" t="str">
        <f>VLOOKUP(RiskRegister[[#This Row],[Inherent Likelihood Level]],'Rating factors'!$F$16:$G$21,2,FALSE)</f>
        <v>--- Error ---</v>
      </c>
      <c r="P359" s="17" t="str">
        <f>IFERROR(VLOOKUP(RiskRegister[[#This Row],[Inherent Risk Rating]],'Rating factors'!$F$30:$G$44,2,FALSE),"-- Error --")</f>
        <v>-- Error --</v>
      </c>
      <c r="Q359" s="17" t="str">
        <f>IFERROR(RiskRegister[[#This Row],[Inherent Impact Rating]]*RiskRegister[[#This Row],[Inherent Likelihood Rating]],"-- Error --")</f>
        <v>-- Error --</v>
      </c>
      <c r="R359" s="16" t="s">
        <v>98</v>
      </c>
      <c r="T359" s="16" t="s">
        <v>99</v>
      </c>
      <c r="U359" s="17" t="e" cm="1">
        <f t="array" aca="1" ref="U359" ca="1">+U359:Y1019VLOOKUP(RiskRegister[[#This Row],[Residual Impact Level]],'Rating factors'!$F$4:$G$9,2,FALSE)</f>
        <v>#NAME?</v>
      </c>
      <c r="V359" s="16" t="s">
        <v>79</v>
      </c>
      <c r="W359" s="17" t="str">
        <f>VLOOKUP(RiskRegister[[#This Row],[Residual Likelihood Level]],'Rating factors'!$F$16:$G$21,2,FALSE)</f>
        <v>--- Error ---</v>
      </c>
      <c r="X359" s="17" t="str">
        <f ca="1">IFERROR(VLOOKUP(RiskRegister[[#This Row],[Residual Risk Rating]],'Rating factors'!$F$30:$G$44,2,FALSE),"-- Error --")</f>
        <v>-- Error --</v>
      </c>
      <c r="Y359" s="17" t="str">
        <f ca="1">IFERROR(RiskRegister[[#This Row],[Residual Impact Rating]]*RiskRegister[[#This Row],[Residual Likelihood Rating]],"-- Error --")</f>
        <v>-- Error --</v>
      </c>
      <c r="Z359" s="16" t="s">
        <v>100</v>
      </c>
      <c r="AB359" s="39"/>
      <c r="AD359" s="20"/>
    </row>
    <row r="360" spans="1:30" s="16" customFormat="1" hidden="1" x14ac:dyDescent="0.25">
      <c r="A360" s="16">
        <v>357</v>
      </c>
      <c r="G360" s="16" t="s">
        <v>77</v>
      </c>
      <c r="I360" s="16" t="s">
        <v>75</v>
      </c>
      <c r="L360" s="105" t="s">
        <v>99</v>
      </c>
      <c r="M360" s="17" t="str">
        <f>VLOOKUP(RiskRegister[[#This Row],[Inherent Impact LevelL3:L1020D1007L3:L1019]],'Rating factors'!$F$4:$G$9,2,FALSE)</f>
        <v>--- Error ---</v>
      </c>
      <c r="N360" s="16" t="s">
        <v>79</v>
      </c>
      <c r="O360" s="17" t="str">
        <f>VLOOKUP(RiskRegister[[#This Row],[Inherent Likelihood Level]],'Rating factors'!$F$16:$G$21,2,FALSE)</f>
        <v>--- Error ---</v>
      </c>
      <c r="P360" s="17" t="str">
        <f>IFERROR(VLOOKUP(RiskRegister[[#This Row],[Inherent Risk Rating]],'Rating factors'!$F$30:$G$44,2,FALSE),"-- Error --")</f>
        <v>-- Error --</v>
      </c>
      <c r="Q360" s="17" t="str">
        <f>IFERROR(RiskRegister[[#This Row],[Inherent Impact Rating]]*RiskRegister[[#This Row],[Inherent Likelihood Rating]],"-- Error --")</f>
        <v>-- Error --</v>
      </c>
      <c r="R360" s="16" t="s">
        <v>98</v>
      </c>
      <c r="T360" s="16" t="s">
        <v>99</v>
      </c>
      <c r="U360" s="17" t="e" cm="1">
        <f t="array" aca="1" ref="U360" ca="1">+U360:Y1019VLOOKUP(RiskRegister[[#This Row],[Residual Impact Level]],'Rating factors'!$F$4:$G$9,2,FALSE)</f>
        <v>#NAME?</v>
      </c>
      <c r="V360" s="16" t="s">
        <v>79</v>
      </c>
      <c r="W360" s="17" t="str">
        <f>VLOOKUP(RiskRegister[[#This Row],[Residual Likelihood Level]],'Rating factors'!$F$16:$G$21,2,FALSE)</f>
        <v>--- Error ---</v>
      </c>
      <c r="X360" s="17" t="str">
        <f ca="1">IFERROR(VLOOKUP(RiskRegister[[#This Row],[Residual Risk Rating]],'Rating factors'!$F$30:$G$44,2,FALSE),"-- Error --")</f>
        <v>-- Error --</v>
      </c>
      <c r="Y360" s="17" t="str">
        <f ca="1">IFERROR(RiskRegister[[#This Row],[Residual Impact Rating]]*RiskRegister[[#This Row],[Residual Likelihood Rating]],"-- Error --")</f>
        <v>-- Error --</v>
      </c>
      <c r="Z360" s="16" t="s">
        <v>100</v>
      </c>
      <c r="AB360" s="39"/>
      <c r="AD360" s="20"/>
    </row>
    <row r="361" spans="1:30" s="16" customFormat="1" hidden="1" x14ac:dyDescent="0.25">
      <c r="A361" s="16">
        <v>358</v>
      </c>
      <c r="G361" s="16" t="s">
        <v>77</v>
      </c>
      <c r="I361" s="16" t="s">
        <v>75</v>
      </c>
      <c r="L361" s="105" t="s">
        <v>99</v>
      </c>
      <c r="M361" s="17" t="str">
        <f>VLOOKUP(RiskRegister[[#This Row],[Inherent Impact LevelL3:L1020D1007L3:L1019]],'Rating factors'!$F$4:$G$9,2,FALSE)</f>
        <v>--- Error ---</v>
      </c>
      <c r="N361" s="16" t="s">
        <v>79</v>
      </c>
      <c r="O361" s="17" t="str">
        <f>VLOOKUP(RiskRegister[[#This Row],[Inherent Likelihood Level]],'Rating factors'!$F$16:$G$21,2,FALSE)</f>
        <v>--- Error ---</v>
      </c>
      <c r="P361" s="17" t="str">
        <f>IFERROR(VLOOKUP(RiskRegister[[#This Row],[Inherent Risk Rating]],'Rating factors'!$F$30:$G$44,2,FALSE),"-- Error --")</f>
        <v>-- Error --</v>
      </c>
      <c r="Q361" s="17" t="str">
        <f>IFERROR(RiskRegister[[#This Row],[Inherent Impact Rating]]*RiskRegister[[#This Row],[Inherent Likelihood Rating]],"-- Error --")</f>
        <v>-- Error --</v>
      </c>
      <c r="R361" s="16" t="s">
        <v>98</v>
      </c>
      <c r="T361" s="16" t="s">
        <v>99</v>
      </c>
      <c r="U361" s="17" t="e" cm="1">
        <f t="array" aca="1" ref="U361" ca="1">+U361:Y1019VLOOKUP(RiskRegister[[#This Row],[Residual Impact Level]],'Rating factors'!$F$4:$G$9,2,FALSE)</f>
        <v>#NAME?</v>
      </c>
      <c r="V361" s="16" t="s">
        <v>79</v>
      </c>
      <c r="W361" s="17" t="str">
        <f>VLOOKUP(RiskRegister[[#This Row],[Residual Likelihood Level]],'Rating factors'!$F$16:$G$21,2,FALSE)</f>
        <v>--- Error ---</v>
      </c>
      <c r="X361" s="17" t="str">
        <f ca="1">IFERROR(VLOOKUP(RiskRegister[[#This Row],[Residual Risk Rating]],'Rating factors'!$F$30:$G$44,2,FALSE),"-- Error --")</f>
        <v>-- Error --</v>
      </c>
      <c r="Y361" s="17" t="str">
        <f ca="1">IFERROR(RiskRegister[[#This Row],[Residual Impact Rating]]*RiskRegister[[#This Row],[Residual Likelihood Rating]],"-- Error --")</f>
        <v>-- Error --</v>
      </c>
      <c r="Z361" s="16" t="s">
        <v>100</v>
      </c>
      <c r="AB361" s="39"/>
      <c r="AD361" s="20"/>
    </row>
    <row r="362" spans="1:30" s="16" customFormat="1" hidden="1" x14ac:dyDescent="0.25">
      <c r="A362" s="16">
        <v>359</v>
      </c>
      <c r="G362" s="16" t="s">
        <v>77</v>
      </c>
      <c r="I362" s="16" t="s">
        <v>75</v>
      </c>
      <c r="L362" s="105" t="s">
        <v>99</v>
      </c>
      <c r="M362" s="17" t="str">
        <f>VLOOKUP(RiskRegister[[#This Row],[Inherent Impact LevelL3:L1020D1007L3:L1019]],'Rating factors'!$F$4:$G$9,2,FALSE)</f>
        <v>--- Error ---</v>
      </c>
      <c r="N362" s="16" t="s">
        <v>79</v>
      </c>
      <c r="O362" s="17" t="str">
        <f>VLOOKUP(RiskRegister[[#This Row],[Inherent Likelihood Level]],'Rating factors'!$F$16:$G$21,2,FALSE)</f>
        <v>--- Error ---</v>
      </c>
      <c r="P362" s="17" t="str">
        <f>IFERROR(VLOOKUP(RiskRegister[[#This Row],[Inherent Risk Rating]],'Rating factors'!$F$30:$G$44,2,FALSE),"-- Error --")</f>
        <v>-- Error --</v>
      </c>
      <c r="Q362" s="17" t="str">
        <f>IFERROR(RiskRegister[[#This Row],[Inherent Impact Rating]]*RiskRegister[[#This Row],[Inherent Likelihood Rating]],"-- Error --")</f>
        <v>-- Error --</v>
      </c>
      <c r="R362" s="16" t="s">
        <v>98</v>
      </c>
      <c r="T362" s="16" t="s">
        <v>99</v>
      </c>
      <c r="U362" s="17" t="e" cm="1">
        <f t="array" aca="1" ref="U362" ca="1">+U362:Y1019VLOOKUP(RiskRegister[[#This Row],[Residual Impact Level]],'Rating factors'!$F$4:$G$9,2,FALSE)</f>
        <v>#NAME?</v>
      </c>
      <c r="V362" s="16" t="s">
        <v>79</v>
      </c>
      <c r="W362" s="17" t="str">
        <f>VLOOKUP(RiskRegister[[#This Row],[Residual Likelihood Level]],'Rating factors'!$F$16:$G$21,2,FALSE)</f>
        <v>--- Error ---</v>
      </c>
      <c r="X362" s="17" t="str">
        <f ca="1">IFERROR(VLOOKUP(RiskRegister[[#This Row],[Residual Risk Rating]],'Rating factors'!$F$30:$G$44,2,FALSE),"-- Error --")</f>
        <v>-- Error --</v>
      </c>
      <c r="Y362" s="17" t="str">
        <f ca="1">IFERROR(RiskRegister[[#This Row],[Residual Impact Rating]]*RiskRegister[[#This Row],[Residual Likelihood Rating]],"-- Error --")</f>
        <v>-- Error --</v>
      </c>
      <c r="Z362" s="16" t="s">
        <v>100</v>
      </c>
      <c r="AB362" s="39"/>
      <c r="AD362" s="20"/>
    </row>
    <row r="363" spans="1:30" s="16" customFormat="1" hidden="1" x14ac:dyDescent="0.25">
      <c r="A363" s="16">
        <v>360</v>
      </c>
      <c r="G363" s="16" t="s">
        <v>77</v>
      </c>
      <c r="I363" s="16" t="s">
        <v>75</v>
      </c>
      <c r="L363" s="105" t="s">
        <v>99</v>
      </c>
      <c r="M363" s="17" t="str">
        <f>VLOOKUP(RiskRegister[[#This Row],[Inherent Impact LevelL3:L1020D1007L3:L1019]],'Rating factors'!$F$4:$G$9,2,FALSE)</f>
        <v>--- Error ---</v>
      </c>
      <c r="N363" s="16" t="s">
        <v>79</v>
      </c>
      <c r="O363" s="17" t="str">
        <f>VLOOKUP(RiskRegister[[#This Row],[Inherent Likelihood Level]],'Rating factors'!$F$16:$G$21,2,FALSE)</f>
        <v>--- Error ---</v>
      </c>
      <c r="P363" s="17" t="str">
        <f>IFERROR(VLOOKUP(RiskRegister[[#This Row],[Inherent Risk Rating]],'Rating factors'!$F$30:$G$44,2,FALSE),"-- Error --")</f>
        <v>-- Error --</v>
      </c>
      <c r="Q363" s="17" t="str">
        <f>IFERROR(RiskRegister[[#This Row],[Inherent Impact Rating]]*RiskRegister[[#This Row],[Inherent Likelihood Rating]],"-- Error --")</f>
        <v>-- Error --</v>
      </c>
      <c r="R363" s="16" t="s">
        <v>98</v>
      </c>
      <c r="T363" s="16" t="s">
        <v>99</v>
      </c>
      <c r="U363" s="17" t="e" cm="1">
        <f t="array" aca="1" ref="U363" ca="1">+U363:Y1019VLOOKUP(RiskRegister[[#This Row],[Residual Impact Level]],'Rating factors'!$F$4:$G$9,2,FALSE)</f>
        <v>#NAME?</v>
      </c>
      <c r="V363" s="16" t="s">
        <v>79</v>
      </c>
      <c r="W363" s="17" t="str">
        <f>VLOOKUP(RiskRegister[[#This Row],[Residual Likelihood Level]],'Rating factors'!$F$16:$G$21,2,FALSE)</f>
        <v>--- Error ---</v>
      </c>
      <c r="X363" s="17" t="str">
        <f ca="1">IFERROR(VLOOKUP(RiskRegister[[#This Row],[Residual Risk Rating]],'Rating factors'!$F$30:$G$44,2,FALSE),"-- Error --")</f>
        <v>-- Error --</v>
      </c>
      <c r="Y363" s="17" t="str">
        <f ca="1">IFERROR(RiskRegister[[#This Row],[Residual Impact Rating]]*RiskRegister[[#This Row],[Residual Likelihood Rating]],"-- Error --")</f>
        <v>-- Error --</v>
      </c>
      <c r="Z363" s="16" t="s">
        <v>100</v>
      </c>
      <c r="AB363" s="39"/>
      <c r="AD363" s="20"/>
    </row>
    <row r="364" spans="1:30" s="16" customFormat="1" hidden="1" x14ac:dyDescent="0.25">
      <c r="A364" s="16">
        <v>361</v>
      </c>
      <c r="G364" s="16" t="s">
        <v>77</v>
      </c>
      <c r="I364" s="16" t="s">
        <v>75</v>
      </c>
      <c r="L364" s="105" t="s">
        <v>99</v>
      </c>
      <c r="M364" s="17" t="str">
        <f>VLOOKUP(RiskRegister[[#This Row],[Inherent Impact LevelL3:L1020D1007L3:L1019]],'Rating factors'!$F$4:$G$9,2,FALSE)</f>
        <v>--- Error ---</v>
      </c>
      <c r="N364" s="16" t="s">
        <v>79</v>
      </c>
      <c r="O364" s="17" t="str">
        <f>VLOOKUP(RiskRegister[[#This Row],[Inherent Likelihood Level]],'Rating factors'!$F$16:$G$21,2,FALSE)</f>
        <v>--- Error ---</v>
      </c>
      <c r="P364" s="17" t="str">
        <f>IFERROR(VLOOKUP(RiskRegister[[#This Row],[Inherent Risk Rating]],'Rating factors'!$F$30:$G$44,2,FALSE),"-- Error --")</f>
        <v>-- Error --</v>
      </c>
      <c r="Q364" s="17" t="str">
        <f>IFERROR(RiskRegister[[#This Row],[Inherent Impact Rating]]*RiskRegister[[#This Row],[Inherent Likelihood Rating]],"-- Error --")</f>
        <v>-- Error --</v>
      </c>
      <c r="R364" s="16" t="s">
        <v>98</v>
      </c>
      <c r="T364" s="16" t="s">
        <v>99</v>
      </c>
      <c r="U364" s="17" t="e" cm="1">
        <f t="array" aca="1" ref="U364" ca="1">+U364:Y1019VLOOKUP(RiskRegister[[#This Row],[Residual Impact Level]],'Rating factors'!$F$4:$G$9,2,FALSE)</f>
        <v>#NAME?</v>
      </c>
      <c r="V364" s="16" t="s">
        <v>79</v>
      </c>
      <c r="W364" s="17" t="str">
        <f>VLOOKUP(RiskRegister[[#This Row],[Residual Likelihood Level]],'Rating factors'!$F$16:$G$21,2,FALSE)</f>
        <v>--- Error ---</v>
      </c>
      <c r="X364" s="17" t="str">
        <f ca="1">IFERROR(VLOOKUP(RiskRegister[[#This Row],[Residual Risk Rating]],'Rating factors'!$F$30:$G$44,2,FALSE),"-- Error --")</f>
        <v>-- Error --</v>
      </c>
      <c r="Y364" s="17" t="str">
        <f ca="1">IFERROR(RiskRegister[[#This Row],[Residual Impact Rating]]*RiskRegister[[#This Row],[Residual Likelihood Rating]],"-- Error --")</f>
        <v>-- Error --</v>
      </c>
      <c r="Z364" s="16" t="s">
        <v>100</v>
      </c>
      <c r="AB364" s="39"/>
      <c r="AD364" s="20"/>
    </row>
    <row r="365" spans="1:30" s="16" customFormat="1" hidden="1" x14ac:dyDescent="0.25">
      <c r="A365" s="16">
        <v>362</v>
      </c>
      <c r="G365" s="16" t="s">
        <v>77</v>
      </c>
      <c r="I365" s="16" t="s">
        <v>75</v>
      </c>
      <c r="L365" s="105" t="s">
        <v>99</v>
      </c>
      <c r="M365" s="17" t="str">
        <f>VLOOKUP(RiskRegister[[#This Row],[Inherent Impact LevelL3:L1020D1007L3:L1019]],'Rating factors'!$F$4:$G$9,2,FALSE)</f>
        <v>--- Error ---</v>
      </c>
      <c r="N365" s="16" t="s">
        <v>79</v>
      </c>
      <c r="O365" s="17" t="str">
        <f>VLOOKUP(RiskRegister[[#This Row],[Inherent Likelihood Level]],'Rating factors'!$F$16:$G$21,2,FALSE)</f>
        <v>--- Error ---</v>
      </c>
      <c r="P365" s="17" t="str">
        <f>IFERROR(VLOOKUP(RiskRegister[[#This Row],[Inherent Risk Rating]],'Rating factors'!$F$30:$G$44,2,FALSE),"-- Error --")</f>
        <v>-- Error --</v>
      </c>
      <c r="Q365" s="17" t="str">
        <f>IFERROR(RiskRegister[[#This Row],[Inherent Impact Rating]]*RiskRegister[[#This Row],[Inherent Likelihood Rating]],"-- Error --")</f>
        <v>-- Error --</v>
      </c>
      <c r="R365" s="16" t="s">
        <v>98</v>
      </c>
      <c r="T365" s="16" t="s">
        <v>99</v>
      </c>
      <c r="U365" s="17" t="e" cm="1">
        <f t="array" aca="1" ref="U365" ca="1">+U365:Y1019VLOOKUP(RiskRegister[[#This Row],[Residual Impact Level]],'Rating factors'!$F$4:$G$9,2,FALSE)</f>
        <v>#NAME?</v>
      </c>
      <c r="V365" s="16" t="s">
        <v>79</v>
      </c>
      <c r="W365" s="17" t="str">
        <f>VLOOKUP(RiskRegister[[#This Row],[Residual Likelihood Level]],'Rating factors'!$F$16:$G$21,2,FALSE)</f>
        <v>--- Error ---</v>
      </c>
      <c r="X365" s="17" t="str">
        <f ca="1">IFERROR(VLOOKUP(RiskRegister[[#This Row],[Residual Risk Rating]],'Rating factors'!$F$30:$G$44,2,FALSE),"-- Error --")</f>
        <v>-- Error --</v>
      </c>
      <c r="Y365" s="17" t="str">
        <f ca="1">IFERROR(RiskRegister[[#This Row],[Residual Impact Rating]]*RiskRegister[[#This Row],[Residual Likelihood Rating]],"-- Error --")</f>
        <v>-- Error --</v>
      </c>
      <c r="Z365" s="16" t="s">
        <v>100</v>
      </c>
      <c r="AB365" s="39"/>
      <c r="AD365" s="20"/>
    </row>
    <row r="366" spans="1:30" s="16" customFormat="1" hidden="1" x14ac:dyDescent="0.25">
      <c r="A366" s="16">
        <v>363</v>
      </c>
      <c r="G366" s="16" t="s">
        <v>77</v>
      </c>
      <c r="I366" s="16" t="s">
        <v>75</v>
      </c>
      <c r="L366" s="105" t="s">
        <v>99</v>
      </c>
      <c r="M366" s="17" t="str">
        <f>VLOOKUP(RiskRegister[[#This Row],[Inherent Impact LevelL3:L1020D1007L3:L1019]],'Rating factors'!$F$4:$G$9,2,FALSE)</f>
        <v>--- Error ---</v>
      </c>
      <c r="N366" s="16" t="s">
        <v>79</v>
      </c>
      <c r="O366" s="17" t="str">
        <f>VLOOKUP(RiskRegister[[#This Row],[Inherent Likelihood Level]],'Rating factors'!$F$16:$G$21,2,FALSE)</f>
        <v>--- Error ---</v>
      </c>
      <c r="P366" s="17" t="str">
        <f>IFERROR(VLOOKUP(RiskRegister[[#This Row],[Inherent Risk Rating]],'Rating factors'!$F$30:$G$44,2,FALSE),"-- Error --")</f>
        <v>-- Error --</v>
      </c>
      <c r="Q366" s="17" t="str">
        <f>IFERROR(RiskRegister[[#This Row],[Inherent Impact Rating]]*RiskRegister[[#This Row],[Inherent Likelihood Rating]],"-- Error --")</f>
        <v>-- Error --</v>
      </c>
      <c r="R366" s="16" t="s">
        <v>98</v>
      </c>
      <c r="T366" s="16" t="s">
        <v>99</v>
      </c>
      <c r="U366" s="17" t="e" cm="1">
        <f t="array" aca="1" ref="U366" ca="1">+U366:Y1019VLOOKUP(RiskRegister[[#This Row],[Residual Impact Level]],'Rating factors'!$F$4:$G$9,2,FALSE)</f>
        <v>#NAME?</v>
      </c>
      <c r="V366" s="16" t="s">
        <v>79</v>
      </c>
      <c r="W366" s="17" t="str">
        <f>VLOOKUP(RiskRegister[[#This Row],[Residual Likelihood Level]],'Rating factors'!$F$16:$G$21,2,FALSE)</f>
        <v>--- Error ---</v>
      </c>
      <c r="X366" s="17" t="str">
        <f ca="1">IFERROR(VLOOKUP(RiskRegister[[#This Row],[Residual Risk Rating]],'Rating factors'!$F$30:$G$44,2,FALSE),"-- Error --")</f>
        <v>-- Error --</v>
      </c>
      <c r="Y366" s="17" t="str">
        <f ca="1">IFERROR(RiskRegister[[#This Row],[Residual Impact Rating]]*RiskRegister[[#This Row],[Residual Likelihood Rating]],"-- Error --")</f>
        <v>-- Error --</v>
      </c>
      <c r="Z366" s="16" t="s">
        <v>100</v>
      </c>
      <c r="AB366" s="39"/>
      <c r="AD366" s="20"/>
    </row>
    <row r="367" spans="1:30" s="16" customFormat="1" hidden="1" x14ac:dyDescent="0.25">
      <c r="A367" s="16">
        <v>364</v>
      </c>
      <c r="G367" s="16" t="s">
        <v>77</v>
      </c>
      <c r="I367" s="16" t="s">
        <v>75</v>
      </c>
      <c r="L367" s="105" t="s">
        <v>99</v>
      </c>
      <c r="M367" s="17" t="str">
        <f>VLOOKUP(RiskRegister[[#This Row],[Inherent Impact LevelL3:L1020D1007L3:L1019]],'Rating factors'!$F$4:$G$9,2,FALSE)</f>
        <v>--- Error ---</v>
      </c>
      <c r="N367" s="16" t="s">
        <v>79</v>
      </c>
      <c r="O367" s="17" t="str">
        <f>VLOOKUP(RiskRegister[[#This Row],[Inherent Likelihood Level]],'Rating factors'!$F$16:$G$21,2,FALSE)</f>
        <v>--- Error ---</v>
      </c>
      <c r="P367" s="17" t="str">
        <f>IFERROR(VLOOKUP(RiskRegister[[#This Row],[Inherent Risk Rating]],'Rating factors'!$F$30:$G$44,2,FALSE),"-- Error --")</f>
        <v>-- Error --</v>
      </c>
      <c r="Q367" s="17" t="str">
        <f>IFERROR(RiskRegister[[#This Row],[Inherent Impact Rating]]*RiskRegister[[#This Row],[Inherent Likelihood Rating]],"-- Error --")</f>
        <v>-- Error --</v>
      </c>
      <c r="R367" s="16" t="s">
        <v>98</v>
      </c>
      <c r="T367" s="16" t="s">
        <v>99</v>
      </c>
      <c r="U367" s="17" t="e" cm="1">
        <f t="array" aca="1" ref="U367" ca="1">+U367:Y1019VLOOKUP(RiskRegister[[#This Row],[Residual Impact Level]],'Rating factors'!$F$4:$G$9,2,FALSE)</f>
        <v>#NAME?</v>
      </c>
      <c r="V367" s="16" t="s">
        <v>79</v>
      </c>
      <c r="W367" s="17" t="str">
        <f>VLOOKUP(RiskRegister[[#This Row],[Residual Likelihood Level]],'Rating factors'!$F$16:$G$21,2,FALSE)</f>
        <v>--- Error ---</v>
      </c>
      <c r="X367" s="17" t="str">
        <f ca="1">IFERROR(VLOOKUP(RiskRegister[[#This Row],[Residual Risk Rating]],'Rating factors'!$F$30:$G$44,2,FALSE),"-- Error --")</f>
        <v>-- Error --</v>
      </c>
      <c r="Y367" s="17" t="str">
        <f ca="1">IFERROR(RiskRegister[[#This Row],[Residual Impact Rating]]*RiskRegister[[#This Row],[Residual Likelihood Rating]],"-- Error --")</f>
        <v>-- Error --</v>
      </c>
      <c r="Z367" s="16" t="s">
        <v>100</v>
      </c>
      <c r="AB367" s="39"/>
      <c r="AD367" s="20"/>
    </row>
    <row r="368" spans="1:30" s="16" customFormat="1" hidden="1" x14ac:dyDescent="0.25">
      <c r="A368" s="16">
        <v>365</v>
      </c>
      <c r="G368" s="16" t="s">
        <v>77</v>
      </c>
      <c r="I368" s="16" t="s">
        <v>75</v>
      </c>
      <c r="L368" s="105" t="s">
        <v>99</v>
      </c>
      <c r="M368" s="17" t="str">
        <f>VLOOKUP(RiskRegister[[#This Row],[Inherent Impact LevelL3:L1020D1007L3:L1019]],'Rating factors'!$F$4:$G$9,2,FALSE)</f>
        <v>--- Error ---</v>
      </c>
      <c r="N368" s="16" t="s">
        <v>79</v>
      </c>
      <c r="O368" s="17" t="str">
        <f>VLOOKUP(RiskRegister[[#This Row],[Inherent Likelihood Level]],'Rating factors'!$F$16:$G$21,2,FALSE)</f>
        <v>--- Error ---</v>
      </c>
      <c r="P368" s="17" t="str">
        <f>IFERROR(VLOOKUP(RiskRegister[[#This Row],[Inherent Risk Rating]],'Rating factors'!$F$30:$G$44,2,FALSE),"-- Error --")</f>
        <v>-- Error --</v>
      </c>
      <c r="Q368" s="17" t="str">
        <f>IFERROR(RiskRegister[[#This Row],[Inherent Impact Rating]]*RiskRegister[[#This Row],[Inherent Likelihood Rating]],"-- Error --")</f>
        <v>-- Error --</v>
      </c>
      <c r="R368" s="16" t="s">
        <v>98</v>
      </c>
      <c r="T368" s="16" t="s">
        <v>99</v>
      </c>
      <c r="U368" s="17" t="e" cm="1">
        <f t="array" aca="1" ref="U368" ca="1">+U368:Y1019VLOOKUP(RiskRegister[[#This Row],[Residual Impact Level]],'Rating factors'!$F$4:$G$9,2,FALSE)</f>
        <v>#NAME?</v>
      </c>
      <c r="V368" s="16" t="s">
        <v>79</v>
      </c>
      <c r="W368" s="17" t="str">
        <f>VLOOKUP(RiskRegister[[#This Row],[Residual Likelihood Level]],'Rating factors'!$F$16:$G$21,2,FALSE)</f>
        <v>--- Error ---</v>
      </c>
      <c r="X368" s="17" t="str">
        <f ca="1">IFERROR(VLOOKUP(RiskRegister[[#This Row],[Residual Risk Rating]],'Rating factors'!$F$30:$G$44,2,FALSE),"-- Error --")</f>
        <v>-- Error --</v>
      </c>
      <c r="Y368" s="17" t="str">
        <f ca="1">IFERROR(RiskRegister[[#This Row],[Residual Impact Rating]]*RiskRegister[[#This Row],[Residual Likelihood Rating]],"-- Error --")</f>
        <v>-- Error --</v>
      </c>
      <c r="Z368" s="16" t="s">
        <v>100</v>
      </c>
      <c r="AB368" s="39"/>
      <c r="AD368" s="20"/>
    </row>
    <row r="369" spans="1:30" s="16" customFormat="1" hidden="1" x14ac:dyDescent="0.25">
      <c r="A369" s="16">
        <v>366</v>
      </c>
      <c r="G369" s="16" t="s">
        <v>77</v>
      </c>
      <c r="I369" s="16" t="s">
        <v>75</v>
      </c>
      <c r="L369" s="105" t="s">
        <v>99</v>
      </c>
      <c r="M369" s="17" t="str">
        <f>VLOOKUP(RiskRegister[[#This Row],[Inherent Impact LevelL3:L1020D1007L3:L1019]],'Rating factors'!$F$4:$G$9,2,FALSE)</f>
        <v>--- Error ---</v>
      </c>
      <c r="N369" s="16" t="s">
        <v>79</v>
      </c>
      <c r="O369" s="17" t="str">
        <f>VLOOKUP(RiskRegister[[#This Row],[Inherent Likelihood Level]],'Rating factors'!$F$16:$G$21,2,FALSE)</f>
        <v>--- Error ---</v>
      </c>
      <c r="P369" s="17" t="str">
        <f>IFERROR(VLOOKUP(RiskRegister[[#This Row],[Inherent Risk Rating]],'Rating factors'!$F$30:$G$44,2,FALSE),"-- Error --")</f>
        <v>-- Error --</v>
      </c>
      <c r="Q369" s="17" t="str">
        <f>IFERROR(RiskRegister[[#This Row],[Inherent Impact Rating]]*RiskRegister[[#This Row],[Inherent Likelihood Rating]],"-- Error --")</f>
        <v>-- Error --</v>
      </c>
      <c r="R369" s="16" t="s">
        <v>98</v>
      </c>
      <c r="T369" s="16" t="s">
        <v>99</v>
      </c>
      <c r="U369" s="17" t="e" cm="1">
        <f t="array" aca="1" ref="U369" ca="1">+U369:Y1019VLOOKUP(RiskRegister[[#This Row],[Residual Impact Level]],'Rating factors'!$F$4:$G$9,2,FALSE)</f>
        <v>#NAME?</v>
      </c>
      <c r="V369" s="16" t="s">
        <v>79</v>
      </c>
      <c r="W369" s="17" t="str">
        <f>VLOOKUP(RiskRegister[[#This Row],[Residual Likelihood Level]],'Rating factors'!$F$16:$G$21,2,FALSE)</f>
        <v>--- Error ---</v>
      </c>
      <c r="X369" s="17" t="str">
        <f ca="1">IFERROR(VLOOKUP(RiskRegister[[#This Row],[Residual Risk Rating]],'Rating factors'!$F$30:$G$44,2,FALSE),"-- Error --")</f>
        <v>-- Error --</v>
      </c>
      <c r="Y369" s="17" t="str">
        <f ca="1">IFERROR(RiskRegister[[#This Row],[Residual Impact Rating]]*RiskRegister[[#This Row],[Residual Likelihood Rating]],"-- Error --")</f>
        <v>-- Error --</v>
      </c>
      <c r="Z369" s="16" t="s">
        <v>100</v>
      </c>
      <c r="AB369" s="39"/>
      <c r="AD369" s="20"/>
    </row>
    <row r="370" spans="1:30" s="16" customFormat="1" hidden="1" x14ac:dyDescent="0.25">
      <c r="A370" s="16">
        <v>367</v>
      </c>
      <c r="G370" s="16" t="s">
        <v>77</v>
      </c>
      <c r="I370" s="16" t="s">
        <v>75</v>
      </c>
      <c r="L370" s="105" t="s">
        <v>99</v>
      </c>
      <c r="M370" s="17" t="str">
        <f>VLOOKUP(RiskRegister[[#This Row],[Inherent Impact LevelL3:L1020D1007L3:L1019]],'Rating factors'!$F$4:$G$9,2,FALSE)</f>
        <v>--- Error ---</v>
      </c>
      <c r="N370" s="16" t="s">
        <v>79</v>
      </c>
      <c r="O370" s="17" t="str">
        <f>VLOOKUP(RiskRegister[[#This Row],[Inherent Likelihood Level]],'Rating factors'!$F$16:$G$21,2,FALSE)</f>
        <v>--- Error ---</v>
      </c>
      <c r="P370" s="17" t="str">
        <f>IFERROR(VLOOKUP(RiskRegister[[#This Row],[Inherent Risk Rating]],'Rating factors'!$F$30:$G$44,2,FALSE),"-- Error --")</f>
        <v>-- Error --</v>
      </c>
      <c r="Q370" s="17" t="str">
        <f>IFERROR(RiskRegister[[#This Row],[Inherent Impact Rating]]*RiskRegister[[#This Row],[Inherent Likelihood Rating]],"-- Error --")</f>
        <v>-- Error --</v>
      </c>
      <c r="R370" s="16" t="s">
        <v>98</v>
      </c>
      <c r="T370" s="16" t="s">
        <v>99</v>
      </c>
      <c r="U370" s="17" t="e" cm="1">
        <f t="array" aca="1" ref="U370" ca="1">+U370:Y1019VLOOKUP(RiskRegister[[#This Row],[Residual Impact Level]],'Rating factors'!$F$4:$G$9,2,FALSE)</f>
        <v>#NAME?</v>
      </c>
      <c r="V370" s="16" t="s">
        <v>79</v>
      </c>
      <c r="W370" s="17" t="str">
        <f>VLOOKUP(RiskRegister[[#This Row],[Residual Likelihood Level]],'Rating factors'!$F$16:$G$21,2,FALSE)</f>
        <v>--- Error ---</v>
      </c>
      <c r="X370" s="17" t="str">
        <f ca="1">IFERROR(VLOOKUP(RiskRegister[[#This Row],[Residual Risk Rating]],'Rating factors'!$F$30:$G$44,2,FALSE),"-- Error --")</f>
        <v>-- Error --</v>
      </c>
      <c r="Y370" s="17" t="str">
        <f ca="1">IFERROR(RiskRegister[[#This Row],[Residual Impact Rating]]*RiskRegister[[#This Row],[Residual Likelihood Rating]],"-- Error --")</f>
        <v>-- Error --</v>
      </c>
      <c r="Z370" s="16" t="s">
        <v>100</v>
      </c>
      <c r="AB370" s="39"/>
      <c r="AD370" s="20"/>
    </row>
    <row r="371" spans="1:30" s="16" customFormat="1" hidden="1" x14ac:dyDescent="0.25">
      <c r="A371" s="16">
        <v>368</v>
      </c>
      <c r="G371" s="16" t="s">
        <v>77</v>
      </c>
      <c r="I371" s="16" t="s">
        <v>75</v>
      </c>
      <c r="L371" s="105" t="s">
        <v>99</v>
      </c>
      <c r="M371" s="17" t="str">
        <f>VLOOKUP(RiskRegister[[#This Row],[Inherent Impact LevelL3:L1020D1007L3:L1019]],'Rating factors'!$F$4:$G$9,2,FALSE)</f>
        <v>--- Error ---</v>
      </c>
      <c r="N371" s="16" t="s">
        <v>79</v>
      </c>
      <c r="O371" s="17" t="str">
        <f>VLOOKUP(RiskRegister[[#This Row],[Inherent Likelihood Level]],'Rating factors'!$F$16:$G$21,2,FALSE)</f>
        <v>--- Error ---</v>
      </c>
      <c r="P371" s="17" t="str">
        <f>IFERROR(VLOOKUP(RiskRegister[[#This Row],[Inherent Risk Rating]],'Rating factors'!$F$30:$G$44,2,FALSE),"-- Error --")</f>
        <v>-- Error --</v>
      </c>
      <c r="Q371" s="17" t="str">
        <f>IFERROR(RiskRegister[[#This Row],[Inherent Impact Rating]]*RiskRegister[[#This Row],[Inherent Likelihood Rating]],"-- Error --")</f>
        <v>-- Error --</v>
      </c>
      <c r="R371" s="16" t="s">
        <v>98</v>
      </c>
      <c r="T371" s="16" t="s">
        <v>99</v>
      </c>
      <c r="U371" s="17" t="e" cm="1">
        <f t="array" aca="1" ref="U371" ca="1">+U371:Y1019VLOOKUP(RiskRegister[[#This Row],[Residual Impact Level]],'Rating factors'!$F$4:$G$9,2,FALSE)</f>
        <v>#NAME?</v>
      </c>
      <c r="V371" s="16" t="s">
        <v>79</v>
      </c>
      <c r="W371" s="17" t="str">
        <f>VLOOKUP(RiskRegister[[#This Row],[Residual Likelihood Level]],'Rating factors'!$F$16:$G$21,2,FALSE)</f>
        <v>--- Error ---</v>
      </c>
      <c r="X371" s="17" t="str">
        <f ca="1">IFERROR(VLOOKUP(RiskRegister[[#This Row],[Residual Risk Rating]],'Rating factors'!$F$30:$G$44,2,FALSE),"-- Error --")</f>
        <v>-- Error --</v>
      </c>
      <c r="Y371" s="17" t="str">
        <f ca="1">IFERROR(RiskRegister[[#This Row],[Residual Impact Rating]]*RiskRegister[[#This Row],[Residual Likelihood Rating]],"-- Error --")</f>
        <v>-- Error --</v>
      </c>
      <c r="Z371" s="16" t="s">
        <v>100</v>
      </c>
      <c r="AB371" s="39"/>
      <c r="AD371" s="20"/>
    </row>
    <row r="372" spans="1:30" s="16" customFormat="1" hidden="1" x14ac:dyDescent="0.25">
      <c r="A372" s="16">
        <v>369</v>
      </c>
      <c r="G372" s="16" t="s">
        <v>77</v>
      </c>
      <c r="I372" s="16" t="s">
        <v>75</v>
      </c>
      <c r="L372" s="105" t="s">
        <v>99</v>
      </c>
      <c r="M372" s="17" t="str">
        <f>VLOOKUP(RiskRegister[[#This Row],[Inherent Impact LevelL3:L1020D1007L3:L1019]],'Rating factors'!$F$4:$G$9,2,FALSE)</f>
        <v>--- Error ---</v>
      </c>
      <c r="N372" s="16" t="s">
        <v>79</v>
      </c>
      <c r="O372" s="17" t="str">
        <f>VLOOKUP(RiskRegister[[#This Row],[Inherent Likelihood Level]],'Rating factors'!$F$16:$G$21,2,FALSE)</f>
        <v>--- Error ---</v>
      </c>
      <c r="P372" s="17" t="str">
        <f>IFERROR(VLOOKUP(RiskRegister[[#This Row],[Inherent Risk Rating]],'Rating factors'!$F$30:$G$44,2,FALSE),"-- Error --")</f>
        <v>-- Error --</v>
      </c>
      <c r="Q372" s="17" t="str">
        <f>IFERROR(RiskRegister[[#This Row],[Inherent Impact Rating]]*RiskRegister[[#This Row],[Inherent Likelihood Rating]],"-- Error --")</f>
        <v>-- Error --</v>
      </c>
      <c r="R372" s="16" t="s">
        <v>98</v>
      </c>
      <c r="T372" s="16" t="s">
        <v>99</v>
      </c>
      <c r="U372" s="17" t="e" cm="1">
        <f t="array" aca="1" ref="U372" ca="1">+U372:Y1019VLOOKUP(RiskRegister[[#This Row],[Residual Impact Level]],'Rating factors'!$F$4:$G$9,2,FALSE)</f>
        <v>#NAME?</v>
      </c>
      <c r="V372" s="16" t="s">
        <v>79</v>
      </c>
      <c r="W372" s="17" t="str">
        <f>VLOOKUP(RiskRegister[[#This Row],[Residual Likelihood Level]],'Rating factors'!$F$16:$G$21,2,FALSE)</f>
        <v>--- Error ---</v>
      </c>
      <c r="X372" s="17" t="str">
        <f ca="1">IFERROR(VLOOKUP(RiskRegister[[#This Row],[Residual Risk Rating]],'Rating factors'!$F$30:$G$44,2,FALSE),"-- Error --")</f>
        <v>-- Error --</v>
      </c>
      <c r="Y372" s="17" t="str">
        <f ca="1">IFERROR(RiskRegister[[#This Row],[Residual Impact Rating]]*RiskRegister[[#This Row],[Residual Likelihood Rating]],"-- Error --")</f>
        <v>-- Error --</v>
      </c>
      <c r="Z372" s="16" t="s">
        <v>100</v>
      </c>
      <c r="AB372" s="39"/>
      <c r="AD372" s="20"/>
    </row>
    <row r="373" spans="1:30" s="16" customFormat="1" hidden="1" x14ac:dyDescent="0.25">
      <c r="A373" s="16">
        <v>370</v>
      </c>
      <c r="G373" s="16" t="s">
        <v>77</v>
      </c>
      <c r="I373" s="16" t="s">
        <v>75</v>
      </c>
      <c r="L373" s="105" t="s">
        <v>99</v>
      </c>
      <c r="M373" s="17" t="str">
        <f>VLOOKUP(RiskRegister[[#This Row],[Inherent Impact LevelL3:L1020D1007L3:L1019]],'Rating factors'!$F$4:$G$9,2,FALSE)</f>
        <v>--- Error ---</v>
      </c>
      <c r="N373" s="16" t="s">
        <v>79</v>
      </c>
      <c r="O373" s="17" t="str">
        <f>VLOOKUP(RiskRegister[[#This Row],[Inherent Likelihood Level]],'Rating factors'!$F$16:$G$21,2,FALSE)</f>
        <v>--- Error ---</v>
      </c>
      <c r="P373" s="17" t="str">
        <f>IFERROR(VLOOKUP(RiskRegister[[#This Row],[Inherent Risk Rating]],'Rating factors'!$F$30:$G$44,2,FALSE),"-- Error --")</f>
        <v>-- Error --</v>
      </c>
      <c r="Q373" s="17" t="str">
        <f>IFERROR(RiskRegister[[#This Row],[Inherent Impact Rating]]*RiskRegister[[#This Row],[Inherent Likelihood Rating]],"-- Error --")</f>
        <v>-- Error --</v>
      </c>
      <c r="R373" s="16" t="s">
        <v>98</v>
      </c>
      <c r="T373" s="16" t="s">
        <v>99</v>
      </c>
      <c r="U373" s="17" t="e" cm="1">
        <f t="array" aca="1" ref="U373" ca="1">+U373:Y1019VLOOKUP(RiskRegister[[#This Row],[Residual Impact Level]],'Rating factors'!$F$4:$G$9,2,FALSE)</f>
        <v>#NAME?</v>
      </c>
      <c r="V373" s="16" t="s">
        <v>79</v>
      </c>
      <c r="W373" s="17" t="str">
        <f>VLOOKUP(RiskRegister[[#This Row],[Residual Likelihood Level]],'Rating factors'!$F$16:$G$21,2,FALSE)</f>
        <v>--- Error ---</v>
      </c>
      <c r="X373" s="17" t="str">
        <f ca="1">IFERROR(VLOOKUP(RiskRegister[[#This Row],[Residual Risk Rating]],'Rating factors'!$F$30:$G$44,2,FALSE),"-- Error --")</f>
        <v>-- Error --</v>
      </c>
      <c r="Y373" s="17" t="str">
        <f ca="1">IFERROR(RiskRegister[[#This Row],[Residual Impact Rating]]*RiskRegister[[#This Row],[Residual Likelihood Rating]],"-- Error --")</f>
        <v>-- Error --</v>
      </c>
      <c r="Z373" s="16" t="s">
        <v>100</v>
      </c>
      <c r="AB373" s="39"/>
      <c r="AD373" s="20"/>
    </row>
    <row r="374" spans="1:30" s="16" customFormat="1" hidden="1" x14ac:dyDescent="0.25">
      <c r="A374" s="16">
        <v>371</v>
      </c>
      <c r="G374" s="16" t="s">
        <v>77</v>
      </c>
      <c r="I374" s="16" t="s">
        <v>75</v>
      </c>
      <c r="L374" s="105" t="s">
        <v>99</v>
      </c>
      <c r="M374" s="17" t="str">
        <f>VLOOKUP(RiskRegister[[#This Row],[Inherent Impact LevelL3:L1020D1007L3:L1019]],'Rating factors'!$F$4:$G$9,2,FALSE)</f>
        <v>--- Error ---</v>
      </c>
      <c r="N374" s="16" t="s">
        <v>79</v>
      </c>
      <c r="O374" s="17" t="str">
        <f>VLOOKUP(RiskRegister[[#This Row],[Inherent Likelihood Level]],'Rating factors'!$F$16:$G$21,2,FALSE)</f>
        <v>--- Error ---</v>
      </c>
      <c r="P374" s="17" t="str">
        <f>IFERROR(VLOOKUP(RiskRegister[[#This Row],[Inherent Risk Rating]],'Rating factors'!$F$30:$G$44,2,FALSE),"-- Error --")</f>
        <v>-- Error --</v>
      </c>
      <c r="Q374" s="17" t="str">
        <f>IFERROR(RiskRegister[[#This Row],[Inherent Impact Rating]]*RiskRegister[[#This Row],[Inherent Likelihood Rating]],"-- Error --")</f>
        <v>-- Error --</v>
      </c>
      <c r="R374" s="16" t="s">
        <v>98</v>
      </c>
      <c r="T374" s="16" t="s">
        <v>99</v>
      </c>
      <c r="U374" s="17" t="e" cm="1">
        <f t="array" aca="1" ref="U374" ca="1">+U374:Y1019VLOOKUP(RiskRegister[[#This Row],[Residual Impact Level]],'Rating factors'!$F$4:$G$9,2,FALSE)</f>
        <v>#NAME?</v>
      </c>
      <c r="V374" s="16" t="s">
        <v>79</v>
      </c>
      <c r="W374" s="17" t="str">
        <f>VLOOKUP(RiskRegister[[#This Row],[Residual Likelihood Level]],'Rating factors'!$F$16:$G$21,2,FALSE)</f>
        <v>--- Error ---</v>
      </c>
      <c r="X374" s="17" t="str">
        <f ca="1">IFERROR(VLOOKUP(RiskRegister[[#This Row],[Residual Risk Rating]],'Rating factors'!$F$30:$G$44,2,FALSE),"-- Error --")</f>
        <v>-- Error --</v>
      </c>
      <c r="Y374" s="17" t="str">
        <f ca="1">IFERROR(RiskRegister[[#This Row],[Residual Impact Rating]]*RiskRegister[[#This Row],[Residual Likelihood Rating]],"-- Error --")</f>
        <v>-- Error --</v>
      </c>
      <c r="Z374" s="16" t="s">
        <v>100</v>
      </c>
      <c r="AB374" s="39"/>
      <c r="AD374" s="20"/>
    </row>
    <row r="375" spans="1:30" s="16" customFormat="1" hidden="1" x14ac:dyDescent="0.25">
      <c r="A375" s="16">
        <v>372</v>
      </c>
      <c r="G375" s="16" t="s">
        <v>77</v>
      </c>
      <c r="I375" s="16" t="s">
        <v>75</v>
      </c>
      <c r="L375" s="105" t="s">
        <v>99</v>
      </c>
      <c r="M375" s="17" t="str">
        <f>VLOOKUP(RiskRegister[[#This Row],[Inherent Impact LevelL3:L1020D1007L3:L1019]],'Rating factors'!$F$4:$G$9,2,FALSE)</f>
        <v>--- Error ---</v>
      </c>
      <c r="N375" s="16" t="s">
        <v>79</v>
      </c>
      <c r="O375" s="17" t="str">
        <f>VLOOKUP(RiskRegister[[#This Row],[Inherent Likelihood Level]],'Rating factors'!$F$16:$G$21,2,FALSE)</f>
        <v>--- Error ---</v>
      </c>
      <c r="P375" s="17" t="str">
        <f>IFERROR(VLOOKUP(RiskRegister[[#This Row],[Inherent Risk Rating]],'Rating factors'!$F$30:$G$44,2,FALSE),"-- Error --")</f>
        <v>-- Error --</v>
      </c>
      <c r="Q375" s="17" t="str">
        <f>IFERROR(RiskRegister[[#This Row],[Inherent Impact Rating]]*RiskRegister[[#This Row],[Inherent Likelihood Rating]],"-- Error --")</f>
        <v>-- Error --</v>
      </c>
      <c r="R375" s="16" t="s">
        <v>98</v>
      </c>
      <c r="T375" s="16" t="s">
        <v>99</v>
      </c>
      <c r="U375" s="17" t="e" cm="1">
        <f t="array" aca="1" ref="U375" ca="1">+U375:Y1019VLOOKUP(RiskRegister[[#This Row],[Residual Impact Level]],'Rating factors'!$F$4:$G$9,2,FALSE)</f>
        <v>#NAME?</v>
      </c>
      <c r="V375" s="16" t="s">
        <v>79</v>
      </c>
      <c r="W375" s="17" t="str">
        <f>VLOOKUP(RiskRegister[[#This Row],[Residual Likelihood Level]],'Rating factors'!$F$16:$G$21,2,FALSE)</f>
        <v>--- Error ---</v>
      </c>
      <c r="X375" s="17" t="str">
        <f ca="1">IFERROR(VLOOKUP(RiskRegister[[#This Row],[Residual Risk Rating]],'Rating factors'!$F$30:$G$44,2,FALSE),"-- Error --")</f>
        <v>-- Error --</v>
      </c>
      <c r="Y375" s="17" t="str">
        <f ca="1">IFERROR(RiskRegister[[#This Row],[Residual Impact Rating]]*RiskRegister[[#This Row],[Residual Likelihood Rating]],"-- Error --")</f>
        <v>-- Error --</v>
      </c>
      <c r="Z375" s="16" t="s">
        <v>100</v>
      </c>
      <c r="AB375" s="39"/>
      <c r="AD375" s="20"/>
    </row>
    <row r="376" spans="1:30" s="16" customFormat="1" hidden="1" x14ac:dyDescent="0.25">
      <c r="A376" s="16">
        <v>373</v>
      </c>
      <c r="G376" s="16" t="s">
        <v>77</v>
      </c>
      <c r="I376" s="16" t="s">
        <v>75</v>
      </c>
      <c r="L376" s="105" t="s">
        <v>99</v>
      </c>
      <c r="M376" s="17" t="str">
        <f>VLOOKUP(RiskRegister[[#This Row],[Inherent Impact LevelL3:L1020D1007L3:L1019]],'Rating factors'!$F$4:$G$9,2,FALSE)</f>
        <v>--- Error ---</v>
      </c>
      <c r="N376" s="16" t="s">
        <v>79</v>
      </c>
      <c r="O376" s="17" t="str">
        <f>VLOOKUP(RiskRegister[[#This Row],[Inherent Likelihood Level]],'Rating factors'!$F$16:$G$21,2,FALSE)</f>
        <v>--- Error ---</v>
      </c>
      <c r="P376" s="17" t="str">
        <f>IFERROR(VLOOKUP(RiskRegister[[#This Row],[Inherent Risk Rating]],'Rating factors'!$F$30:$G$44,2,FALSE),"-- Error --")</f>
        <v>-- Error --</v>
      </c>
      <c r="Q376" s="17" t="str">
        <f>IFERROR(RiskRegister[[#This Row],[Inherent Impact Rating]]*RiskRegister[[#This Row],[Inherent Likelihood Rating]],"-- Error --")</f>
        <v>-- Error --</v>
      </c>
      <c r="R376" s="16" t="s">
        <v>98</v>
      </c>
      <c r="T376" s="16" t="s">
        <v>99</v>
      </c>
      <c r="U376" s="17" t="e" cm="1">
        <f t="array" aca="1" ref="U376" ca="1">+U376:Y1019VLOOKUP(RiskRegister[[#This Row],[Residual Impact Level]],'Rating factors'!$F$4:$G$9,2,FALSE)</f>
        <v>#NAME?</v>
      </c>
      <c r="V376" s="16" t="s">
        <v>79</v>
      </c>
      <c r="W376" s="17" t="str">
        <f>VLOOKUP(RiskRegister[[#This Row],[Residual Likelihood Level]],'Rating factors'!$F$16:$G$21,2,FALSE)</f>
        <v>--- Error ---</v>
      </c>
      <c r="X376" s="17" t="str">
        <f ca="1">IFERROR(VLOOKUP(RiskRegister[[#This Row],[Residual Risk Rating]],'Rating factors'!$F$30:$G$44,2,FALSE),"-- Error --")</f>
        <v>-- Error --</v>
      </c>
      <c r="Y376" s="17" t="str">
        <f ca="1">IFERROR(RiskRegister[[#This Row],[Residual Impact Rating]]*RiskRegister[[#This Row],[Residual Likelihood Rating]],"-- Error --")</f>
        <v>-- Error --</v>
      </c>
      <c r="Z376" s="16" t="s">
        <v>100</v>
      </c>
      <c r="AB376" s="39"/>
      <c r="AD376" s="20"/>
    </row>
    <row r="377" spans="1:30" s="16" customFormat="1" hidden="1" x14ac:dyDescent="0.25">
      <c r="A377" s="16">
        <v>374</v>
      </c>
      <c r="G377" s="16" t="s">
        <v>77</v>
      </c>
      <c r="I377" s="16" t="s">
        <v>75</v>
      </c>
      <c r="L377" s="105" t="s">
        <v>99</v>
      </c>
      <c r="M377" s="17" t="str">
        <f>VLOOKUP(RiskRegister[[#This Row],[Inherent Impact LevelL3:L1020D1007L3:L1019]],'Rating factors'!$F$4:$G$9,2,FALSE)</f>
        <v>--- Error ---</v>
      </c>
      <c r="N377" s="16" t="s">
        <v>79</v>
      </c>
      <c r="O377" s="17" t="str">
        <f>VLOOKUP(RiskRegister[[#This Row],[Inherent Likelihood Level]],'Rating factors'!$F$16:$G$21,2,FALSE)</f>
        <v>--- Error ---</v>
      </c>
      <c r="P377" s="17" t="str">
        <f>IFERROR(VLOOKUP(RiskRegister[[#This Row],[Inherent Risk Rating]],'Rating factors'!$F$30:$G$44,2,FALSE),"-- Error --")</f>
        <v>-- Error --</v>
      </c>
      <c r="Q377" s="17" t="str">
        <f>IFERROR(RiskRegister[[#This Row],[Inherent Impact Rating]]*RiskRegister[[#This Row],[Inherent Likelihood Rating]],"-- Error --")</f>
        <v>-- Error --</v>
      </c>
      <c r="R377" s="16" t="s">
        <v>98</v>
      </c>
      <c r="T377" s="16" t="s">
        <v>99</v>
      </c>
      <c r="U377" s="17" t="e" cm="1">
        <f t="array" aca="1" ref="U377" ca="1">+U377:Y1019VLOOKUP(RiskRegister[[#This Row],[Residual Impact Level]],'Rating factors'!$F$4:$G$9,2,FALSE)</f>
        <v>#NAME?</v>
      </c>
      <c r="V377" s="16" t="s">
        <v>79</v>
      </c>
      <c r="W377" s="17" t="str">
        <f>VLOOKUP(RiskRegister[[#This Row],[Residual Likelihood Level]],'Rating factors'!$F$16:$G$21,2,FALSE)</f>
        <v>--- Error ---</v>
      </c>
      <c r="X377" s="17" t="str">
        <f ca="1">IFERROR(VLOOKUP(RiskRegister[[#This Row],[Residual Risk Rating]],'Rating factors'!$F$30:$G$44,2,FALSE),"-- Error --")</f>
        <v>-- Error --</v>
      </c>
      <c r="Y377" s="17" t="str">
        <f ca="1">IFERROR(RiskRegister[[#This Row],[Residual Impact Rating]]*RiskRegister[[#This Row],[Residual Likelihood Rating]],"-- Error --")</f>
        <v>-- Error --</v>
      </c>
      <c r="Z377" s="16" t="s">
        <v>100</v>
      </c>
      <c r="AB377" s="39"/>
      <c r="AD377" s="20"/>
    </row>
    <row r="378" spans="1:30" s="16" customFormat="1" hidden="1" x14ac:dyDescent="0.25">
      <c r="A378" s="16">
        <v>375</v>
      </c>
      <c r="G378" s="16" t="s">
        <v>77</v>
      </c>
      <c r="I378" s="16" t="s">
        <v>75</v>
      </c>
      <c r="L378" s="105" t="s">
        <v>99</v>
      </c>
      <c r="M378" s="17" t="str">
        <f>VLOOKUP(RiskRegister[[#This Row],[Inherent Impact LevelL3:L1020D1007L3:L1019]],'Rating factors'!$F$4:$G$9,2,FALSE)</f>
        <v>--- Error ---</v>
      </c>
      <c r="N378" s="16" t="s">
        <v>79</v>
      </c>
      <c r="O378" s="17" t="str">
        <f>VLOOKUP(RiskRegister[[#This Row],[Inherent Likelihood Level]],'Rating factors'!$F$16:$G$21,2,FALSE)</f>
        <v>--- Error ---</v>
      </c>
      <c r="P378" s="17" t="str">
        <f>IFERROR(VLOOKUP(RiskRegister[[#This Row],[Inherent Risk Rating]],'Rating factors'!$F$30:$G$44,2,FALSE),"-- Error --")</f>
        <v>-- Error --</v>
      </c>
      <c r="Q378" s="17" t="str">
        <f>IFERROR(RiskRegister[[#This Row],[Inherent Impact Rating]]*RiskRegister[[#This Row],[Inherent Likelihood Rating]],"-- Error --")</f>
        <v>-- Error --</v>
      </c>
      <c r="R378" s="16" t="s">
        <v>98</v>
      </c>
      <c r="T378" s="16" t="s">
        <v>99</v>
      </c>
      <c r="U378" s="17" t="e" cm="1">
        <f t="array" aca="1" ref="U378" ca="1">+U378:Y1019VLOOKUP(RiskRegister[[#This Row],[Residual Impact Level]],'Rating factors'!$F$4:$G$9,2,FALSE)</f>
        <v>#NAME?</v>
      </c>
      <c r="V378" s="16" t="s">
        <v>79</v>
      </c>
      <c r="W378" s="17" t="str">
        <f>VLOOKUP(RiskRegister[[#This Row],[Residual Likelihood Level]],'Rating factors'!$F$16:$G$21,2,FALSE)</f>
        <v>--- Error ---</v>
      </c>
      <c r="X378" s="17" t="str">
        <f ca="1">IFERROR(VLOOKUP(RiskRegister[[#This Row],[Residual Risk Rating]],'Rating factors'!$F$30:$G$44,2,FALSE),"-- Error --")</f>
        <v>-- Error --</v>
      </c>
      <c r="Y378" s="17" t="str">
        <f ca="1">IFERROR(RiskRegister[[#This Row],[Residual Impact Rating]]*RiskRegister[[#This Row],[Residual Likelihood Rating]],"-- Error --")</f>
        <v>-- Error --</v>
      </c>
      <c r="Z378" s="16" t="s">
        <v>100</v>
      </c>
      <c r="AB378" s="39"/>
      <c r="AD378" s="20"/>
    </row>
    <row r="379" spans="1:30" s="16" customFormat="1" hidden="1" x14ac:dyDescent="0.25">
      <c r="A379" s="16">
        <v>376</v>
      </c>
      <c r="G379" s="16" t="s">
        <v>77</v>
      </c>
      <c r="I379" s="16" t="s">
        <v>75</v>
      </c>
      <c r="L379" s="105" t="s">
        <v>99</v>
      </c>
      <c r="M379" s="17" t="str">
        <f>VLOOKUP(RiskRegister[[#This Row],[Inherent Impact LevelL3:L1020D1007L3:L1019]],'Rating factors'!$F$4:$G$9,2,FALSE)</f>
        <v>--- Error ---</v>
      </c>
      <c r="N379" s="16" t="s">
        <v>79</v>
      </c>
      <c r="O379" s="17" t="str">
        <f>VLOOKUP(RiskRegister[[#This Row],[Inherent Likelihood Level]],'Rating factors'!$F$16:$G$21,2,FALSE)</f>
        <v>--- Error ---</v>
      </c>
      <c r="P379" s="17" t="str">
        <f>IFERROR(VLOOKUP(RiskRegister[[#This Row],[Inherent Risk Rating]],'Rating factors'!$F$30:$G$44,2,FALSE),"-- Error --")</f>
        <v>-- Error --</v>
      </c>
      <c r="Q379" s="17" t="str">
        <f>IFERROR(RiskRegister[[#This Row],[Inherent Impact Rating]]*RiskRegister[[#This Row],[Inherent Likelihood Rating]],"-- Error --")</f>
        <v>-- Error --</v>
      </c>
      <c r="R379" s="16" t="s">
        <v>98</v>
      </c>
      <c r="T379" s="16" t="s">
        <v>99</v>
      </c>
      <c r="U379" s="17" t="e" cm="1">
        <f t="array" aca="1" ref="U379" ca="1">+U379:Y1019VLOOKUP(RiskRegister[[#This Row],[Residual Impact Level]],'Rating factors'!$F$4:$G$9,2,FALSE)</f>
        <v>#NAME?</v>
      </c>
      <c r="V379" s="16" t="s">
        <v>79</v>
      </c>
      <c r="W379" s="17" t="str">
        <f>VLOOKUP(RiskRegister[[#This Row],[Residual Likelihood Level]],'Rating factors'!$F$16:$G$21,2,FALSE)</f>
        <v>--- Error ---</v>
      </c>
      <c r="X379" s="17" t="str">
        <f ca="1">IFERROR(VLOOKUP(RiskRegister[[#This Row],[Residual Risk Rating]],'Rating factors'!$F$30:$G$44,2,FALSE),"-- Error --")</f>
        <v>-- Error --</v>
      </c>
      <c r="Y379" s="17" t="str">
        <f ca="1">IFERROR(RiskRegister[[#This Row],[Residual Impact Rating]]*RiskRegister[[#This Row],[Residual Likelihood Rating]],"-- Error --")</f>
        <v>-- Error --</v>
      </c>
      <c r="Z379" s="16" t="s">
        <v>100</v>
      </c>
      <c r="AB379" s="39"/>
      <c r="AD379" s="20"/>
    </row>
    <row r="380" spans="1:30" s="16" customFormat="1" hidden="1" x14ac:dyDescent="0.25">
      <c r="A380" s="16">
        <v>377</v>
      </c>
      <c r="G380" s="16" t="s">
        <v>77</v>
      </c>
      <c r="I380" s="16" t="s">
        <v>75</v>
      </c>
      <c r="L380" s="105" t="s">
        <v>99</v>
      </c>
      <c r="M380" s="17" t="str">
        <f>VLOOKUP(RiskRegister[[#This Row],[Inherent Impact LevelL3:L1020D1007L3:L1019]],'Rating factors'!$F$4:$G$9,2,FALSE)</f>
        <v>--- Error ---</v>
      </c>
      <c r="N380" s="16" t="s">
        <v>79</v>
      </c>
      <c r="O380" s="17" t="str">
        <f>VLOOKUP(RiskRegister[[#This Row],[Inherent Likelihood Level]],'Rating factors'!$F$16:$G$21,2,FALSE)</f>
        <v>--- Error ---</v>
      </c>
      <c r="P380" s="17" t="str">
        <f>IFERROR(VLOOKUP(RiskRegister[[#This Row],[Inherent Risk Rating]],'Rating factors'!$F$30:$G$44,2,FALSE),"-- Error --")</f>
        <v>-- Error --</v>
      </c>
      <c r="Q380" s="17" t="str">
        <f>IFERROR(RiskRegister[[#This Row],[Inherent Impact Rating]]*RiskRegister[[#This Row],[Inherent Likelihood Rating]],"-- Error --")</f>
        <v>-- Error --</v>
      </c>
      <c r="R380" s="16" t="s">
        <v>98</v>
      </c>
      <c r="T380" s="16" t="s">
        <v>99</v>
      </c>
      <c r="U380" s="17" t="e" cm="1">
        <f t="array" aca="1" ref="U380" ca="1">+U380:Y1019VLOOKUP(RiskRegister[[#This Row],[Residual Impact Level]],'Rating factors'!$F$4:$G$9,2,FALSE)</f>
        <v>#NAME?</v>
      </c>
      <c r="V380" s="16" t="s">
        <v>79</v>
      </c>
      <c r="W380" s="17" t="str">
        <f>VLOOKUP(RiskRegister[[#This Row],[Residual Likelihood Level]],'Rating factors'!$F$16:$G$21,2,FALSE)</f>
        <v>--- Error ---</v>
      </c>
      <c r="X380" s="17" t="str">
        <f ca="1">IFERROR(VLOOKUP(RiskRegister[[#This Row],[Residual Risk Rating]],'Rating factors'!$F$30:$G$44,2,FALSE),"-- Error --")</f>
        <v>-- Error --</v>
      </c>
      <c r="Y380" s="17" t="str">
        <f ca="1">IFERROR(RiskRegister[[#This Row],[Residual Impact Rating]]*RiskRegister[[#This Row],[Residual Likelihood Rating]],"-- Error --")</f>
        <v>-- Error --</v>
      </c>
      <c r="Z380" s="16" t="s">
        <v>100</v>
      </c>
      <c r="AB380" s="39"/>
      <c r="AD380" s="20"/>
    </row>
    <row r="381" spans="1:30" s="16" customFormat="1" hidden="1" x14ac:dyDescent="0.25">
      <c r="A381" s="16">
        <v>378</v>
      </c>
      <c r="G381" s="16" t="s">
        <v>77</v>
      </c>
      <c r="I381" s="16" t="s">
        <v>75</v>
      </c>
      <c r="L381" s="105" t="s">
        <v>99</v>
      </c>
      <c r="M381" s="17" t="str">
        <f>VLOOKUP(RiskRegister[[#This Row],[Inherent Impact LevelL3:L1020D1007L3:L1019]],'Rating factors'!$F$4:$G$9,2,FALSE)</f>
        <v>--- Error ---</v>
      </c>
      <c r="N381" s="16" t="s">
        <v>79</v>
      </c>
      <c r="O381" s="17" t="str">
        <f>VLOOKUP(RiskRegister[[#This Row],[Inherent Likelihood Level]],'Rating factors'!$F$16:$G$21,2,FALSE)</f>
        <v>--- Error ---</v>
      </c>
      <c r="P381" s="17" t="str">
        <f>IFERROR(VLOOKUP(RiskRegister[[#This Row],[Inherent Risk Rating]],'Rating factors'!$F$30:$G$44,2,FALSE),"-- Error --")</f>
        <v>-- Error --</v>
      </c>
      <c r="Q381" s="17" t="str">
        <f>IFERROR(RiskRegister[[#This Row],[Inherent Impact Rating]]*RiskRegister[[#This Row],[Inherent Likelihood Rating]],"-- Error --")</f>
        <v>-- Error --</v>
      </c>
      <c r="R381" s="16" t="s">
        <v>98</v>
      </c>
      <c r="T381" s="16" t="s">
        <v>99</v>
      </c>
      <c r="U381" s="17" t="e" cm="1">
        <f t="array" aca="1" ref="U381" ca="1">+U381:Y1019VLOOKUP(RiskRegister[[#This Row],[Residual Impact Level]],'Rating factors'!$F$4:$G$9,2,FALSE)</f>
        <v>#NAME?</v>
      </c>
      <c r="V381" s="16" t="s">
        <v>79</v>
      </c>
      <c r="W381" s="17" t="str">
        <f>VLOOKUP(RiskRegister[[#This Row],[Residual Likelihood Level]],'Rating factors'!$F$16:$G$21,2,FALSE)</f>
        <v>--- Error ---</v>
      </c>
      <c r="X381" s="17" t="str">
        <f ca="1">IFERROR(VLOOKUP(RiskRegister[[#This Row],[Residual Risk Rating]],'Rating factors'!$F$30:$G$44,2,FALSE),"-- Error --")</f>
        <v>-- Error --</v>
      </c>
      <c r="Y381" s="17" t="str">
        <f ca="1">IFERROR(RiskRegister[[#This Row],[Residual Impact Rating]]*RiskRegister[[#This Row],[Residual Likelihood Rating]],"-- Error --")</f>
        <v>-- Error --</v>
      </c>
      <c r="Z381" s="16" t="s">
        <v>100</v>
      </c>
      <c r="AB381" s="39"/>
      <c r="AD381" s="20"/>
    </row>
    <row r="382" spans="1:30" s="16" customFormat="1" hidden="1" x14ac:dyDescent="0.25">
      <c r="A382" s="16">
        <v>379</v>
      </c>
      <c r="G382" s="16" t="s">
        <v>77</v>
      </c>
      <c r="I382" s="16" t="s">
        <v>75</v>
      </c>
      <c r="L382" s="105" t="s">
        <v>99</v>
      </c>
      <c r="M382" s="17" t="str">
        <f>VLOOKUP(RiskRegister[[#This Row],[Inherent Impact LevelL3:L1020D1007L3:L1019]],'Rating factors'!$F$4:$G$9,2,FALSE)</f>
        <v>--- Error ---</v>
      </c>
      <c r="N382" s="16" t="s">
        <v>79</v>
      </c>
      <c r="O382" s="17" t="str">
        <f>VLOOKUP(RiskRegister[[#This Row],[Inherent Likelihood Level]],'Rating factors'!$F$16:$G$21,2,FALSE)</f>
        <v>--- Error ---</v>
      </c>
      <c r="P382" s="17" t="str">
        <f>IFERROR(VLOOKUP(RiskRegister[[#This Row],[Inherent Risk Rating]],'Rating factors'!$F$30:$G$44,2,FALSE),"-- Error --")</f>
        <v>-- Error --</v>
      </c>
      <c r="Q382" s="17" t="str">
        <f>IFERROR(RiskRegister[[#This Row],[Inherent Impact Rating]]*RiskRegister[[#This Row],[Inherent Likelihood Rating]],"-- Error --")</f>
        <v>-- Error --</v>
      </c>
      <c r="R382" s="16" t="s">
        <v>98</v>
      </c>
      <c r="T382" s="16" t="s">
        <v>99</v>
      </c>
      <c r="U382" s="17" t="e" cm="1">
        <f t="array" aca="1" ref="U382" ca="1">+U382:Y1019VLOOKUP(RiskRegister[[#This Row],[Residual Impact Level]],'Rating factors'!$F$4:$G$9,2,FALSE)</f>
        <v>#NAME?</v>
      </c>
      <c r="V382" s="16" t="s">
        <v>79</v>
      </c>
      <c r="W382" s="17" t="str">
        <f>VLOOKUP(RiskRegister[[#This Row],[Residual Likelihood Level]],'Rating factors'!$F$16:$G$21,2,FALSE)</f>
        <v>--- Error ---</v>
      </c>
      <c r="X382" s="17" t="str">
        <f ca="1">IFERROR(VLOOKUP(RiskRegister[[#This Row],[Residual Risk Rating]],'Rating factors'!$F$30:$G$44,2,FALSE),"-- Error --")</f>
        <v>-- Error --</v>
      </c>
      <c r="Y382" s="17" t="str">
        <f ca="1">IFERROR(RiskRegister[[#This Row],[Residual Impact Rating]]*RiskRegister[[#This Row],[Residual Likelihood Rating]],"-- Error --")</f>
        <v>-- Error --</v>
      </c>
      <c r="Z382" s="16" t="s">
        <v>100</v>
      </c>
      <c r="AB382" s="39"/>
      <c r="AD382" s="20"/>
    </row>
    <row r="383" spans="1:30" s="16" customFormat="1" hidden="1" x14ac:dyDescent="0.25">
      <c r="A383" s="16">
        <v>380</v>
      </c>
      <c r="G383" s="16" t="s">
        <v>77</v>
      </c>
      <c r="I383" s="16" t="s">
        <v>75</v>
      </c>
      <c r="L383" s="105" t="s">
        <v>99</v>
      </c>
      <c r="M383" s="17" t="str">
        <f>VLOOKUP(RiskRegister[[#This Row],[Inherent Impact LevelL3:L1020D1007L3:L1019]],'Rating factors'!$F$4:$G$9,2,FALSE)</f>
        <v>--- Error ---</v>
      </c>
      <c r="N383" s="16" t="s">
        <v>79</v>
      </c>
      <c r="O383" s="17" t="str">
        <f>VLOOKUP(RiskRegister[[#This Row],[Inherent Likelihood Level]],'Rating factors'!$F$16:$G$21,2,FALSE)</f>
        <v>--- Error ---</v>
      </c>
      <c r="P383" s="17" t="str">
        <f>IFERROR(VLOOKUP(RiskRegister[[#This Row],[Inherent Risk Rating]],'Rating factors'!$F$30:$G$44,2,FALSE),"-- Error --")</f>
        <v>-- Error --</v>
      </c>
      <c r="Q383" s="17" t="str">
        <f>IFERROR(RiskRegister[[#This Row],[Inherent Impact Rating]]*RiskRegister[[#This Row],[Inherent Likelihood Rating]],"-- Error --")</f>
        <v>-- Error --</v>
      </c>
      <c r="R383" s="16" t="s">
        <v>98</v>
      </c>
      <c r="T383" s="16" t="s">
        <v>99</v>
      </c>
      <c r="U383" s="17" t="e" cm="1">
        <f t="array" aca="1" ref="U383" ca="1">+U383:Y1019VLOOKUP(RiskRegister[[#This Row],[Residual Impact Level]],'Rating factors'!$F$4:$G$9,2,FALSE)</f>
        <v>#NAME?</v>
      </c>
      <c r="V383" s="16" t="s">
        <v>79</v>
      </c>
      <c r="W383" s="17" t="str">
        <f>VLOOKUP(RiskRegister[[#This Row],[Residual Likelihood Level]],'Rating factors'!$F$16:$G$21,2,FALSE)</f>
        <v>--- Error ---</v>
      </c>
      <c r="X383" s="17" t="str">
        <f ca="1">IFERROR(VLOOKUP(RiskRegister[[#This Row],[Residual Risk Rating]],'Rating factors'!$F$30:$G$44,2,FALSE),"-- Error --")</f>
        <v>-- Error --</v>
      </c>
      <c r="Y383" s="17" t="str">
        <f ca="1">IFERROR(RiskRegister[[#This Row],[Residual Impact Rating]]*RiskRegister[[#This Row],[Residual Likelihood Rating]],"-- Error --")</f>
        <v>-- Error --</v>
      </c>
      <c r="Z383" s="16" t="s">
        <v>100</v>
      </c>
      <c r="AB383" s="39"/>
      <c r="AD383" s="20"/>
    </row>
    <row r="384" spans="1:30" s="16" customFormat="1" hidden="1" x14ac:dyDescent="0.25">
      <c r="A384" s="16">
        <v>381</v>
      </c>
      <c r="G384" s="16" t="s">
        <v>77</v>
      </c>
      <c r="I384" s="16" t="s">
        <v>75</v>
      </c>
      <c r="L384" s="105" t="s">
        <v>99</v>
      </c>
      <c r="M384" s="17" t="str">
        <f>VLOOKUP(RiskRegister[[#This Row],[Inherent Impact LevelL3:L1020D1007L3:L1019]],'Rating factors'!$F$4:$G$9,2,FALSE)</f>
        <v>--- Error ---</v>
      </c>
      <c r="N384" s="16" t="s">
        <v>79</v>
      </c>
      <c r="O384" s="17" t="str">
        <f>VLOOKUP(RiskRegister[[#This Row],[Inherent Likelihood Level]],'Rating factors'!$F$16:$G$21,2,FALSE)</f>
        <v>--- Error ---</v>
      </c>
      <c r="P384" s="17" t="str">
        <f>IFERROR(VLOOKUP(RiskRegister[[#This Row],[Inherent Risk Rating]],'Rating factors'!$F$30:$G$44,2,FALSE),"-- Error --")</f>
        <v>-- Error --</v>
      </c>
      <c r="Q384" s="17" t="str">
        <f>IFERROR(RiskRegister[[#This Row],[Inherent Impact Rating]]*RiskRegister[[#This Row],[Inherent Likelihood Rating]],"-- Error --")</f>
        <v>-- Error --</v>
      </c>
      <c r="R384" s="16" t="s">
        <v>98</v>
      </c>
      <c r="T384" s="16" t="s">
        <v>99</v>
      </c>
      <c r="U384" s="17" t="e" cm="1">
        <f t="array" aca="1" ref="U384" ca="1">+U384:Y1019VLOOKUP(RiskRegister[[#This Row],[Residual Impact Level]],'Rating factors'!$F$4:$G$9,2,FALSE)</f>
        <v>#NAME?</v>
      </c>
      <c r="V384" s="16" t="s">
        <v>79</v>
      </c>
      <c r="W384" s="17" t="str">
        <f>VLOOKUP(RiskRegister[[#This Row],[Residual Likelihood Level]],'Rating factors'!$F$16:$G$21,2,FALSE)</f>
        <v>--- Error ---</v>
      </c>
      <c r="X384" s="17" t="str">
        <f ca="1">IFERROR(VLOOKUP(RiskRegister[[#This Row],[Residual Risk Rating]],'Rating factors'!$F$30:$G$44,2,FALSE),"-- Error --")</f>
        <v>-- Error --</v>
      </c>
      <c r="Y384" s="17" t="str">
        <f ca="1">IFERROR(RiskRegister[[#This Row],[Residual Impact Rating]]*RiskRegister[[#This Row],[Residual Likelihood Rating]],"-- Error --")</f>
        <v>-- Error --</v>
      </c>
      <c r="Z384" s="16" t="s">
        <v>100</v>
      </c>
      <c r="AB384" s="39"/>
      <c r="AD384" s="20"/>
    </row>
    <row r="385" spans="1:30" s="16" customFormat="1" hidden="1" x14ac:dyDescent="0.25">
      <c r="A385" s="16">
        <v>382</v>
      </c>
      <c r="G385" s="16" t="s">
        <v>77</v>
      </c>
      <c r="I385" s="16" t="s">
        <v>75</v>
      </c>
      <c r="L385" s="105" t="s">
        <v>99</v>
      </c>
      <c r="M385" s="17" t="str">
        <f>VLOOKUP(RiskRegister[[#This Row],[Inherent Impact LevelL3:L1020D1007L3:L1019]],'Rating factors'!$F$4:$G$9,2,FALSE)</f>
        <v>--- Error ---</v>
      </c>
      <c r="N385" s="16" t="s">
        <v>79</v>
      </c>
      <c r="O385" s="17" t="str">
        <f>VLOOKUP(RiskRegister[[#This Row],[Inherent Likelihood Level]],'Rating factors'!$F$16:$G$21,2,FALSE)</f>
        <v>--- Error ---</v>
      </c>
      <c r="P385" s="17" t="str">
        <f>IFERROR(VLOOKUP(RiskRegister[[#This Row],[Inherent Risk Rating]],'Rating factors'!$F$30:$G$44,2,FALSE),"-- Error --")</f>
        <v>-- Error --</v>
      </c>
      <c r="Q385" s="17" t="str">
        <f>IFERROR(RiskRegister[[#This Row],[Inherent Impact Rating]]*RiskRegister[[#This Row],[Inherent Likelihood Rating]],"-- Error --")</f>
        <v>-- Error --</v>
      </c>
      <c r="R385" s="16" t="s">
        <v>98</v>
      </c>
      <c r="T385" s="16" t="s">
        <v>99</v>
      </c>
      <c r="U385" s="17" t="e" cm="1">
        <f t="array" aca="1" ref="U385" ca="1">+U385:Y1019VLOOKUP(RiskRegister[[#This Row],[Residual Impact Level]],'Rating factors'!$F$4:$G$9,2,FALSE)</f>
        <v>#NAME?</v>
      </c>
      <c r="V385" s="16" t="s">
        <v>79</v>
      </c>
      <c r="W385" s="17" t="str">
        <f>VLOOKUP(RiskRegister[[#This Row],[Residual Likelihood Level]],'Rating factors'!$F$16:$G$21,2,FALSE)</f>
        <v>--- Error ---</v>
      </c>
      <c r="X385" s="17" t="str">
        <f ca="1">IFERROR(VLOOKUP(RiskRegister[[#This Row],[Residual Risk Rating]],'Rating factors'!$F$30:$G$44,2,FALSE),"-- Error --")</f>
        <v>-- Error --</v>
      </c>
      <c r="Y385" s="17" t="str">
        <f ca="1">IFERROR(RiskRegister[[#This Row],[Residual Impact Rating]]*RiskRegister[[#This Row],[Residual Likelihood Rating]],"-- Error --")</f>
        <v>-- Error --</v>
      </c>
      <c r="Z385" s="16" t="s">
        <v>100</v>
      </c>
      <c r="AB385" s="39"/>
      <c r="AD385" s="20"/>
    </row>
    <row r="386" spans="1:30" s="16" customFormat="1" hidden="1" x14ac:dyDescent="0.25">
      <c r="A386" s="16">
        <v>383</v>
      </c>
      <c r="G386" s="16" t="s">
        <v>77</v>
      </c>
      <c r="I386" s="16" t="s">
        <v>75</v>
      </c>
      <c r="L386" s="105" t="s">
        <v>99</v>
      </c>
      <c r="M386" s="17" t="str">
        <f>VLOOKUP(RiskRegister[[#This Row],[Inherent Impact LevelL3:L1020D1007L3:L1019]],'Rating factors'!$F$4:$G$9,2,FALSE)</f>
        <v>--- Error ---</v>
      </c>
      <c r="N386" s="16" t="s">
        <v>79</v>
      </c>
      <c r="O386" s="17" t="str">
        <f>VLOOKUP(RiskRegister[[#This Row],[Inherent Likelihood Level]],'Rating factors'!$F$16:$G$21,2,FALSE)</f>
        <v>--- Error ---</v>
      </c>
      <c r="P386" s="17" t="str">
        <f>IFERROR(VLOOKUP(RiskRegister[[#This Row],[Inherent Risk Rating]],'Rating factors'!$F$30:$G$44,2,FALSE),"-- Error --")</f>
        <v>-- Error --</v>
      </c>
      <c r="Q386" s="17" t="str">
        <f>IFERROR(RiskRegister[[#This Row],[Inherent Impact Rating]]*RiskRegister[[#This Row],[Inherent Likelihood Rating]],"-- Error --")</f>
        <v>-- Error --</v>
      </c>
      <c r="R386" s="16" t="s">
        <v>98</v>
      </c>
      <c r="T386" s="16" t="s">
        <v>99</v>
      </c>
      <c r="U386" s="17" t="e" cm="1">
        <f t="array" aca="1" ref="U386" ca="1">+U386:Y1019VLOOKUP(RiskRegister[[#This Row],[Residual Impact Level]],'Rating factors'!$F$4:$G$9,2,FALSE)</f>
        <v>#NAME?</v>
      </c>
      <c r="V386" s="16" t="s">
        <v>79</v>
      </c>
      <c r="W386" s="17" t="str">
        <f>VLOOKUP(RiskRegister[[#This Row],[Residual Likelihood Level]],'Rating factors'!$F$16:$G$21,2,FALSE)</f>
        <v>--- Error ---</v>
      </c>
      <c r="X386" s="17" t="str">
        <f ca="1">IFERROR(VLOOKUP(RiskRegister[[#This Row],[Residual Risk Rating]],'Rating factors'!$F$30:$G$44,2,FALSE),"-- Error --")</f>
        <v>-- Error --</v>
      </c>
      <c r="Y386" s="17" t="str">
        <f ca="1">IFERROR(RiskRegister[[#This Row],[Residual Impact Rating]]*RiskRegister[[#This Row],[Residual Likelihood Rating]],"-- Error --")</f>
        <v>-- Error --</v>
      </c>
      <c r="Z386" s="16" t="s">
        <v>100</v>
      </c>
      <c r="AB386" s="39"/>
      <c r="AD386" s="20"/>
    </row>
    <row r="387" spans="1:30" s="16" customFormat="1" hidden="1" x14ac:dyDescent="0.25">
      <c r="A387" s="16">
        <v>384</v>
      </c>
      <c r="G387" s="16" t="s">
        <v>77</v>
      </c>
      <c r="I387" s="16" t="s">
        <v>75</v>
      </c>
      <c r="L387" s="105" t="s">
        <v>99</v>
      </c>
      <c r="M387" s="17" t="str">
        <f>VLOOKUP(RiskRegister[[#This Row],[Inherent Impact LevelL3:L1020D1007L3:L1019]],'Rating factors'!$F$4:$G$9,2,FALSE)</f>
        <v>--- Error ---</v>
      </c>
      <c r="N387" s="16" t="s">
        <v>79</v>
      </c>
      <c r="O387" s="17" t="str">
        <f>VLOOKUP(RiskRegister[[#This Row],[Inherent Likelihood Level]],'Rating factors'!$F$16:$G$21,2,FALSE)</f>
        <v>--- Error ---</v>
      </c>
      <c r="P387" s="17" t="str">
        <f>IFERROR(VLOOKUP(RiskRegister[[#This Row],[Inherent Risk Rating]],'Rating factors'!$F$30:$G$44,2,FALSE),"-- Error --")</f>
        <v>-- Error --</v>
      </c>
      <c r="Q387" s="17" t="str">
        <f>IFERROR(RiskRegister[[#This Row],[Inherent Impact Rating]]*RiskRegister[[#This Row],[Inherent Likelihood Rating]],"-- Error --")</f>
        <v>-- Error --</v>
      </c>
      <c r="R387" s="16" t="s">
        <v>98</v>
      </c>
      <c r="T387" s="16" t="s">
        <v>99</v>
      </c>
      <c r="U387" s="17" t="e" cm="1">
        <f t="array" aca="1" ref="U387" ca="1">+U387:Y1019VLOOKUP(RiskRegister[[#This Row],[Residual Impact Level]],'Rating factors'!$F$4:$G$9,2,FALSE)</f>
        <v>#NAME?</v>
      </c>
      <c r="V387" s="16" t="s">
        <v>79</v>
      </c>
      <c r="W387" s="17" t="str">
        <f>VLOOKUP(RiskRegister[[#This Row],[Residual Likelihood Level]],'Rating factors'!$F$16:$G$21,2,FALSE)</f>
        <v>--- Error ---</v>
      </c>
      <c r="X387" s="17" t="str">
        <f ca="1">IFERROR(VLOOKUP(RiskRegister[[#This Row],[Residual Risk Rating]],'Rating factors'!$F$30:$G$44,2,FALSE),"-- Error --")</f>
        <v>-- Error --</v>
      </c>
      <c r="Y387" s="17" t="str">
        <f ca="1">IFERROR(RiskRegister[[#This Row],[Residual Impact Rating]]*RiskRegister[[#This Row],[Residual Likelihood Rating]],"-- Error --")</f>
        <v>-- Error --</v>
      </c>
      <c r="Z387" s="16" t="s">
        <v>100</v>
      </c>
      <c r="AB387" s="39"/>
      <c r="AD387" s="20"/>
    </row>
    <row r="388" spans="1:30" s="16" customFormat="1" hidden="1" x14ac:dyDescent="0.25">
      <c r="A388" s="16">
        <v>385</v>
      </c>
      <c r="G388" s="16" t="s">
        <v>77</v>
      </c>
      <c r="I388" s="16" t="s">
        <v>75</v>
      </c>
      <c r="L388" s="105" t="s">
        <v>99</v>
      </c>
      <c r="M388" s="17" t="str">
        <f>VLOOKUP(RiskRegister[[#This Row],[Inherent Impact LevelL3:L1020D1007L3:L1019]],'Rating factors'!$F$4:$G$9,2,FALSE)</f>
        <v>--- Error ---</v>
      </c>
      <c r="N388" s="16" t="s">
        <v>79</v>
      </c>
      <c r="O388" s="17" t="str">
        <f>VLOOKUP(RiskRegister[[#This Row],[Inherent Likelihood Level]],'Rating factors'!$F$16:$G$21,2,FALSE)</f>
        <v>--- Error ---</v>
      </c>
      <c r="P388" s="17" t="str">
        <f>IFERROR(VLOOKUP(RiskRegister[[#This Row],[Inherent Risk Rating]],'Rating factors'!$F$30:$G$44,2,FALSE),"-- Error --")</f>
        <v>-- Error --</v>
      </c>
      <c r="Q388" s="17" t="str">
        <f>IFERROR(RiskRegister[[#This Row],[Inherent Impact Rating]]*RiskRegister[[#This Row],[Inherent Likelihood Rating]],"-- Error --")</f>
        <v>-- Error --</v>
      </c>
      <c r="R388" s="16" t="s">
        <v>98</v>
      </c>
      <c r="T388" s="16" t="s">
        <v>99</v>
      </c>
      <c r="U388" s="17" t="e" cm="1">
        <f t="array" aca="1" ref="U388" ca="1">+U388:Y1019VLOOKUP(RiskRegister[[#This Row],[Residual Impact Level]],'Rating factors'!$F$4:$G$9,2,FALSE)</f>
        <v>#NAME?</v>
      </c>
      <c r="V388" s="16" t="s">
        <v>79</v>
      </c>
      <c r="W388" s="17" t="str">
        <f>VLOOKUP(RiskRegister[[#This Row],[Residual Likelihood Level]],'Rating factors'!$F$16:$G$21,2,FALSE)</f>
        <v>--- Error ---</v>
      </c>
      <c r="X388" s="17" t="str">
        <f ca="1">IFERROR(VLOOKUP(RiskRegister[[#This Row],[Residual Risk Rating]],'Rating factors'!$F$30:$G$44,2,FALSE),"-- Error --")</f>
        <v>-- Error --</v>
      </c>
      <c r="Y388" s="17" t="str">
        <f ca="1">IFERROR(RiskRegister[[#This Row],[Residual Impact Rating]]*RiskRegister[[#This Row],[Residual Likelihood Rating]],"-- Error --")</f>
        <v>-- Error --</v>
      </c>
      <c r="Z388" s="16" t="s">
        <v>100</v>
      </c>
      <c r="AB388" s="39"/>
      <c r="AD388" s="20"/>
    </row>
    <row r="389" spans="1:30" s="16" customFormat="1" hidden="1" x14ac:dyDescent="0.25">
      <c r="A389" s="16">
        <v>386</v>
      </c>
      <c r="G389" s="16" t="s">
        <v>77</v>
      </c>
      <c r="I389" s="16" t="s">
        <v>75</v>
      </c>
      <c r="L389" s="105" t="s">
        <v>99</v>
      </c>
      <c r="M389" s="17" t="str">
        <f>VLOOKUP(RiskRegister[[#This Row],[Inherent Impact LevelL3:L1020D1007L3:L1019]],'Rating factors'!$F$4:$G$9,2,FALSE)</f>
        <v>--- Error ---</v>
      </c>
      <c r="N389" s="16" t="s">
        <v>79</v>
      </c>
      <c r="O389" s="17" t="str">
        <f>VLOOKUP(RiskRegister[[#This Row],[Inherent Likelihood Level]],'Rating factors'!$F$16:$G$21,2,FALSE)</f>
        <v>--- Error ---</v>
      </c>
      <c r="P389" s="17" t="str">
        <f>IFERROR(VLOOKUP(RiskRegister[[#This Row],[Inherent Risk Rating]],'Rating factors'!$F$30:$G$44,2,FALSE),"-- Error --")</f>
        <v>-- Error --</v>
      </c>
      <c r="Q389" s="17" t="str">
        <f>IFERROR(RiskRegister[[#This Row],[Inherent Impact Rating]]*RiskRegister[[#This Row],[Inherent Likelihood Rating]],"-- Error --")</f>
        <v>-- Error --</v>
      </c>
      <c r="R389" s="16" t="s">
        <v>98</v>
      </c>
      <c r="T389" s="16" t="s">
        <v>99</v>
      </c>
      <c r="U389" s="17" t="e" cm="1">
        <f t="array" aca="1" ref="U389" ca="1">+U389:Y1019VLOOKUP(RiskRegister[[#This Row],[Residual Impact Level]],'Rating factors'!$F$4:$G$9,2,FALSE)</f>
        <v>#NAME?</v>
      </c>
      <c r="V389" s="16" t="s">
        <v>79</v>
      </c>
      <c r="W389" s="17" t="str">
        <f>VLOOKUP(RiskRegister[[#This Row],[Residual Likelihood Level]],'Rating factors'!$F$16:$G$21,2,FALSE)</f>
        <v>--- Error ---</v>
      </c>
      <c r="X389" s="17" t="str">
        <f ca="1">IFERROR(VLOOKUP(RiskRegister[[#This Row],[Residual Risk Rating]],'Rating factors'!$F$30:$G$44,2,FALSE),"-- Error --")</f>
        <v>-- Error --</v>
      </c>
      <c r="Y389" s="17" t="str">
        <f ca="1">IFERROR(RiskRegister[[#This Row],[Residual Impact Rating]]*RiskRegister[[#This Row],[Residual Likelihood Rating]],"-- Error --")</f>
        <v>-- Error --</v>
      </c>
      <c r="Z389" s="16" t="s">
        <v>100</v>
      </c>
      <c r="AB389" s="39"/>
      <c r="AD389" s="20"/>
    </row>
    <row r="390" spans="1:30" s="16" customFormat="1" hidden="1" x14ac:dyDescent="0.25">
      <c r="A390" s="16">
        <v>387</v>
      </c>
      <c r="G390" s="16" t="s">
        <v>77</v>
      </c>
      <c r="I390" s="16" t="s">
        <v>75</v>
      </c>
      <c r="L390" s="105" t="s">
        <v>99</v>
      </c>
      <c r="M390" s="17" t="str">
        <f>VLOOKUP(RiskRegister[[#This Row],[Inherent Impact LevelL3:L1020D1007L3:L1019]],'Rating factors'!$F$4:$G$9,2,FALSE)</f>
        <v>--- Error ---</v>
      </c>
      <c r="N390" s="16" t="s">
        <v>79</v>
      </c>
      <c r="O390" s="17" t="str">
        <f>VLOOKUP(RiskRegister[[#This Row],[Inherent Likelihood Level]],'Rating factors'!$F$16:$G$21,2,FALSE)</f>
        <v>--- Error ---</v>
      </c>
      <c r="P390" s="17" t="str">
        <f>IFERROR(VLOOKUP(RiskRegister[[#This Row],[Inherent Risk Rating]],'Rating factors'!$F$30:$G$44,2,FALSE),"-- Error --")</f>
        <v>-- Error --</v>
      </c>
      <c r="Q390" s="17" t="str">
        <f>IFERROR(RiskRegister[[#This Row],[Inherent Impact Rating]]*RiskRegister[[#This Row],[Inherent Likelihood Rating]],"-- Error --")</f>
        <v>-- Error --</v>
      </c>
      <c r="R390" s="16" t="s">
        <v>98</v>
      </c>
      <c r="T390" s="16" t="s">
        <v>99</v>
      </c>
      <c r="U390" s="17" t="e" cm="1">
        <f t="array" aca="1" ref="U390" ca="1">+U390:Y1019VLOOKUP(RiskRegister[[#This Row],[Residual Impact Level]],'Rating factors'!$F$4:$G$9,2,FALSE)</f>
        <v>#NAME?</v>
      </c>
      <c r="V390" s="16" t="s">
        <v>79</v>
      </c>
      <c r="W390" s="17" t="str">
        <f>VLOOKUP(RiskRegister[[#This Row],[Residual Likelihood Level]],'Rating factors'!$F$16:$G$21,2,FALSE)</f>
        <v>--- Error ---</v>
      </c>
      <c r="X390" s="17" t="str">
        <f ca="1">IFERROR(VLOOKUP(RiskRegister[[#This Row],[Residual Risk Rating]],'Rating factors'!$F$30:$G$44,2,FALSE),"-- Error --")</f>
        <v>-- Error --</v>
      </c>
      <c r="Y390" s="17" t="str">
        <f ca="1">IFERROR(RiskRegister[[#This Row],[Residual Impact Rating]]*RiskRegister[[#This Row],[Residual Likelihood Rating]],"-- Error --")</f>
        <v>-- Error --</v>
      </c>
      <c r="Z390" s="16" t="s">
        <v>100</v>
      </c>
      <c r="AB390" s="39"/>
      <c r="AD390" s="20"/>
    </row>
    <row r="391" spans="1:30" s="16" customFormat="1" hidden="1" x14ac:dyDescent="0.25">
      <c r="A391" s="16">
        <v>388</v>
      </c>
      <c r="G391" s="16" t="s">
        <v>77</v>
      </c>
      <c r="I391" s="16" t="s">
        <v>75</v>
      </c>
      <c r="L391" s="105" t="s">
        <v>99</v>
      </c>
      <c r="M391" s="17" t="str">
        <f>VLOOKUP(RiskRegister[[#This Row],[Inherent Impact LevelL3:L1020D1007L3:L1019]],'Rating factors'!$F$4:$G$9,2,FALSE)</f>
        <v>--- Error ---</v>
      </c>
      <c r="N391" s="16" t="s">
        <v>79</v>
      </c>
      <c r="O391" s="17" t="str">
        <f>VLOOKUP(RiskRegister[[#This Row],[Inherent Likelihood Level]],'Rating factors'!$F$16:$G$21,2,FALSE)</f>
        <v>--- Error ---</v>
      </c>
      <c r="P391" s="17" t="str">
        <f>IFERROR(VLOOKUP(RiskRegister[[#This Row],[Inherent Risk Rating]],'Rating factors'!$F$30:$G$44,2,FALSE),"-- Error --")</f>
        <v>-- Error --</v>
      </c>
      <c r="Q391" s="17" t="str">
        <f>IFERROR(RiskRegister[[#This Row],[Inherent Impact Rating]]*RiskRegister[[#This Row],[Inherent Likelihood Rating]],"-- Error --")</f>
        <v>-- Error --</v>
      </c>
      <c r="R391" s="16" t="s">
        <v>98</v>
      </c>
      <c r="T391" s="16" t="s">
        <v>99</v>
      </c>
      <c r="U391" s="17" t="e" cm="1">
        <f t="array" aca="1" ref="U391" ca="1">+U391:Y1019VLOOKUP(RiskRegister[[#This Row],[Residual Impact Level]],'Rating factors'!$F$4:$G$9,2,FALSE)</f>
        <v>#NAME?</v>
      </c>
      <c r="V391" s="16" t="s">
        <v>79</v>
      </c>
      <c r="W391" s="17" t="str">
        <f>VLOOKUP(RiskRegister[[#This Row],[Residual Likelihood Level]],'Rating factors'!$F$16:$G$21,2,FALSE)</f>
        <v>--- Error ---</v>
      </c>
      <c r="X391" s="17" t="str">
        <f ca="1">IFERROR(VLOOKUP(RiskRegister[[#This Row],[Residual Risk Rating]],'Rating factors'!$F$30:$G$44,2,FALSE),"-- Error --")</f>
        <v>-- Error --</v>
      </c>
      <c r="Y391" s="17" t="str">
        <f ca="1">IFERROR(RiskRegister[[#This Row],[Residual Impact Rating]]*RiskRegister[[#This Row],[Residual Likelihood Rating]],"-- Error --")</f>
        <v>-- Error --</v>
      </c>
      <c r="Z391" s="16" t="s">
        <v>100</v>
      </c>
      <c r="AB391" s="39"/>
      <c r="AD391" s="20"/>
    </row>
    <row r="392" spans="1:30" s="16" customFormat="1" hidden="1" x14ac:dyDescent="0.25">
      <c r="A392" s="16">
        <v>389</v>
      </c>
      <c r="G392" s="16" t="s">
        <v>77</v>
      </c>
      <c r="I392" s="16" t="s">
        <v>75</v>
      </c>
      <c r="L392" s="105" t="s">
        <v>99</v>
      </c>
      <c r="M392" s="17" t="str">
        <f>VLOOKUP(RiskRegister[[#This Row],[Inherent Impact LevelL3:L1020D1007L3:L1019]],'Rating factors'!$F$4:$G$9,2,FALSE)</f>
        <v>--- Error ---</v>
      </c>
      <c r="N392" s="16" t="s">
        <v>79</v>
      </c>
      <c r="O392" s="17" t="str">
        <f>VLOOKUP(RiskRegister[[#This Row],[Inherent Likelihood Level]],'Rating factors'!$F$16:$G$21,2,FALSE)</f>
        <v>--- Error ---</v>
      </c>
      <c r="P392" s="17" t="str">
        <f>IFERROR(VLOOKUP(RiskRegister[[#This Row],[Inherent Risk Rating]],'Rating factors'!$F$30:$G$44,2,FALSE),"-- Error --")</f>
        <v>-- Error --</v>
      </c>
      <c r="Q392" s="17" t="str">
        <f>IFERROR(RiskRegister[[#This Row],[Inherent Impact Rating]]*RiskRegister[[#This Row],[Inherent Likelihood Rating]],"-- Error --")</f>
        <v>-- Error --</v>
      </c>
      <c r="R392" s="16" t="s">
        <v>98</v>
      </c>
      <c r="T392" s="16" t="s">
        <v>99</v>
      </c>
      <c r="U392" s="17" t="e" cm="1">
        <f t="array" aca="1" ref="U392" ca="1">+U392:Y1019VLOOKUP(RiskRegister[[#This Row],[Residual Impact Level]],'Rating factors'!$F$4:$G$9,2,FALSE)</f>
        <v>#NAME?</v>
      </c>
      <c r="V392" s="16" t="s">
        <v>79</v>
      </c>
      <c r="W392" s="17" t="str">
        <f>VLOOKUP(RiskRegister[[#This Row],[Residual Likelihood Level]],'Rating factors'!$F$16:$G$21,2,FALSE)</f>
        <v>--- Error ---</v>
      </c>
      <c r="X392" s="17" t="str">
        <f ca="1">IFERROR(VLOOKUP(RiskRegister[[#This Row],[Residual Risk Rating]],'Rating factors'!$F$30:$G$44,2,FALSE),"-- Error --")</f>
        <v>-- Error --</v>
      </c>
      <c r="Y392" s="17" t="str">
        <f ca="1">IFERROR(RiskRegister[[#This Row],[Residual Impact Rating]]*RiskRegister[[#This Row],[Residual Likelihood Rating]],"-- Error --")</f>
        <v>-- Error --</v>
      </c>
      <c r="Z392" s="16" t="s">
        <v>100</v>
      </c>
      <c r="AB392" s="39"/>
      <c r="AD392" s="20"/>
    </row>
    <row r="393" spans="1:30" s="16" customFormat="1" hidden="1" x14ac:dyDescent="0.25">
      <c r="A393" s="16">
        <v>390</v>
      </c>
      <c r="G393" s="16" t="s">
        <v>77</v>
      </c>
      <c r="I393" s="16" t="s">
        <v>75</v>
      </c>
      <c r="L393" s="105" t="s">
        <v>99</v>
      </c>
      <c r="M393" s="17" t="str">
        <f>VLOOKUP(RiskRegister[[#This Row],[Inherent Impact LevelL3:L1020D1007L3:L1019]],'Rating factors'!$F$4:$G$9,2,FALSE)</f>
        <v>--- Error ---</v>
      </c>
      <c r="N393" s="16" t="s">
        <v>79</v>
      </c>
      <c r="O393" s="17" t="str">
        <f>VLOOKUP(RiskRegister[[#This Row],[Inherent Likelihood Level]],'Rating factors'!$F$16:$G$21,2,FALSE)</f>
        <v>--- Error ---</v>
      </c>
      <c r="P393" s="17" t="str">
        <f>IFERROR(VLOOKUP(RiskRegister[[#This Row],[Inherent Risk Rating]],'Rating factors'!$F$30:$G$44,2,FALSE),"-- Error --")</f>
        <v>-- Error --</v>
      </c>
      <c r="Q393" s="17" t="str">
        <f>IFERROR(RiskRegister[[#This Row],[Inherent Impact Rating]]*RiskRegister[[#This Row],[Inherent Likelihood Rating]],"-- Error --")</f>
        <v>-- Error --</v>
      </c>
      <c r="R393" s="16" t="s">
        <v>98</v>
      </c>
      <c r="T393" s="16" t="s">
        <v>99</v>
      </c>
      <c r="U393" s="17" t="e" cm="1">
        <f t="array" aca="1" ref="U393" ca="1">+U393:Y1019VLOOKUP(RiskRegister[[#This Row],[Residual Impact Level]],'Rating factors'!$F$4:$G$9,2,FALSE)</f>
        <v>#NAME?</v>
      </c>
      <c r="V393" s="16" t="s">
        <v>79</v>
      </c>
      <c r="W393" s="17" t="str">
        <f>VLOOKUP(RiskRegister[[#This Row],[Residual Likelihood Level]],'Rating factors'!$F$16:$G$21,2,FALSE)</f>
        <v>--- Error ---</v>
      </c>
      <c r="X393" s="17" t="str">
        <f ca="1">IFERROR(VLOOKUP(RiskRegister[[#This Row],[Residual Risk Rating]],'Rating factors'!$F$30:$G$44,2,FALSE),"-- Error --")</f>
        <v>-- Error --</v>
      </c>
      <c r="Y393" s="17" t="str">
        <f ca="1">IFERROR(RiskRegister[[#This Row],[Residual Impact Rating]]*RiskRegister[[#This Row],[Residual Likelihood Rating]],"-- Error --")</f>
        <v>-- Error --</v>
      </c>
      <c r="Z393" s="16" t="s">
        <v>100</v>
      </c>
      <c r="AB393" s="39"/>
      <c r="AD393" s="20"/>
    </row>
    <row r="394" spans="1:30" s="16" customFormat="1" hidden="1" x14ac:dyDescent="0.25">
      <c r="A394" s="16">
        <v>391</v>
      </c>
      <c r="G394" s="16" t="s">
        <v>77</v>
      </c>
      <c r="I394" s="16" t="s">
        <v>75</v>
      </c>
      <c r="L394" s="105" t="s">
        <v>99</v>
      </c>
      <c r="M394" s="17" t="str">
        <f>VLOOKUP(RiskRegister[[#This Row],[Inherent Impact LevelL3:L1020D1007L3:L1019]],'Rating factors'!$F$4:$G$9,2,FALSE)</f>
        <v>--- Error ---</v>
      </c>
      <c r="N394" s="16" t="s">
        <v>79</v>
      </c>
      <c r="O394" s="17" t="str">
        <f>VLOOKUP(RiskRegister[[#This Row],[Inherent Likelihood Level]],'Rating factors'!$F$16:$G$21,2,FALSE)</f>
        <v>--- Error ---</v>
      </c>
      <c r="P394" s="17" t="str">
        <f>IFERROR(VLOOKUP(RiskRegister[[#This Row],[Inherent Risk Rating]],'Rating factors'!$F$30:$G$44,2,FALSE),"-- Error --")</f>
        <v>-- Error --</v>
      </c>
      <c r="Q394" s="17" t="str">
        <f>IFERROR(RiskRegister[[#This Row],[Inherent Impact Rating]]*RiskRegister[[#This Row],[Inherent Likelihood Rating]],"-- Error --")</f>
        <v>-- Error --</v>
      </c>
      <c r="R394" s="16" t="s">
        <v>98</v>
      </c>
      <c r="T394" s="16" t="s">
        <v>99</v>
      </c>
      <c r="U394" s="17" t="e" cm="1">
        <f t="array" aca="1" ref="U394" ca="1">+U394:Y1019VLOOKUP(RiskRegister[[#This Row],[Residual Impact Level]],'Rating factors'!$F$4:$G$9,2,FALSE)</f>
        <v>#NAME?</v>
      </c>
      <c r="V394" s="16" t="s">
        <v>79</v>
      </c>
      <c r="W394" s="17" t="str">
        <f>VLOOKUP(RiskRegister[[#This Row],[Residual Likelihood Level]],'Rating factors'!$F$16:$G$21,2,FALSE)</f>
        <v>--- Error ---</v>
      </c>
      <c r="X394" s="17" t="str">
        <f ca="1">IFERROR(VLOOKUP(RiskRegister[[#This Row],[Residual Risk Rating]],'Rating factors'!$F$30:$G$44,2,FALSE),"-- Error --")</f>
        <v>-- Error --</v>
      </c>
      <c r="Y394" s="17" t="str">
        <f ca="1">IFERROR(RiskRegister[[#This Row],[Residual Impact Rating]]*RiskRegister[[#This Row],[Residual Likelihood Rating]],"-- Error --")</f>
        <v>-- Error --</v>
      </c>
      <c r="Z394" s="16" t="s">
        <v>100</v>
      </c>
      <c r="AB394" s="39"/>
      <c r="AD394" s="20"/>
    </row>
    <row r="395" spans="1:30" s="16" customFormat="1" hidden="1" x14ac:dyDescent="0.25">
      <c r="A395" s="16">
        <v>392</v>
      </c>
      <c r="G395" s="16" t="s">
        <v>77</v>
      </c>
      <c r="I395" s="16" t="s">
        <v>75</v>
      </c>
      <c r="L395" s="105" t="s">
        <v>99</v>
      </c>
      <c r="M395" s="17" t="str">
        <f>VLOOKUP(RiskRegister[[#This Row],[Inherent Impact LevelL3:L1020D1007L3:L1019]],'Rating factors'!$F$4:$G$9,2,FALSE)</f>
        <v>--- Error ---</v>
      </c>
      <c r="N395" s="16" t="s">
        <v>79</v>
      </c>
      <c r="O395" s="17" t="str">
        <f>VLOOKUP(RiskRegister[[#This Row],[Inherent Likelihood Level]],'Rating factors'!$F$16:$G$21,2,FALSE)</f>
        <v>--- Error ---</v>
      </c>
      <c r="P395" s="17" t="str">
        <f>IFERROR(VLOOKUP(RiskRegister[[#This Row],[Inherent Risk Rating]],'Rating factors'!$F$30:$G$44,2,FALSE),"-- Error --")</f>
        <v>-- Error --</v>
      </c>
      <c r="Q395" s="17" t="str">
        <f>IFERROR(RiskRegister[[#This Row],[Inherent Impact Rating]]*RiskRegister[[#This Row],[Inherent Likelihood Rating]],"-- Error --")</f>
        <v>-- Error --</v>
      </c>
      <c r="R395" s="16" t="s">
        <v>98</v>
      </c>
      <c r="T395" s="16" t="s">
        <v>99</v>
      </c>
      <c r="U395" s="17" t="e" cm="1">
        <f t="array" aca="1" ref="U395" ca="1">+U395:Y1019VLOOKUP(RiskRegister[[#This Row],[Residual Impact Level]],'Rating factors'!$F$4:$G$9,2,FALSE)</f>
        <v>#NAME?</v>
      </c>
      <c r="V395" s="16" t="s">
        <v>79</v>
      </c>
      <c r="W395" s="17" t="str">
        <f>VLOOKUP(RiskRegister[[#This Row],[Residual Likelihood Level]],'Rating factors'!$F$16:$G$21,2,FALSE)</f>
        <v>--- Error ---</v>
      </c>
      <c r="X395" s="17" t="str">
        <f ca="1">IFERROR(VLOOKUP(RiskRegister[[#This Row],[Residual Risk Rating]],'Rating factors'!$F$30:$G$44,2,FALSE),"-- Error --")</f>
        <v>-- Error --</v>
      </c>
      <c r="Y395" s="17" t="str">
        <f ca="1">IFERROR(RiskRegister[[#This Row],[Residual Impact Rating]]*RiskRegister[[#This Row],[Residual Likelihood Rating]],"-- Error --")</f>
        <v>-- Error --</v>
      </c>
      <c r="Z395" s="16" t="s">
        <v>100</v>
      </c>
      <c r="AB395" s="39"/>
      <c r="AD395" s="20"/>
    </row>
    <row r="396" spans="1:30" s="16" customFormat="1" hidden="1" x14ac:dyDescent="0.25">
      <c r="A396" s="16">
        <v>393</v>
      </c>
      <c r="G396" s="16" t="s">
        <v>77</v>
      </c>
      <c r="I396" s="16" t="s">
        <v>75</v>
      </c>
      <c r="L396" s="105" t="s">
        <v>99</v>
      </c>
      <c r="M396" s="17" t="str">
        <f>VLOOKUP(RiskRegister[[#This Row],[Inherent Impact LevelL3:L1020D1007L3:L1019]],'Rating factors'!$F$4:$G$9,2,FALSE)</f>
        <v>--- Error ---</v>
      </c>
      <c r="N396" s="16" t="s">
        <v>79</v>
      </c>
      <c r="O396" s="17" t="str">
        <f>VLOOKUP(RiskRegister[[#This Row],[Inherent Likelihood Level]],'Rating factors'!$F$16:$G$21,2,FALSE)</f>
        <v>--- Error ---</v>
      </c>
      <c r="P396" s="17" t="str">
        <f>IFERROR(VLOOKUP(RiskRegister[[#This Row],[Inherent Risk Rating]],'Rating factors'!$F$30:$G$44,2,FALSE),"-- Error --")</f>
        <v>-- Error --</v>
      </c>
      <c r="Q396" s="17" t="str">
        <f>IFERROR(RiskRegister[[#This Row],[Inherent Impact Rating]]*RiskRegister[[#This Row],[Inherent Likelihood Rating]],"-- Error --")</f>
        <v>-- Error --</v>
      </c>
      <c r="R396" s="16" t="s">
        <v>98</v>
      </c>
      <c r="T396" s="16" t="s">
        <v>99</v>
      </c>
      <c r="U396" s="17" t="e" cm="1">
        <f t="array" aca="1" ref="U396" ca="1">+U396:Y1019VLOOKUP(RiskRegister[[#This Row],[Residual Impact Level]],'Rating factors'!$F$4:$G$9,2,FALSE)</f>
        <v>#NAME?</v>
      </c>
      <c r="V396" s="16" t="s">
        <v>79</v>
      </c>
      <c r="W396" s="17" t="str">
        <f>VLOOKUP(RiskRegister[[#This Row],[Residual Likelihood Level]],'Rating factors'!$F$16:$G$21,2,FALSE)</f>
        <v>--- Error ---</v>
      </c>
      <c r="X396" s="17" t="str">
        <f ca="1">IFERROR(VLOOKUP(RiskRegister[[#This Row],[Residual Risk Rating]],'Rating factors'!$F$30:$G$44,2,FALSE),"-- Error --")</f>
        <v>-- Error --</v>
      </c>
      <c r="Y396" s="17" t="str">
        <f ca="1">IFERROR(RiskRegister[[#This Row],[Residual Impact Rating]]*RiskRegister[[#This Row],[Residual Likelihood Rating]],"-- Error --")</f>
        <v>-- Error --</v>
      </c>
      <c r="Z396" s="16" t="s">
        <v>100</v>
      </c>
      <c r="AB396" s="39"/>
      <c r="AD396" s="20"/>
    </row>
    <row r="397" spans="1:30" s="16" customFormat="1" hidden="1" x14ac:dyDescent="0.25">
      <c r="A397" s="16">
        <v>394</v>
      </c>
      <c r="G397" s="16" t="s">
        <v>77</v>
      </c>
      <c r="I397" s="16" t="s">
        <v>75</v>
      </c>
      <c r="L397" s="105" t="s">
        <v>99</v>
      </c>
      <c r="M397" s="17" t="str">
        <f>VLOOKUP(RiskRegister[[#This Row],[Inherent Impact LevelL3:L1020D1007L3:L1019]],'Rating factors'!$F$4:$G$9,2,FALSE)</f>
        <v>--- Error ---</v>
      </c>
      <c r="N397" s="16" t="s">
        <v>79</v>
      </c>
      <c r="O397" s="17" t="str">
        <f>VLOOKUP(RiskRegister[[#This Row],[Inherent Likelihood Level]],'Rating factors'!$F$16:$G$21,2,FALSE)</f>
        <v>--- Error ---</v>
      </c>
      <c r="P397" s="17" t="str">
        <f>IFERROR(VLOOKUP(RiskRegister[[#This Row],[Inherent Risk Rating]],'Rating factors'!$F$30:$G$44,2,FALSE),"-- Error --")</f>
        <v>-- Error --</v>
      </c>
      <c r="Q397" s="17" t="str">
        <f>IFERROR(RiskRegister[[#This Row],[Inherent Impact Rating]]*RiskRegister[[#This Row],[Inherent Likelihood Rating]],"-- Error --")</f>
        <v>-- Error --</v>
      </c>
      <c r="R397" s="16" t="s">
        <v>98</v>
      </c>
      <c r="T397" s="16" t="s">
        <v>99</v>
      </c>
      <c r="U397" s="17" t="e" cm="1">
        <f t="array" aca="1" ref="U397" ca="1">+U397:Y1019VLOOKUP(RiskRegister[[#This Row],[Residual Impact Level]],'Rating factors'!$F$4:$G$9,2,FALSE)</f>
        <v>#NAME?</v>
      </c>
      <c r="V397" s="16" t="s">
        <v>79</v>
      </c>
      <c r="W397" s="17" t="str">
        <f>VLOOKUP(RiskRegister[[#This Row],[Residual Likelihood Level]],'Rating factors'!$F$16:$G$21,2,FALSE)</f>
        <v>--- Error ---</v>
      </c>
      <c r="X397" s="17" t="str">
        <f ca="1">IFERROR(VLOOKUP(RiskRegister[[#This Row],[Residual Risk Rating]],'Rating factors'!$F$30:$G$44,2,FALSE),"-- Error --")</f>
        <v>-- Error --</v>
      </c>
      <c r="Y397" s="17" t="str">
        <f ca="1">IFERROR(RiskRegister[[#This Row],[Residual Impact Rating]]*RiskRegister[[#This Row],[Residual Likelihood Rating]],"-- Error --")</f>
        <v>-- Error --</v>
      </c>
      <c r="Z397" s="16" t="s">
        <v>100</v>
      </c>
      <c r="AB397" s="39"/>
      <c r="AD397" s="20"/>
    </row>
    <row r="398" spans="1:30" s="16" customFormat="1" hidden="1" x14ac:dyDescent="0.25">
      <c r="A398" s="16">
        <v>395</v>
      </c>
      <c r="G398" s="16" t="s">
        <v>77</v>
      </c>
      <c r="I398" s="16" t="s">
        <v>75</v>
      </c>
      <c r="L398" s="105" t="s">
        <v>99</v>
      </c>
      <c r="M398" s="17" t="str">
        <f>VLOOKUP(RiskRegister[[#This Row],[Inherent Impact LevelL3:L1020D1007L3:L1019]],'Rating factors'!$F$4:$G$9,2,FALSE)</f>
        <v>--- Error ---</v>
      </c>
      <c r="N398" s="16" t="s">
        <v>79</v>
      </c>
      <c r="O398" s="17" t="str">
        <f>VLOOKUP(RiskRegister[[#This Row],[Inherent Likelihood Level]],'Rating factors'!$F$16:$G$21,2,FALSE)</f>
        <v>--- Error ---</v>
      </c>
      <c r="P398" s="17" t="str">
        <f>IFERROR(VLOOKUP(RiskRegister[[#This Row],[Inherent Risk Rating]],'Rating factors'!$F$30:$G$44,2,FALSE),"-- Error --")</f>
        <v>-- Error --</v>
      </c>
      <c r="Q398" s="17" t="str">
        <f>IFERROR(RiskRegister[[#This Row],[Inherent Impact Rating]]*RiskRegister[[#This Row],[Inherent Likelihood Rating]],"-- Error --")</f>
        <v>-- Error --</v>
      </c>
      <c r="R398" s="16" t="s">
        <v>98</v>
      </c>
      <c r="T398" s="16" t="s">
        <v>99</v>
      </c>
      <c r="U398" s="17" t="e" cm="1">
        <f t="array" aca="1" ref="U398" ca="1">+U398:Y1019VLOOKUP(RiskRegister[[#This Row],[Residual Impact Level]],'Rating factors'!$F$4:$G$9,2,FALSE)</f>
        <v>#NAME?</v>
      </c>
      <c r="V398" s="16" t="s">
        <v>79</v>
      </c>
      <c r="W398" s="17" t="str">
        <f>VLOOKUP(RiskRegister[[#This Row],[Residual Likelihood Level]],'Rating factors'!$F$16:$G$21,2,FALSE)</f>
        <v>--- Error ---</v>
      </c>
      <c r="X398" s="17" t="str">
        <f ca="1">IFERROR(VLOOKUP(RiskRegister[[#This Row],[Residual Risk Rating]],'Rating factors'!$F$30:$G$44,2,FALSE),"-- Error --")</f>
        <v>-- Error --</v>
      </c>
      <c r="Y398" s="17" t="str">
        <f ca="1">IFERROR(RiskRegister[[#This Row],[Residual Impact Rating]]*RiskRegister[[#This Row],[Residual Likelihood Rating]],"-- Error --")</f>
        <v>-- Error --</v>
      </c>
      <c r="Z398" s="16" t="s">
        <v>100</v>
      </c>
      <c r="AB398" s="39"/>
      <c r="AD398" s="20"/>
    </row>
    <row r="399" spans="1:30" s="16" customFormat="1" hidden="1" x14ac:dyDescent="0.25">
      <c r="A399" s="16">
        <v>396</v>
      </c>
      <c r="G399" s="16" t="s">
        <v>77</v>
      </c>
      <c r="I399" s="16" t="s">
        <v>75</v>
      </c>
      <c r="L399" s="105" t="s">
        <v>99</v>
      </c>
      <c r="M399" s="17" t="str">
        <f>VLOOKUP(RiskRegister[[#This Row],[Inherent Impact LevelL3:L1020D1007L3:L1019]],'Rating factors'!$F$4:$G$9,2,FALSE)</f>
        <v>--- Error ---</v>
      </c>
      <c r="N399" s="16" t="s">
        <v>79</v>
      </c>
      <c r="O399" s="17" t="str">
        <f>VLOOKUP(RiskRegister[[#This Row],[Inherent Likelihood Level]],'Rating factors'!$F$16:$G$21,2,FALSE)</f>
        <v>--- Error ---</v>
      </c>
      <c r="P399" s="17" t="str">
        <f>IFERROR(VLOOKUP(RiskRegister[[#This Row],[Inherent Risk Rating]],'Rating factors'!$F$30:$G$44,2,FALSE),"-- Error --")</f>
        <v>-- Error --</v>
      </c>
      <c r="Q399" s="17" t="str">
        <f>IFERROR(RiskRegister[[#This Row],[Inherent Impact Rating]]*RiskRegister[[#This Row],[Inherent Likelihood Rating]],"-- Error --")</f>
        <v>-- Error --</v>
      </c>
      <c r="R399" s="16" t="s">
        <v>98</v>
      </c>
      <c r="T399" s="16" t="s">
        <v>99</v>
      </c>
      <c r="U399" s="17" t="e" cm="1">
        <f t="array" aca="1" ref="U399" ca="1">+U399:Y1019VLOOKUP(RiskRegister[[#This Row],[Residual Impact Level]],'Rating factors'!$F$4:$G$9,2,FALSE)</f>
        <v>#NAME?</v>
      </c>
      <c r="V399" s="16" t="s">
        <v>79</v>
      </c>
      <c r="W399" s="17" t="str">
        <f>VLOOKUP(RiskRegister[[#This Row],[Residual Likelihood Level]],'Rating factors'!$F$16:$G$21,2,FALSE)</f>
        <v>--- Error ---</v>
      </c>
      <c r="X399" s="17" t="str">
        <f ca="1">IFERROR(VLOOKUP(RiskRegister[[#This Row],[Residual Risk Rating]],'Rating factors'!$F$30:$G$44,2,FALSE),"-- Error --")</f>
        <v>-- Error --</v>
      </c>
      <c r="Y399" s="17" t="str">
        <f ca="1">IFERROR(RiskRegister[[#This Row],[Residual Impact Rating]]*RiskRegister[[#This Row],[Residual Likelihood Rating]],"-- Error --")</f>
        <v>-- Error --</v>
      </c>
      <c r="Z399" s="16" t="s">
        <v>100</v>
      </c>
      <c r="AB399" s="39"/>
      <c r="AD399" s="20"/>
    </row>
    <row r="400" spans="1:30" s="16" customFormat="1" hidden="1" x14ac:dyDescent="0.25">
      <c r="A400" s="16">
        <v>397</v>
      </c>
      <c r="G400" s="16" t="s">
        <v>77</v>
      </c>
      <c r="I400" s="16" t="s">
        <v>75</v>
      </c>
      <c r="L400" s="105" t="s">
        <v>99</v>
      </c>
      <c r="M400" s="17" t="str">
        <f>VLOOKUP(RiskRegister[[#This Row],[Inherent Impact LevelL3:L1020D1007L3:L1019]],'Rating factors'!$F$4:$G$9,2,FALSE)</f>
        <v>--- Error ---</v>
      </c>
      <c r="N400" s="16" t="s">
        <v>79</v>
      </c>
      <c r="O400" s="17" t="str">
        <f>VLOOKUP(RiskRegister[[#This Row],[Inherent Likelihood Level]],'Rating factors'!$F$16:$G$21,2,FALSE)</f>
        <v>--- Error ---</v>
      </c>
      <c r="P400" s="17" t="str">
        <f>IFERROR(VLOOKUP(RiskRegister[[#This Row],[Inherent Risk Rating]],'Rating factors'!$F$30:$G$44,2,FALSE),"-- Error --")</f>
        <v>-- Error --</v>
      </c>
      <c r="Q400" s="17" t="str">
        <f>IFERROR(RiskRegister[[#This Row],[Inherent Impact Rating]]*RiskRegister[[#This Row],[Inherent Likelihood Rating]],"-- Error --")</f>
        <v>-- Error --</v>
      </c>
      <c r="R400" s="16" t="s">
        <v>98</v>
      </c>
      <c r="T400" s="16" t="s">
        <v>99</v>
      </c>
      <c r="U400" s="17" t="e" cm="1">
        <f t="array" aca="1" ref="U400" ca="1">+U400:Y1019VLOOKUP(RiskRegister[[#This Row],[Residual Impact Level]],'Rating factors'!$F$4:$G$9,2,FALSE)</f>
        <v>#NAME?</v>
      </c>
      <c r="V400" s="16" t="s">
        <v>79</v>
      </c>
      <c r="W400" s="17" t="str">
        <f>VLOOKUP(RiskRegister[[#This Row],[Residual Likelihood Level]],'Rating factors'!$F$16:$G$21,2,FALSE)</f>
        <v>--- Error ---</v>
      </c>
      <c r="X400" s="17" t="str">
        <f ca="1">IFERROR(VLOOKUP(RiskRegister[[#This Row],[Residual Risk Rating]],'Rating factors'!$F$30:$G$44,2,FALSE),"-- Error --")</f>
        <v>-- Error --</v>
      </c>
      <c r="Y400" s="17" t="str">
        <f ca="1">IFERROR(RiskRegister[[#This Row],[Residual Impact Rating]]*RiskRegister[[#This Row],[Residual Likelihood Rating]],"-- Error --")</f>
        <v>-- Error --</v>
      </c>
      <c r="Z400" s="16" t="s">
        <v>100</v>
      </c>
      <c r="AB400" s="39"/>
      <c r="AD400" s="20"/>
    </row>
    <row r="401" spans="1:30" s="16" customFormat="1" hidden="1" x14ac:dyDescent="0.25">
      <c r="A401" s="16">
        <v>398</v>
      </c>
      <c r="G401" s="16" t="s">
        <v>77</v>
      </c>
      <c r="I401" s="16" t="s">
        <v>75</v>
      </c>
      <c r="L401" s="105" t="s">
        <v>99</v>
      </c>
      <c r="M401" s="17" t="str">
        <f>VLOOKUP(RiskRegister[[#This Row],[Inherent Impact LevelL3:L1020D1007L3:L1019]],'Rating factors'!$F$4:$G$9,2,FALSE)</f>
        <v>--- Error ---</v>
      </c>
      <c r="N401" s="16" t="s">
        <v>79</v>
      </c>
      <c r="O401" s="17" t="str">
        <f>VLOOKUP(RiskRegister[[#This Row],[Inherent Likelihood Level]],'Rating factors'!$F$16:$G$21,2,FALSE)</f>
        <v>--- Error ---</v>
      </c>
      <c r="P401" s="17" t="str">
        <f>IFERROR(VLOOKUP(RiskRegister[[#This Row],[Inherent Risk Rating]],'Rating factors'!$F$30:$G$44,2,FALSE),"-- Error --")</f>
        <v>-- Error --</v>
      </c>
      <c r="Q401" s="17" t="str">
        <f>IFERROR(RiskRegister[[#This Row],[Inherent Impact Rating]]*RiskRegister[[#This Row],[Inherent Likelihood Rating]],"-- Error --")</f>
        <v>-- Error --</v>
      </c>
      <c r="R401" s="16" t="s">
        <v>98</v>
      </c>
      <c r="T401" s="16" t="s">
        <v>99</v>
      </c>
      <c r="U401" s="17" t="e" cm="1">
        <f t="array" aca="1" ref="U401" ca="1">+U401:Y1019VLOOKUP(RiskRegister[[#This Row],[Residual Impact Level]],'Rating factors'!$F$4:$G$9,2,FALSE)</f>
        <v>#NAME?</v>
      </c>
      <c r="V401" s="16" t="s">
        <v>79</v>
      </c>
      <c r="W401" s="17" t="str">
        <f>VLOOKUP(RiskRegister[[#This Row],[Residual Likelihood Level]],'Rating factors'!$F$16:$G$21,2,FALSE)</f>
        <v>--- Error ---</v>
      </c>
      <c r="X401" s="17" t="str">
        <f ca="1">IFERROR(VLOOKUP(RiskRegister[[#This Row],[Residual Risk Rating]],'Rating factors'!$F$30:$G$44,2,FALSE),"-- Error --")</f>
        <v>-- Error --</v>
      </c>
      <c r="Y401" s="17" t="str">
        <f ca="1">IFERROR(RiskRegister[[#This Row],[Residual Impact Rating]]*RiskRegister[[#This Row],[Residual Likelihood Rating]],"-- Error --")</f>
        <v>-- Error --</v>
      </c>
      <c r="Z401" s="16" t="s">
        <v>100</v>
      </c>
      <c r="AB401" s="39"/>
      <c r="AD401" s="20"/>
    </row>
    <row r="402" spans="1:30" s="16" customFormat="1" hidden="1" x14ac:dyDescent="0.25">
      <c r="A402" s="16">
        <v>399</v>
      </c>
      <c r="G402" s="16" t="s">
        <v>77</v>
      </c>
      <c r="I402" s="16" t="s">
        <v>75</v>
      </c>
      <c r="L402" s="105" t="s">
        <v>99</v>
      </c>
      <c r="M402" s="17" t="str">
        <f>VLOOKUP(RiskRegister[[#This Row],[Inherent Impact LevelL3:L1020D1007L3:L1019]],'Rating factors'!$F$4:$G$9,2,FALSE)</f>
        <v>--- Error ---</v>
      </c>
      <c r="N402" s="16" t="s">
        <v>79</v>
      </c>
      <c r="O402" s="17" t="str">
        <f>VLOOKUP(RiskRegister[[#This Row],[Inherent Likelihood Level]],'Rating factors'!$F$16:$G$21,2,FALSE)</f>
        <v>--- Error ---</v>
      </c>
      <c r="P402" s="17" t="str">
        <f>IFERROR(VLOOKUP(RiskRegister[[#This Row],[Inherent Risk Rating]],'Rating factors'!$F$30:$G$44,2,FALSE),"-- Error --")</f>
        <v>-- Error --</v>
      </c>
      <c r="Q402" s="17" t="str">
        <f>IFERROR(RiskRegister[[#This Row],[Inherent Impact Rating]]*RiskRegister[[#This Row],[Inherent Likelihood Rating]],"-- Error --")</f>
        <v>-- Error --</v>
      </c>
      <c r="R402" s="16" t="s">
        <v>98</v>
      </c>
      <c r="T402" s="16" t="s">
        <v>99</v>
      </c>
      <c r="U402" s="17" t="e" cm="1">
        <f t="array" aca="1" ref="U402" ca="1">+U402:Y1019VLOOKUP(RiskRegister[[#This Row],[Residual Impact Level]],'Rating factors'!$F$4:$G$9,2,FALSE)</f>
        <v>#NAME?</v>
      </c>
      <c r="V402" s="16" t="s">
        <v>79</v>
      </c>
      <c r="W402" s="17" t="str">
        <f>VLOOKUP(RiskRegister[[#This Row],[Residual Likelihood Level]],'Rating factors'!$F$16:$G$21,2,FALSE)</f>
        <v>--- Error ---</v>
      </c>
      <c r="X402" s="17" t="str">
        <f ca="1">IFERROR(VLOOKUP(RiskRegister[[#This Row],[Residual Risk Rating]],'Rating factors'!$F$30:$G$44,2,FALSE),"-- Error --")</f>
        <v>-- Error --</v>
      </c>
      <c r="Y402" s="17" t="str">
        <f ca="1">IFERROR(RiskRegister[[#This Row],[Residual Impact Rating]]*RiskRegister[[#This Row],[Residual Likelihood Rating]],"-- Error --")</f>
        <v>-- Error --</v>
      </c>
      <c r="Z402" s="16" t="s">
        <v>100</v>
      </c>
      <c r="AB402" s="39"/>
      <c r="AD402" s="20"/>
    </row>
    <row r="403" spans="1:30" s="16" customFormat="1" hidden="1" x14ac:dyDescent="0.25">
      <c r="A403" s="16">
        <v>400</v>
      </c>
      <c r="G403" s="16" t="s">
        <v>77</v>
      </c>
      <c r="I403" s="16" t="s">
        <v>75</v>
      </c>
      <c r="L403" s="105" t="s">
        <v>99</v>
      </c>
      <c r="M403" s="17" t="str">
        <f>VLOOKUP(RiskRegister[[#This Row],[Inherent Impact LevelL3:L1020D1007L3:L1019]],'Rating factors'!$F$4:$G$9,2,FALSE)</f>
        <v>--- Error ---</v>
      </c>
      <c r="N403" s="16" t="s">
        <v>79</v>
      </c>
      <c r="O403" s="17" t="str">
        <f>VLOOKUP(RiskRegister[[#This Row],[Inherent Likelihood Level]],'Rating factors'!$F$16:$G$21,2,FALSE)</f>
        <v>--- Error ---</v>
      </c>
      <c r="P403" s="17" t="str">
        <f>IFERROR(VLOOKUP(RiskRegister[[#This Row],[Inherent Risk Rating]],'Rating factors'!$F$30:$G$44,2,FALSE),"-- Error --")</f>
        <v>-- Error --</v>
      </c>
      <c r="Q403" s="17" t="str">
        <f>IFERROR(RiskRegister[[#This Row],[Inherent Impact Rating]]*RiskRegister[[#This Row],[Inherent Likelihood Rating]],"-- Error --")</f>
        <v>-- Error --</v>
      </c>
      <c r="R403" s="16" t="s">
        <v>98</v>
      </c>
      <c r="T403" s="16" t="s">
        <v>99</v>
      </c>
      <c r="U403" s="17" t="e" cm="1">
        <f t="array" aca="1" ref="U403" ca="1">+U403:Y1019VLOOKUP(RiskRegister[[#This Row],[Residual Impact Level]],'Rating factors'!$F$4:$G$9,2,FALSE)</f>
        <v>#NAME?</v>
      </c>
      <c r="V403" s="16" t="s">
        <v>79</v>
      </c>
      <c r="W403" s="17" t="str">
        <f>VLOOKUP(RiskRegister[[#This Row],[Residual Likelihood Level]],'Rating factors'!$F$16:$G$21,2,FALSE)</f>
        <v>--- Error ---</v>
      </c>
      <c r="X403" s="17" t="str">
        <f ca="1">IFERROR(VLOOKUP(RiskRegister[[#This Row],[Residual Risk Rating]],'Rating factors'!$F$30:$G$44,2,FALSE),"-- Error --")</f>
        <v>-- Error --</v>
      </c>
      <c r="Y403" s="17" t="str">
        <f ca="1">IFERROR(RiskRegister[[#This Row],[Residual Impact Rating]]*RiskRegister[[#This Row],[Residual Likelihood Rating]],"-- Error --")</f>
        <v>-- Error --</v>
      </c>
      <c r="Z403" s="16" t="s">
        <v>100</v>
      </c>
      <c r="AB403" s="39"/>
      <c r="AD403" s="20"/>
    </row>
    <row r="404" spans="1:30" s="16" customFormat="1" hidden="1" x14ac:dyDescent="0.25">
      <c r="A404" s="16">
        <v>401</v>
      </c>
      <c r="G404" s="16" t="s">
        <v>77</v>
      </c>
      <c r="I404" s="16" t="s">
        <v>75</v>
      </c>
      <c r="L404" s="105" t="s">
        <v>99</v>
      </c>
      <c r="M404" s="17" t="str">
        <f>VLOOKUP(RiskRegister[[#This Row],[Inherent Impact LevelL3:L1020D1007L3:L1019]],'Rating factors'!$F$4:$G$9,2,FALSE)</f>
        <v>--- Error ---</v>
      </c>
      <c r="N404" s="16" t="s">
        <v>79</v>
      </c>
      <c r="O404" s="17" t="str">
        <f>VLOOKUP(RiskRegister[[#This Row],[Inherent Likelihood Level]],'Rating factors'!$F$16:$G$21,2,FALSE)</f>
        <v>--- Error ---</v>
      </c>
      <c r="P404" s="17" t="str">
        <f>IFERROR(VLOOKUP(RiskRegister[[#This Row],[Inherent Risk Rating]],'Rating factors'!$F$30:$G$44,2,FALSE),"-- Error --")</f>
        <v>-- Error --</v>
      </c>
      <c r="Q404" s="17" t="str">
        <f>IFERROR(RiskRegister[[#This Row],[Inherent Impact Rating]]*RiskRegister[[#This Row],[Inherent Likelihood Rating]],"-- Error --")</f>
        <v>-- Error --</v>
      </c>
      <c r="R404" s="16" t="s">
        <v>98</v>
      </c>
      <c r="T404" s="16" t="s">
        <v>99</v>
      </c>
      <c r="U404" s="17" t="e" cm="1">
        <f t="array" aca="1" ref="U404" ca="1">+U404:Y1019VLOOKUP(RiskRegister[[#This Row],[Residual Impact Level]],'Rating factors'!$F$4:$G$9,2,FALSE)</f>
        <v>#NAME?</v>
      </c>
      <c r="V404" s="16" t="s">
        <v>79</v>
      </c>
      <c r="W404" s="17" t="str">
        <f>VLOOKUP(RiskRegister[[#This Row],[Residual Likelihood Level]],'Rating factors'!$F$16:$G$21,2,FALSE)</f>
        <v>--- Error ---</v>
      </c>
      <c r="X404" s="17" t="str">
        <f ca="1">IFERROR(VLOOKUP(RiskRegister[[#This Row],[Residual Risk Rating]],'Rating factors'!$F$30:$G$44,2,FALSE),"-- Error --")</f>
        <v>-- Error --</v>
      </c>
      <c r="Y404" s="17" t="str">
        <f ca="1">IFERROR(RiskRegister[[#This Row],[Residual Impact Rating]]*RiskRegister[[#This Row],[Residual Likelihood Rating]],"-- Error --")</f>
        <v>-- Error --</v>
      </c>
      <c r="Z404" s="16" t="s">
        <v>100</v>
      </c>
      <c r="AB404" s="39"/>
      <c r="AD404" s="20"/>
    </row>
    <row r="405" spans="1:30" s="16" customFormat="1" hidden="1" x14ac:dyDescent="0.25">
      <c r="A405" s="16">
        <v>402</v>
      </c>
      <c r="G405" s="16" t="s">
        <v>77</v>
      </c>
      <c r="I405" s="16" t="s">
        <v>75</v>
      </c>
      <c r="L405" s="105" t="s">
        <v>99</v>
      </c>
      <c r="M405" s="17" t="str">
        <f>VLOOKUP(RiskRegister[[#This Row],[Inherent Impact LevelL3:L1020D1007L3:L1019]],'Rating factors'!$F$4:$G$9,2,FALSE)</f>
        <v>--- Error ---</v>
      </c>
      <c r="N405" s="16" t="s">
        <v>79</v>
      </c>
      <c r="O405" s="17" t="str">
        <f>VLOOKUP(RiskRegister[[#This Row],[Inherent Likelihood Level]],'Rating factors'!$F$16:$G$21,2,FALSE)</f>
        <v>--- Error ---</v>
      </c>
      <c r="P405" s="17" t="str">
        <f>IFERROR(VLOOKUP(RiskRegister[[#This Row],[Inherent Risk Rating]],'Rating factors'!$F$30:$G$44,2,FALSE),"-- Error --")</f>
        <v>-- Error --</v>
      </c>
      <c r="Q405" s="17" t="str">
        <f>IFERROR(RiskRegister[[#This Row],[Inherent Impact Rating]]*RiskRegister[[#This Row],[Inherent Likelihood Rating]],"-- Error --")</f>
        <v>-- Error --</v>
      </c>
      <c r="R405" s="16" t="s">
        <v>98</v>
      </c>
      <c r="T405" s="16" t="s">
        <v>99</v>
      </c>
      <c r="U405" s="17" t="e" cm="1">
        <f t="array" aca="1" ref="U405" ca="1">+U405:Y1019VLOOKUP(RiskRegister[[#This Row],[Residual Impact Level]],'Rating factors'!$F$4:$G$9,2,FALSE)</f>
        <v>#NAME?</v>
      </c>
      <c r="V405" s="16" t="s">
        <v>79</v>
      </c>
      <c r="W405" s="17" t="str">
        <f>VLOOKUP(RiskRegister[[#This Row],[Residual Likelihood Level]],'Rating factors'!$F$16:$G$21,2,FALSE)</f>
        <v>--- Error ---</v>
      </c>
      <c r="X405" s="17" t="str">
        <f ca="1">IFERROR(VLOOKUP(RiskRegister[[#This Row],[Residual Risk Rating]],'Rating factors'!$F$30:$G$44,2,FALSE),"-- Error --")</f>
        <v>-- Error --</v>
      </c>
      <c r="Y405" s="17" t="str">
        <f ca="1">IFERROR(RiskRegister[[#This Row],[Residual Impact Rating]]*RiskRegister[[#This Row],[Residual Likelihood Rating]],"-- Error --")</f>
        <v>-- Error --</v>
      </c>
      <c r="Z405" s="16" t="s">
        <v>100</v>
      </c>
      <c r="AB405" s="39"/>
      <c r="AD405" s="20"/>
    </row>
    <row r="406" spans="1:30" s="16" customFormat="1" hidden="1" x14ac:dyDescent="0.25">
      <c r="A406" s="16">
        <v>403</v>
      </c>
      <c r="G406" s="16" t="s">
        <v>77</v>
      </c>
      <c r="I406" s="16" t="s">
        <v>75</v>
      </c>
      <c r="L406" s="105" t="s">
        <v>99</v>
      </c>
      <c r="M406" s="17" t="str">
        <f>VLOOKUP(RiskRegister[[#This Row],[Inherent Impact LevelL3:L1020D1007L3:L1019]],'Rating factors'!$F$4:$G$9,2,FALSE)</f>
        <v>--- Error ---</v>
      </c>
      <c r="N406" s="16" t="s">
        <v>79</v>
      </c>
      <c r="O406" s="17" t="str">
        <f>VLOOKUP(RiskRegister[[#This Row],[Inherent Likelihood Level]],'Rating factors'!$F$16:$G$21,2,FALSE)</f>
        <v>--- Error ---</v>
      </c>
      <c r="P406" s="17" t="str">
        <f>IFERROR(VLOOKUP(RiskRegister[[#This Row],[Inherent Risk Rating]],'Rating factors'!$F$30:$G$44,2,FALSE),"-- Error --")</f>
        <v>-- Error --</v>
      </c>
      <c r="Q406" s="17" t="str">
        <f>IFERROR(RiskRegister[[#This Row],[Inherent Impact Rating]]*RiskRegister[[#This Row],[Inherent Likelihood Rating]],"-- Error --")</f>
        <v>-- Error --</v>
      </c>
      <c r="R406" s="16" t="s">
        <v>98</v>
      </c>
      <c r="T406" s="16" t="s">
        <v>99</v>
      </c>
      <c r="U406" s="17" t="e" cm="1">
        <f t="array" aca="1" ref="U406" ca="1">+U406:Y1019VLOOKUP(RiskRegister[[#This Row],[Residual Impact Level]],'Rating factors'!$F$4:$G$9,2,FALSE)</f>
        <v>#NAME?</v>
      </c>
      <c r="V406" s="16" t="s">
        <v>79</v>
      </c>
      <c r="W406" s="17" t="str">
        <f>VLOOKUP(RiskRegister[[#This Row],[Residual Likelihood Level]],'Rating factors'!$F$16:$G$21,2,FALSE)</f>
        <v>--- Error ---</v>
      </c>
      <c r="X406" s="17" t="str">
        <f ca="1">IFERROR(VLOOKUP(RiskRegister[[#This Row],[Residual Risk Rating]],'Rating factors'!$F$30:$G$44,2,FALSE),"-- Error --")</f>
        <v>-- Error --</v>
      </c>
      <c r="Y406" s="17" t="str">
        <f ca="1">IFERROR(RiskRegister[[#This Row],[Residual Impact Rating]]*RiskRegister[[#This Row],[Residual Likelihood Rating]],"-- Error --")</f>
        <v>-- Error --</v>
      </c>
      <c r="Z406" s="16" t="s">
        <v>100</v>
      </c>
      <c r="AB406" s="39"/>
      <c r="AD406" s="20"/>
    </row>
    <row r="407" spans="1:30" s="16" customFormat="1" hidden="1" x14ac:dyDescent="0.25">
      <c r="A407" s="16">
        <v>404</v>
      </c>
      <c r="G407" s="16" t="s">
        <v>77</v>
      </c>
      <c r="I407" s="16" t="s">
        <v>75</v>
      </c>
      <c r="L407" s="105" t="s">
        <v>99</v>
      </c>
      <c r="M407" s="17" t="str">
        <f>VLOOKUP(RiskRegister[[#This Row],[Inherent Impact LevelL3:L1020D1007L3:L1019]],'Rating factors'!$F$4:$G$9,2,FALSE)</f>
        <v>--- Error ---</v>
      </c>
      <c r="N407" s="16" t="s">
        <v>79</v>
      </c>
      <c r="O407" s="17" t="str">
        <f>VLOOKUP(RiskRegister[[#This Row],[Inherent Likelihood Level]],'Rating factors'!$F$16:$G$21,2,FALSE)</f>
        <v>--- Error ---</v>
      </c>
      <c r="P407" s="17" t="str">
        <f>IFERROR(VLOOKUP(RiskRegister[[#This Row],[Inherent Risk Rating]],'Rating factors'!$F$30:$G$44,2,FALSE),"-- Error --")</f>
        <v>-- Error --</v>
      </c>
      <c r="Q407" s="17" t="str">
        <f>IFERROR(RiskRegister[[#This Row],[Inherent Impact Rating]]*RiskRegister[[#This Row],[Inherent Likelihood Rating]],"-- Error --")</f>
        <v>-- Error --</v>
      </c>
      <c r="R407" s="16" t="s">
        <v>98</v>
      </c>
      <c r="T407" s="16" t="s">
        <v>99</v>
      </c>
      <c r="U407" s="17" t="e" cm="1">
        <f t="array" aca="1" ref="U407" ca="1">+U407:Y1019VLOOKUP(RiskRegister[[#This Row],[Residual Impact Level]],'Rating factors'!$F$4:$G$9,2,FALSE)</f>
        <v>#NAME?</v>
      </c>
      <c r="V407" s="16" t="s">
        <v>79</v>
      </c>
      <c r="W407" s="17" t="str">
        <f>VLOOKUP(RiskRegister[[#This Row],[Residual Likelihood Level]],'Rating factors'!$F$16:$G$21,2,FALSE)</f>
        <v>--- Error ---</v>
      </c>
      <c r="X407" s="17" t="str">
        <f ca="1">IFERROR(VLOOKUP(RiskRegister[[#This Row],[Residual Risk Rating]],'Rating factors'!$F$30:$G$44,2,FALSE),"-- Error --")</f>
        <v>-- Error --</v>
      </c>
      <c r="Y407" s="17" t="str">
        <f ca="1">IFERROR(RiskRegister[[#This Row],[Residual Impact Rating]]*RiskRegister[[#This Row],[Residual Likelihood Rating]],"-- Error --")</f>
        <v>-- Error --</v>
      </c>
      <c r="Z407" s="16" t="s">
        <v>100</v>
      </c>
      <c r="AB407" s="39"/>
      <c r="AD407" s="20"/>
    </row>
    <row r="408" spans="1:30" s="16" customFormat="1" hidden="1" x14ac:dyDescent="0.25">
      <c r="A408" s="16">
        <v>405</v>
      </c>
      <c r="G408" s="16" t="s">
        <v>77</v>
      </c>
      <c r="I408" s="16" t="s">
        <v>75</v>
      </c>
      <c r="L408" s="105" t="s">
        <v>99</v>
      </c>
      <c r="M408" s="17" t="str">
        <f>VLOOKUP(RiskRegister[[#This Row],[Inherent Impact LevelL3:L1020D1007L3:L1019]],'Rating factors'!$F$4:$G$9,2,FALSE)</f>
        <v>--- Error ---</v>
      </c>
      <c r="N408" s="16" t="s">
        <v>79</v>
      </c>
      <c r="O408" s="17" t="str">
        <f>VLOOKUP(RiskRegister[[#This Row],[Inherent Likelihood Level]],'Rating factors'!$F$16:$G$21,2,FALSE)</f>
        <v>--- Error ---</v>
      </c>
      <c r="P408" s="17" t="str">
        <f>IFERROR(VLOOKUP(RiskRegister[[#This Row],[Inherent Risk Rating]],'Rating factors'!$F$30:$G$44,2,FALSE),"-- Error --")</f>
        <v>-- Error --</v>
      </c>
      <c r="Q408" s="17" t="str">
        <f>IFERROR(RiskRegister[[#This Row],[Inherent Impact Rating]]*RiskRegister[[#This Row],[Inherent Likelihood Rating]],"-- Error --")</f>
        <v>-- Error --</v>
      </c>
      <c r="R408" s="16" t="s">
        <v>98</v>
      </c>
      <c r="T408" s="16" t="s">
        <v>99</v>
      </c>
      <c r="U408" s="17" t="e" cm="1">
        <f t="array" aca="1" ref="U408" ca="1">+U408:Y1019VLOOKUP(RiskRegister[[#This Row],[Residual Impact Level]],'Rating factors'!$F$4:$G$9,2,FALSE)</f>
        <v>#NAME?</v>
      </c>
      <c r="V408" s="16" t="s">
        <v>79</v>
      </c>
      <c r="W408" s="17" t="str">
        <f>VLOOKUP(RiskRegister[[#This Row],[Residual Likelihood Level]],'Rating factors'!$F$16:$G$21,2,FALSE)</f>
        <v>--- Error ---</v>
      </c>
      <c r="X408" s="17" t="str">
        <f ca="1">IFERROR(VLOOKUP(RiskRegister[[#This Row],[Residual Risk Rating]],'Rating factors'!$F$30:$G$44,2,FALSE),"-- Error --")</f>
        <v>-- Error --</v>
      </c>
      <c r="Y408" s="17" t="str">
        <f ca="1">IFERROR(RiskRegister[[#This Row],[Residual Impact Rating]]*RiskRegister[[#This Row],[Residual Likelihood Rating]],"-- Error --")</f>
        <v>-- Error --</v>
      </c>
      <c r="Z408" s="16" t="s">
        <v>100</v>
      </c>
      <c r="AB408" s="39"/>
      <c r="AD408" s="20"/>
    </row>
    <row r="409" spans="1:30" s="16" customFormat="1" hidden="1" x14ac:dyDescent="0.25">
      <c r="A409" s="16">
        <v>406</v>
      </c>
      <c r="G409" s="16" t="s">
        <v>77</v>
      </c>
      <c r="I409" s="16" t="s">
        <v>75</v>
      </c>
      <c r="L409" s="105" t="s">
        <v>99</v>
      </c>
      <c r="M409" s="17" t="str">
        <f>VLOOKUP(RiskRegister[[#This Row],[Inherent Impact LevelL3:L1020D1007L3:L1019]],'Rating factors'!$F$4:$G$9,2,FALSE)</f>
        <v>--- Error ---</v>
      </c>
      <c r="N409" s="16" t="s">
        <v>79</v>
      </c>
      <c r="O409" s="17" t="str">
        <f>VLOOKUP(RiskRegister[[#This Row],[Inherent Likelihood Level]],'Rating factors'!$F$16:$G$21,2,FALSE)</f>
        <v>--- Error ---</v>
      </c>
      <c r="P409" s="17" t="str">
        <f>IFERROR(VLOOKUP(RiskRegister[[#This Row],[Inherent Risk Rating]],'Rating factors'!$F$30:$G$44,2,FALSE),"-- Error --")</f>
        <v>-- Error --</v>
      </c>
      <c r="Q409" s="17" t="str">
        <f>IFERROR(RiskRegister[[#This Row],[Inherent Impact Rating]]*RiskRegister[[#This Row],[Inherent Likelihood Rating]],"-- Error --")</f>
        <v>-- Error --</v>
      </c>
      <c r="R409" s="16" t="s">
        <v>98</v>
      </c>
      <c r="T409" s="16" t="s">
        <v>99</v>
      </c>
      <c r="U409" s="17" t="e" cm="1">
        <f t="array" aca="1" ref="U409" ca="1">+U409:Y1019VLOOKUP(RiskRegister[[#This Row],[Residual Impact Level]],'Rating factors'!$F$4:$G$9,2,FALSE)</f>
        <v>#NAME?</v>
      </c>
      <c r="V409" s="16" t="s">
        <v>79</v>
      </c>
      <c r="W409" s="17" t="str">
        <f>VLOOKUP(RiskRegister[[#This Row],[Residual Likelihood Level]],'Rating factors'!$F$16:$G$21,2,FALSE)</f>
        <v>--- Error ---</v>
      </c>
      <c r="X409" s="17" t="str">
        <f ca="1">IFERROR(VLOOKUP(RiskRegister[[#This Row],[Residual Risk Rating]],'Rating factors'!$F$30:$G$44,2,FALSE),"-- Error --")</f>
        <v>-- Error --</v>
      </c>
      <c r="Y409" s="17" t="str">
        <f ca="1">IFERROR(RiskRegister[[#This Row],[Residual Impact Rating]]*RiskRegister[[#This Row],[Residual Likelihood Rating]],"-- Error --")</f>
        <v>-- Error --</v>
      </c>
      <c r="Z409" s="16" t="s">
        <v>100</v>
      </c>
      <c r="AB409" s="39"/>
      <c r="AD409" s="20"/>
    </row>
    <row r="410" spans="1:30" s="16" customFormat="1" hidden="1" x14ac:dyDescent="0.25">
      <c r="A410" s="16">
        <v>407</v>
      </c>
      <c r="G410" s="16" t="s">
        <v>77</v>
      </c>
      <c r="I410" s="16" t="s">
        <v>75</v>
      </c>
      <c r="L410" s="105" t="s">
        <v>99</v>
      </c>
      <c r="M410" s="17" t="str">
        <f>VLOOKUP(RiskRegister[[#This Row],[Inherent Impact LevelL3:L1020D1007L3:L1019]],'Rating factors'!$F$4:$G$9,2,FALSE)</f>
        <v>--- Error ---</v>
      </c>
      <c r="N410" s="16" t="s">
        <v>79</v>
      </c>
      <c r="O410" s="17" t="str">
        <f>VLOOKUP(RiskRegister[[#This Row],[Inherent Likelihood Level]],'Rating factors'!$F$16:$G$21,2,FALSE)</f>
        <v>--- Error ---</v>
      </c>
      <c r="P410" s="17" t="str">
        <f>IFERROR(VLOOKUP(RiskRegister[[#This Row],[Inherent Risk Rating]],'Rating factors'!$F$30:$G$44,2,FALSE),"-- Error --")</f>
        <v>-- Error --</v>
      </c>
      <c r="Q410" s="17" t="str">
        <f>IFERROR(RiskRegister[[#This Row],[Inherent Impact Rating]]*RiskRegister[[#This Row],[Inherent Likelihood Rating]],"-- Error --")</f>
        <v>-- Error --</v>
      </c>
      <c r="R410" s="16" t="s">
        <v>98</v>
      </c>
      <c r="T410" s="16" t="s">
        <v>99</v>
      </c>
      <c r="U410" s="17" t="e" cm="1">
        <f t="array" aca="1" ref="U410" ca="1">+U410:Y1019VLOOKUP(RiskRegister[[#This Row],[Residual Impact Level]],'Rating factors'!$F$4:$G$9,2,FALSE)</f>
        <v>#NAME?</v>
      </c>
      <c r="V410" s="16" t="s">
        <v>79</v>
      </c>
      <c r="W410" s="17" t="str">
        <f>VLOOKUP(RiskRegister[[#This Row],[Residual Likelihood Level]],'Rating factors'!$F$16:$G$21,2,FALSE)</f>
        <v>--- Error ---</v>
      </c>
      <c r="X410" s="17" t="str">
        <f ca="1">IFERROR(VLOOKUP(RiskRegister[[#This Row],[Residual Risk Rating]],'Rating factors'!$F$30:$G$44,2,FALSE),"-- Error --")</f>
        <v>-- Error --</v>
      </c>
      <c r="Y410" s="17" t="str">
        <f ca="1">IFERROR(RiskRegister[[#This Row],[Residual Impact Rating]]*RiskRegister[[#This Row],[Residual Likelihood Rating]],"-- Error --")</f>
        <v>-- Error --</v>
      </c>
      <c r="Z410" s="16" t="s">
        <v>100</v>
      </c>
      <c r="AB410" s="39"/>
      <c r="AD410" s="20"/>
    </row>
    <row r="411" spans="1:30" s="16" customFormat="1" hidden="1" x14ac:dyDescent="0.25">
      <c r="A411" s="16">
        <v>408</v>
      </c>
      <c r="G411" s="16" t="s">
        <v>77</v>
      </c>
      <c r="I411" s="16" t="s">
        <v>75</v>
      </c>
      <c r="L411" s="105" t="s">
        <v>99</v>
      </c>
      <c r="M411" s="17" t="str">
        <f>VLOOKUP(RiskRegister[[#This Row],[Inherent Impact LevelL3:L1020D1007L3:L1019]],'Rating factors'!$F$4:$G$9,2,FALSE)</f>
        <v>--- Error ---</v>
      </c>
      <c r="N411" s="16" t="s">
        <v>79</v>
      </c>
      <c r="O411" s="17" t="str">
        <f>VLOOKUP(RiskRegister[[#This Row],[Inherent Likelihood Level]],'Rating factors'!$F$16:$G$21,2,FALSE)</f>
        <v>--- Error ---</v>
      </c>
      <c r="P411" s="17" t="str">
        <f>IFERROR(VLOOKUP(RiskRegister[[#This Row],[Inherent Risk Rating]],'Rating factors'!$F$30:$G$44,2,FALSE),"-- Error --")</f>
        <v>-- Error --</v>
      </c>
      <c r="Q411" s="17" t="str">
        <f>IFERROR(RiskRegister[[#This Row],[Inherent Impact Rating]]*RiskRegister[[#This Row],[Inherent Likelihood Rating]],"-- Error --")</f>
        <v>-- Error --</v>
      </c>
      <c r="R411" s="16" t="s">
        <v>98</v>
      </c>
      <c r="T411" s="16" t="s">
        <v>99</v>
      </c>
      <c r="U411" s="17" t="e" cm="1">
        <f t="array" aca="1" ref="U411" ca="1">+U411:Y1019VLOOKUP(RiskRegister[[#This Row],[Residual Impact Level]],'Rating factors'!$F$4:$G$9,2,FALSE)</f>
        <v>#NAME?</v>
      </c>
      <c r="V411" s="16" t="s">
        <v>79</v>
      </c>
      <c r="W411" s="17" t="str">
        <f>VLOOKUP(RiskRegister[[#This Row],[Residual Likelihood Level]],'Rating factors'!$F$16:$G$21,2,FALSE)</f>
        <v>--- Error ---</v>
      </c>
      <c r="X411" s="17" t="str">
        <f ca="1">IFERROR(VLOOKUP(RiskRegister[[#This Row],[Residual Risk Rating]],'Rating factors'!$F$30:$G$44,2,FALSE),"-- Error --")</f>
        <v>-- Error --</v>
      </c>
      <c r="Y411" s="17" t="str">
        <f ca="1">IFERROR(RiskRegister[[#This Row],[Residual Impact Rating]]*RiskRegister[[#This Row],[Residual Likelihood Rating]],"-- Error --")</f>
        <v>-- Error --</v>
      </c>
      <c r="Z411" s="16" t="s">
        <v>100</v>
      </c>
      <c r="AB411" s="39"/>
      <c r="AD411" s="20"/>
    </row>
    <row r="412" spans="1:30" s="16" customFormat="1" hidden="1" x14ac:dyDescent="0.25">
      <c r="A412" s="16">
        <v>409</v>
      </c>
      <c r="G412" s="16" t="s">
        <v>77</v>
      </c>
      <c r="I412" s="16" t="s">
        <v>75</v>
      </c>
      <c r="L412" s="105" t="s">
        <v>99</v>
      </c>
      <c r="M412" s="17" t="str">
        <f>VLOOKUP(RiskRegister[[#This Row],[Inherent Impact LevelL3:L1020D1007L3:L1019]],'Rating factors'!$F$4:$G$9,2,FALSE)</f>
        <v>--- Error ---</v>
      </c>
      <c r="N412" s="16" t="s">
        <v>79</v>
      </c>
      <c r="O412" s="17" t="str">
        <f>VLOOKUP(RiskRegister[[#This Row],[Inherent Likelihood Level]],'Rating factors'!$F$16:$G$21,2,FALSE)</f>
        <v>--- Error ---</v>
      </c>
      <c r="P412" s="17" t="str">
        <f>IFERROR(VLOOKUP(RiskRegister[[#This Row],[Inherent Risk Rating]],'Rating factors'!$F$30:$G$44,2,FALSE),"-- Error --")</f>
        <v>-- Error --</v>
      </c>
      <c r="Q412" s="17" t="str">
        <f>IFERROR(RiskRegister[[#This Row],[Inherent Impact Rating]]*RiskRegister[[#This Row],[Inherent Likelihood Rating]],"-- Error --")</f>
        <v>-- Error --</v>
      </c>
      <c r="R412" s="16" t="s">
        <v>98</v>
      </c>
      <c r="T412" s="16" t="s">
        <v>99</v>
      </c>
      <c r="U412" s="17" t="e" cm="1">
        <f t="array" aca="1" ref="U412" ca="1">+U412:Y1019VLOOKUP(RiskRegister[[#This Row],[Residual Impact Level]],'Rating factors'!$F$4:$G$9,2,FALSE)</f>
        <v>#NAME?</v>
      </c>
      <c r="V412" s="16" t="s">
        <v>79</v>
      </c>
      <c r="W412" s="17" t="str">
        <f>VLOOKUP(RiskRegister[[#This Row],[Residual Likelihood Level]],'Rating factors'!$F$16:$G$21,2,FALSE)</f>
        <v>--- Error ---</v>
      </c>
      <c r="X412" s="17" t="str">
        <f ca="1">IFERROR(VLOOKUP(RiskRegister[[#This Row],[Residual Risk Rating]],'Rating factors'!$F$30:$G$44,2,FALSE),"-- Error --")</f>
        <v>-- Error --</v>
      </c>
      <c r="Y412" s="17" t="str">
        <f ca="1">IFERROR(RiskRegister[[#This Row],[Residual Impact Rating]]*RiskRegister[[#This Row],[Residual Likelihood Rating]],"-- Error --")</f>
        <v>-- Error --</v>
      </c>
      <c r="Z412" s="16" t="s">
        <v>100</v>
      </c>
      <c r="AB412" s="39"/>
      <c r="AD412" s="20"/>
    </row>
    <row r="413" spans="1:30" s="16" customFormat="1" hidden="1" x14ac:dyDescent="0.25">
      <c r="A413" s="16">
        <v>410</v>
      </c>
      <c r="G413" s="16" t="s">
        <v>77</v>
      </c>
      <c r="I413" s="16" t="s">
        <v>75</v>
      </c>
      <c r="L413" s="105" t="s">
        <v>99</v>
      </c>
      <c r="M413" s="17" t="str">
        <f>VLOOKUP(RiskRegister[[#This Row],[Inherent Impact LevelL3:L1020D1007L3:L1019]],'Rating factors'!$F$4:$G$9,2,FALSE)</f>
        <v>--- Error ---</v>
      </c>
      <c r="N413" s="16" t="s">
        <v>79</v>
      </c>
      <c r="O413" s="17" t="str">
        <f>VLOOKUP(RiskRegister[[#This Row],[Inherent Likelihood Level]],'Rating factors'!$F$16:$G$21,2,FALSE)</f>
        <v>--- Error ---</v>
      </c>
      <c r="P413" s="17" t="str">
        <f>IFERROR(VLOOKUP(RiskRegister[[#This Row],[Inherent Risk Rating]],'Rating factors'!$F$30:$G$44,2,FALSE),"-- Error --")</f>
        <v>-- Error --</v>
      </c>
      <c r="Q413" s="17" t="str">
        <f>IFERROR(RiskRegister[[#This Row],[Inherent Impact Rating]]*RiskRegister[[#This Row],[Inherent Likelihood Rating]],"-- Error --")</f>
        <v>-- Error --</v>
      </c>
      <c r="R413" s="16" t="s">
        <v>98</v>
      </c>
      <c r="T413" s="16" t="s">
        <v>99</v>
      </c>
      <c r="U413" s="17" t="e" cm="1">
        <f t="array" aca="1" ref="U413" ca="1">+U413:Y1019VLOOKUP(RiskRegister[[#This Row],[Residual Impact Level]],'Rating factors'!$F$4:$G$9,2,FALSE)</f>
        <v>#NAME?</v>
      </c>
      <c r="V413" s="16" t="s">
        <v>79</v>
      </c>
      <c r="W413" s="17" t="str">
        <f>VLOOKUP(RiskRegister[[#This Row],[Residual Likelihood Level]],'Rating factors'!$F$16:$G$21,2,FALSE)</f>
        <v>--- Error ---</v>
      </c>
      <c r="X413" s="17" t="str">
        <f ca="1">IFERROR(VLOOKUP(RiskRegister[[#This Row],[Residual Risk Rating]],'Rating factors'!$F$30:$G$44,2,FALSE),"-- Error --")</f>
        <v>-- Error --</v>
      </c>
      <c r="Y413" s="17" t="str">
        <f ca="1">IFERROR(RiskRegister[[#This Row],[Residual Impact Rating]]*RiskRegister[[#This Row],[Residual Likelihood Rating]],"-- Error --")</f>
        <v>-- Error --</v>
      </c>
      <c r="Z413" s="16" t="s">
        <v>100</v>
      </c>
      <c r="AB413" s="39"/>
      <c r="AD413" s="20"/>
    </row>
    <row r="414" spans="1:30" s="16" customFormat="1" hidden="1" x14ac:dyDescent="0.25">
      <c r="A414" s="16">
        <v>411</v>
      </c>
      <c r="G414" s="16" t="s">
        <v>77</v>
      </c>
      <c r="I414" s="16" t="s">
        <v>75</v>
      </c>
      <c r="L414" s="105" t="s">
        <v>99</v>
      </c>
      <c r="M414" s="17" t="str">
        <f>VLOOKUP(RiskRegister[[#This Row],[Inherent Impact LevelL3:L1020D1007L3:L1019]],'Rating factors'!$F$4:$G$9,2,FALSE)</f>
        <v>--- Error ---</v>
      </c>
      <c r="N414" s="16" t="s">
        <v>79</v>
      </c>
      <c r="O414" s="17" t="str">
        <f>VLOOKUP(RiskRegister[[#This Row],[Inherent Likelihood Level]],'Rating factors'!$F$16:$G$21,2,FALSE)</f>
        <v>--- Error ---</v>
      </c>
      <c r="P414" s="17" t="str">
        <f>IFERROR(VLOOKUP(RiskRegister[[#This Row],[Inherent Risk Rating]],'Rating factors'!$F$30:$G$44,2,FALSE),"-- Error --")</f>
        <v>-- Error --</v>
      </c>
      <c r="Q414" s="17" t="str">
        <f>IFERROR(RiskRegister[[#This Row],[Inherent Impact Rating]]*RiskRegister[[#This Row],[Inherent Likelihood Rating]],"-- Error --")</f>
        <v>-- Error --</v>
      </c>
      <c r="R414" s="16" t="s">
        <v>98</v>
      </c>
      <c r="T414" s="16" t="s">
        <v>99</v>
      </c>
      <c r="U414" s="17" t="e" cm="1">
        <f t="array" aca="1" ref="U414" ca="1">+U414:Y1019VLOOKUP(RiskRegister[[#This Row],[Residual Impact Level]],'Rating factors'!$F$4:$G$9,2,FALSE)</f>
        <v>#NAME?</v>
      </c>
      <c r="V414" s="16" t="s">
        <v>79</v>
      </c>
      <c r="W414" s="17" t="str">
        <f>VLOOKUP(RiskRegister[[#This Row],[Residual Likelihood Level]],'Rating factors'!$F$16:$G$21,2,FALSE)</f>
        <v>--- Error ---</v>
      </c>
      <c r="X414" s="17" t="str">
        <f ca="1">IFERROR(VLOOKUP(RiskRegister[[#This Row],[Residual Risk Rating]],'Rating factors'!$F$30:$G$44,2,FALSE),"-- Error --")</f>
        <v>-- Error --</v>
      </c>
      <c r="Y414" s="17" t="str">
        <f ca="1">IFERROR(RiskRegister[[#This Row],[Residual Impact Rating]]*RiskRegister[[#This Row],[Residual Likelihood Rating]],"-- Error --")</f>
        <v>-- Error --</v>
      </c>
      <c r="Z414" s="16" t="s">
        <v>100</v>
      </c>
      <c r="AB414" s="39"/>
      <c r="AD414" s="20"/>
    </row>
    <row r="415" spans="1:30" s="16" customFormat="1" hidden="1" x14ac:dyDescent="0.25">
      <c r="A415" s="16">
        <v>412</v>
      </c>
      <c r="G415" s="16" t="s">
        <v>77</v>
      </c>
      <c r="I415" s="16" t="s">
        <v>75</v>
      </c>
      <c r="L415" s="105" t="s">
        <v>99</v>
      </c>
      <c r="M415" s="17" t="str">
        <f>VLOOKUP(RiskRegister[[#This Row],[Inherent Impact LevelL3:L1020D1007L3:L1019]],'Rating factors'!$F$4:$G$9,2,FALSE)</f>
        <v>--- Error ---</v>
      </c>
      <c r="N415" s="16" t="s">
        <v>79</v>
      </c>
      <c r="O415" s="17" t="str">
        <f>VLOOKUP(RiskRegister[[#This Row],[Inherent Likelihood Level]],'Rating factors'!$F$16:$G$21,2,FALSE)</f>
        <v>--- Error ---</v>
      </c>
      <c r="P415" s="17" t="str">
        <f>IFERROR(VLOOKUP(RiskRegister[[#This Row],[Inherent Risk Rating]],'Rating factors'!$F$30:$G$44,2,FALSE),"-- Error --")</f>
        <v>-- Error --</v>
      </c>
      <c r="Q415" s="17" t="str">
        <f>IFERROR(RiskRegister[[#This Row],[Inherent Impact Rating]]*RiskRegister[[#This Row],[Inherent Likelihood Rating]],"-- Error --")</f>
        <v>-- Error --</v>
      </c>
      <c r="R415" s="16" t="s">
        <v>98</v>
      </c>
      <c r="T415" s="16" t="s">
        <v>99</v>
      </c>
      <c r="U415" s="17" t="e" cm="1">
        <f t="array" aca="1" ref="U415" ca="1">+U415:Y1019VLOOKUP(RiskRegister[[#This Row],[Residual Impact Level]],'Rating factors'!$F$4:$G$9,2,FALSE)</f>
        <v>#NAME?</v>
      </c>
      <c r="V415" s="16" t="s">
        <v>79</v>
      </c>
      <c r="W415" s="17" t="str">
        <f>VLOOKUP(RiskRegister[[#This Row],[Residual Likelihood Level]],'Rating factors'!$F$16:$G$21,2,FALSE)</f>
        <v>--- Error ---</v>
      </c>
      <c r="X415" s="17" t="str">
        <f ca="1">IFERROR(VLOOKUP(RiskRegister[[#This Row],[Residual Risk Rating]],'Rating factors'!$F$30:$G$44,2,FALSE),"-- Error --")</f>
        <v>-- Error --</v>
      </c>
      <c r="Y415" s="17" t="str">
        <f ca="1">IFERROR(RiskRegister[[#This Row],[Residual Impact Rating]]*RiskRegister[[#This Row],[Residual Likelihood Rating]],"-- Error --")</f>
        <v>-- Error --</v>
      </c>
      <c r="Z415" s="16" t="s">
        <v>100</v>
      </c>
      <c r="AB415" s="39"/>
      <c r="AD415" s="20"/>
    </row>
    <row r="416" spans="1:30" s="16" customFormat="1" hidden="1" x14ac:dyDescent="0.25">
      <c r="A416" s="16">
        <v>413</v>
      </c>
      <c r="G416" s="16" t="s">
        <v>77</v>
      </c>
      <c r="I416" s="16" t="s">
        <v>75</v>
      </c>
      <c r="L416" s="105" t="s">
        <v>99</v>
      </c>
      <c r="M416" s="17" t="str">
        <f>VLOOKUP(RiskRegister[[#This Row],[Inherent Impact LevelL3:L1020D1007L3:L1019]],'Rating factors'!$F$4:$G$9,2,FALSE)</f>
        <v>--- Error ---</v>
      </c>
      <c r="N416" s="16" t="s">
        <v>79</v>
      </c>
      <c r="O416" s="17" t="str">
        <f>VLOOKUP(RiskRegister[[#This Row],[Inherent Likelihood Level]],'Rating factors'!$F$16:$G$21,2,FALSE)</f>
        <v>--- Error ---</v>
      </c>
      <c r="P416" s="17" t="str">
        <f>IFERROR(VLOOKUP(RiskRegister[[#This Row],[Inherent Risk Rating]],'Rating factors'!$F$30:$G$44,2,FALSE),"-- Error --")</f>
        <v>-- Error --</v>
      </c>
      <c r="Q416" s="17" t="str">
        <f>IFERROR(RiskRegister[[#This Row],[Inherent Impact Rating]]*RiskRegister[[#This Row],[Inherent Likelihood Rating]],"-- Error --")</f>
        <v>-- Error --</v>
      </c>
      <c r="R416" s="16" t="s">
        <v>98</v>
      </c>
      <c r="T416" s="16" t="s">
        <v>99</v>
      </c>
      <c r="U416" s="17" t="e" cm="1">
        <f t="array" aca="1" ref="U416" ca="1">+U416:Y1019VLOOKUP(RiskRegister[[#This Row],[Residual Impact Level]],'Rating factors'!$F$4:$G$9,2,FALSE)</f>
        <v>#NAME?</v>
      </c>
      <c r="V416" s="16" t="s">
        <v>79</v>
      </c>
      <c r="W416" s="17" t="str">
        <f>VLOOKUP(RiskRegister[[#This Row],[Residual Likelihood Level]],'Rating factors'!$F$16:$G$21,2,FALSE)</f>
        <v>--- Error ---</v>
      </c>
      <c r="X416" s="17" t="str">
        <f ca="1">IFERROR(VLOOKUP(RiskRegister[[#This Row],[Residual Risk Rating]],'Rating factors'!$F$30:$G$44,2,FALSE),"-- Error --")</f>
        <v>-- Error --</v>
      </c>
      <c r="Y416" s="17" t="str">
        <f ca="1">IFERROR(RiskRegister[[#This Row],[Residual Impact Rating]]*RiskRegister[[#This Row],[Residual Likelihood Rating]],"-- Error --")</f>
        <v>-- Error --</v>
      </c>
      <c r="Z416" s="16" t="s">
        <v>100</v>
      </c>
      <c r="AB416" s="39"/>
      <c r="AD416" s="20"/>
    </row>
    <row r="417" spans="1:30" s="16" customFormat="1" hidden="1" x14ac:dyDescent="0.25">
      <c r="A417" s="16">
        <v>414</v>
      </c>
      <c r="G417" s="16" t="s">
        <v>77</v>
      </c>
      <c r="I417" s="16" t="s">
        <v>75</v>
      </c>
      <c r="L417" s="105" t="s">
        <v>99</v>
      </c>
      <c r="M417" s="17" t="str">
        <f>VLOOKUP(RiskRegister[[#This Row],[Inherent Impact LevelL3:L1020D1007L3:L1019]],'Rating factors'!$F$4:$G$9,2,FALSE)</f>
        <v>--- Error ---</v>
      </c>
      <c r="N417" s="16" t="s">
        <v>79</v>
      </c>
      <c r="O417" s="17" t="str">
        <f>VLOOKUP(RiskRegister[[#This Row],[Inherent Likelihood Level]],'Rating factors'!$F$16:$G$21,2,FALSE)</f>
        <v>--- Error ---</v>
      </c>
      <c r="P417" s="17" t="str">
        <f>IFERROR(VLOOKUP(RiskRegister[[#This Row],[Inherent Risk Rating]],'Rating factors'!$F$30:$G$44,2,FALSE),"-- Error --")</f>
        <v>-- Error --</v>
      </c>
      <c r="Q417" s="17" t="str">
        <f>IFERROR(RiskRegister[[#This Row],[Inherent Impact Rating]]*RiskRegister[[#This Row],[Inherent Likelihood Rating]],"-- Error --")</f>
        <v>-- Error --</v>
      </c>
      <c r="R417" s="16" t="s">
        <v>98</v>
      </c>
      <c r="T417" s="16" t="s">
        <v>99</v>
      </c>
      <c r="U417" s="17" t="e" cm="1">
        <f t="array" aca="1" ref="U417" ca="1">+U417:Y1019VLOOKUP(RiskRegister[[#This Row],[Residual Impact Level]],'Rating factors'!$F$4:$G$9,2,FALSE)</f>
        <v>#NAME?</v>
      </c>
      <c r="V417" s="16" t="s">
        <v>79</v>
      </c>
      <c r="W417" s="17" t="str">
        <f>VLOOKUP(RiskRegister[[#This Row],[Residual Likelihood Level]],'Rating factors'!$F$16:$G$21,2,FALSE)</f>
        <v>--- Error ---</v>
      </c>
      <c r="X417" s="17" t="str">
        <f ca="1">IFERROR(VLOOKUP(RiskRegister[[#This Row],[Residual Risk Rating]],'Rating factors'!$F$30:$G$44,2,FALSE),"-- Error --")</f>
        <v>-- Error --</v>
      </c>
      <c r="Y417" s="17" t="str">
        <f ca="1">IFERROR(RiskRegister[[#This Row],[Residual Impact Rating]]*RiskRegister[[#This Row],[Residual Likelihood Rating]],"-- Error --")</f>
        <v>-- Error --</v>
      </c>
      <c r="Z417" s="16" t="s">
        <v>100</v>
      </c>
      <c r="AB417" s="39"/>
      <c r="AD417" s="20"/>
    </row>
    <row r="418" spans="1:30" s="16" customFormat="1" hidden="1" x14ac:dyDescent="0.25">
      <c r="A418" s="16">
        <v>415</v>
      </c>
      <c r="G418" s="16" t="s">
        <v>77</v>
      </c>
      <c r="I418" s="16" t="s">
        <v>75</v>
      </c>
      <c r="L418" s="105" t="s">
        <v>99</v>
      </c>
      <c r="M418" s="17" t="str">
        <f>VLOOKUP(RiskRegister[[#This Row],[Inherent Impact LevelL3:L1020D1007L3:L1019]],'Rating factors'!$F$4:$G$9,2,FALSE)</f>
        <v>--- Error ---</v>
      </c>
      <c r="N418" s="16" t="s">
        <v>79</v>
      </c>
      <c r="O418" s="17" t="str">
        <f>VLOOKUP(RiskRegister[[#This Row],[Inherent Likelihood Level]],'Rating factors'!$F$16:$G$21,2,FALSE)</f>
        <v>--- Error ---</v>
      </c>
      <c r="P418" s="17" t="str">
        <f>IFERROR(VLOOKUP(RiskRegister[[#This Row],[Inherent Risk Rating]],'Rating factors'!$F$30:$G$44,2,FALSE),"-- Error --")</f>
        <v>-- Error --</v>
      </c>
      <c r="Q418" s="17" t="str">
        <f>IFERROR(RiskRegister[[#This Row],[Inherent Impact Rating]]*RiskRegister[[#This Row],[Inherent Likelihood Rating]],"-- Error --")</f>
        <v>-- Error --</v>
      </c>
      <c r="R418" s="16" t="s">
        <v>98</v>
      </c>
      <c r="T418" s="16" t="s">
        <v>99</v>
      </c>
      <c r="U418" s="17" t="e" cm="1">
        <f t="array" aca="1" ref="U418" ca="1">+U418:Y1019VLOOKUP(RiskRegister[[#This Row],[Residual Impact Level]],'Rating factors'!$F$4:$G$9,2,FALSE)</f>
        <v>#NAME?</v>
      </c>
      <c r="V418" s="16" t="s">
        <v>79</v>
      </c>
      <c r="W418" s="17" t="str">
        <f>VLOOKUP(RiskRegister[[#This Row],[Residual Likelihood Level]],'Rating factors'!$F$16:$G$21,2,FALSE)</f>
        <v>--- Error ---</v>
      </c>
      <c r="X418" s="17" t="str">
        <f ca="1">IFERROR(VLOOKUP(RiskRegister[[#This Row],[Residual Risk Rating]],'Rating factors'!$F$30:$G$44,2,FALSE),"-- Error --")</f>
        <v>-- Error --</v>
      </c>
      <c r="Y418" s="17" t="str">
        <f ca="1">IFERROR(RiskRegister[[#This Row],[Residual Impact Rating]]*RiskRegister[[#This Row],[Residual Likelihood Rating]],"-- Error --")</f>
        <v>-- Error --</v>
      </c>
      <c r="Z418" s="16" t="s">
        <v>100</v>
      </c>
      <c r="AB418" s="39"/>
      <c r="AD418" s="20"/>
    </row>
    <row r="419" spans="1:30" s="16" customFormat="1" hidden="1" x14ac:dyDescent="0.25">
      <c r="A419" s="16">
        <v>416</v>
      </c>
      <c r="G419" s="16" t="s">
        <v>77</v>
      </c>
      <c r="I419" s="16" t="s">
        <v>75</v>
      </c>
      <c r="L419" s="105" t="s">
        <v>99</v>
      </c>
      <c r="M419" s="17" t="str">
        <f>VLOOKUP(RiskRegister[[#This Row],[Inherent Impact LevelL3:L1020D1007L3:L1019]],'Rating factors'!$F$4:$G$9,2,FALSE)</f>
        <v>--- Error ---</v>
      </c>
      <c r="N419" s="16" t="s">
        <v>79</v>
      </c>
      <c r="O419" s="17" t="str">
        <f>VLOOKUP(RiskRegister[[#This Row],[Inherent Likelihood Level]],'Rating factors'!$F$16:$G$21,2,FALSE)</f>
        <v>--- Error ---</v>
      </c>
      <c r="P419" s="17" t="str">
        <f>IFERROR(VLOOKUP(RiskRegister[[#This Row],[Inherent Risk Rating]],'Rating factors'!$F$30:$G$44,2,FALSE),"-- Error --")</f>
        <v>-- Error --</v>
      </c>
      <c r="Q419" s="17" t="str">
        <f>IFERROR(RiskRegister[[#This Row],[Inherent Impact Rating]]*RiskRegister[[#This Row],[Inherent Likelihood Rating]],"-- Error --")</f>
        <v>-- Error --</v>
      </c>
      <c r="R419" s="16" t="s">
        <v>98</v>
      </c>
      <c r="T419" s="16" t="s">
        <v>99</v>
      </c>
      <c r="U419" s="17" t="e" cm="1">
        <f t="array" aca="1" ref="U419" ca="1">+U419:Y1019VLOOKUP(RiskRegister[[#This Row],[Residual Impact Level]],'Rating factors'!$F$4:$G$9,2,FALSE)</f>
        <v>#NAME?</v>
      </c>
      <c r="V419" s="16" t="s">
        <v>79</v>
      </c>
      <c r="W419" s="17" t="str">
        <f>VLOOKUP(RiskRegister[[#This Row],[Residual Likelihood Level]],'Rating factors'!$F$16:$G$21,2,FALSE)</f>
        <v>--- Error ---</v>
      </c>
      <c r="X419" s="17" t="str">
        <f ca="1">IFERROR(VLOOKUP(RiskRegister[[#This Row],[Residual Risk Rating]],'Rating factors'!$F$30:$G$44,2,FALSE),"-- Error --")</f>
        <v>-- Error --</v>
      </c>
      <c r="Y419" s="17" t="str">
        <f ca="1">IFERROR(RiskRegister[[#This Row],[Residual Impact Rating]]*RiskRegister[[#This Row],[Residual Likelihood Rating]],"-- Error --")</f>
        <v>-- Error --</v>
      </c>
      <c r="Z419" s="16" t="s">
        <v>100</v>
      </c>
      <c r="AB419" s="39"/>
      <c r="AD419" s="20"/>
    </row>
    <row r="420" spans="1:30" s="16" customFormat="1" hidden="1" x14ac:dyDescent="0.25">
      <c r="A420" s="16">
        <v>417</v>
      </c>
      <c r="G420" s="16" t="s">
        <v>77</v>
      </c>
      <c r="I420" s="16" t="s">
        <v>75</v>
      </c>
      <c r="L420" s="105" t="s">
        <v>99</v>
      </c>
      <c r="M420" s="17" t="str">
        <f>VLOOKUP(RiskRegister[[#This Row],[Inherent Impact LevelL3:L1020D1007L3:L1019]],'Rating factors'!$F$4:$G$9,2,FALSE)</f>
        <v>--- Error ---</v>
      </c>
      <c r="N420" s="16" t="s">
        <v>79</v>
      </c>
      <c r="O420" s="17" t="str">
        <f>VLOOKUP(RiskRegister[[#This Row],[Inherent Likelihood Level]],'Rating factors'!$F$16:$G$21,2,FALSE)</f>
        <v>--- Error ---</v>
      </c>
      <c r="P420" s="17" t="str">
        <f>IFERROR(VLOOKUP(RiskRegister[[#This Row],[Inherent Risk Rating]],'Rating factors'!$F$30:$G$44,2,FALSE),"-- Error --")</f>
        <v>-- Error --</v>
      </c>
      <c r="Q420" s="17" t="str">
        <f>IFERROR(RiskRegister[[#This Row],[Inherent Impact Rating]]*RiskRegister[[#This Row],[Inherent Likelihood Rating]],"-- Error --")</f>
        <v>-- Error --</v>
      </c>
      <c r="R420" s="16" t="s">
        <v>98</v>
      </c>
      <c r="T420" s="16" t="s">
        <v>99</v>
      </c>
      <c r="U420" s="17" t="e" cm="1">
        <f t="array" aca="1" ref="U420" ca="1">+U420:Y1019VLOOKUP(RiskRegister[[#This Row],[Residual Impact Level]],'Rating factors'!$F$4:$G$9,2,FALSE)</f>
        <v>#NAME?</v>
      </c>
      <c r="V420" s="16" t="s">
        <v>79</v>
      </c>
      <c r="W420" s="17" t="str">
        <f>VLOOKUP(RiskRegister[[#This Row],[Residual Likelihood Level]],'Rating factors'!$F$16:$G$21,2,FALSE)</f>
        <v>--- Error ---</v>
      </c>
      <c r="X420" s="17" t="str">
        <f ca="1">IFERROR(VLOOKUP(RiskRegister[[#This Row],[Residual Risk Rating]],'Rating factors'!$F$30:$G$44,2,FALSE),"-- Error --")</f>
        <v>-- Error --</v>
      </c>
      <c r="Y420" s="17" t="str">
        <f ca="1">IFERROR(RiskRegister[[#This Row],[Residual Impact Rating]]*RiskRegister[[#This Row],[Residual Likelihood Rating]],"-- Error --")</f>
        <v>-- Error --</v>
      </c>
      <c r="Z420" s="16" t="s">
        <v>100</v>
      </c>
      <c r="AB420" s="39"/>
      <c r="AD420" s="20"/>
    </row>
    <row r="421" spans="1:30" s="16" customFormat="1" hidden="1" x14ac:dyDescent="0.25">
      <c r="A421" s="16">
        <v>418</v>
      </c>
      <c r="G421" s="16" t="s">
        <v>77</v>
      </c>
      <c r="I421" s="16" t="s">
        <v>75</v>
      </c>
      <c r="L421" s="105" t="s">
        <v>99</v>
      </c>
      <c r="M421" s="17" t="str">
        <f>VLOOKUP(RiskRegister[[#This Row],[Inherent Impact LevelL3:L1020D1007L3:L1019]],'Rating factors'!$F$4:$G$9,2,FALSE)</f>
        <v>--- Error ---</v>
      </c>
      <c r="N421" s="16" t="s">
        <v>79</v>
      </c>
      <c r="O421" s="17" t="str">
        <f>VLOOKUP(RiskRegister[[#This Row],[Inherent Likelihood Level]],'Rating factors'!$F$16:$G$21,2,FALSE)</f>
        <v>--- Error ---</v>
      </c>
      <c r="P421" s="17" t="str">
        <f>IFERROR(VLOOKUP(RiskRegister[[#This Row],[Inherent Risk Rating]],'Rating factors'!$F$30:$G$44,2,FALSE),"-- Error --")</f>
        <v>-- Error --</v>
      </c>
      <c r="Q421" s="17" t="str">
        <f>IFERROR(RiskRegister[[#This Row],[Inherent Impact Rating]]*RiskRegister[[#This Row],[Inherent Likelihood Rating]],"-- Error --")</f>
        <v>-- Error --</v>
      </c>
      <c r="R421" s="16" t="s">
        <v>98</v>
      </c>
      <c r="T421" s="16" t="s">
        <v>99</v>
      </c>
      <c r="U421" s="17" t="e" cm="1">
        <f t="array" aca="1" ref="U421" ca="1">+U421:Y1019VLOOKUP(RiskRegister[[#This Row],[Residual Impact Level]],'Rating factors'!$F$4:$G$9,2,FALSE)</f>
        <v>#NAME?</v>
      </c>
      <c r="V421" s="16" t="s">
        <v>79</v>
      </c>
      <c r="W421" s="17" t="str">
        <f>VLOOKUP(RiskRegister[[#This Row],[Residual Likelihood Level]],'Rating factors'!$F$16:$G$21,2,FALSE)</f>
        <v>--- Error ---</v>
      </c>
      <c r="X421" s="17" t="str">
        <f ca="1">IFERROR(VLOOKUP(RiskRegister[[#This Row],[Residual Risk Rating]],'Rating factors'!$F$30:$G$44,2,FALSE),"-- Error --")</f>
        <v>-- Error --</v>
      </c>
      <c r="Y421" s="17" t="str">
        <f ca="1">IFERROR(RiskRegister[[#This Row],[Residual Impact Rating]]*RiskRegister[[#This Row],[Residual Likelihood Rating]],"-- Error --")</f>
        <v>-- Error --</v>
      </c>
      <c r="Z421" s="16" t="s">
        <v>100</v>
      </c>
      <c r="AB421" s="39"/>
      <c r="AD421" s="20"/>
    </row>
    <row r="422" spans="1:30" s="16" customFormat="1" hidden="1" x14ac:dyDescent="0.25">
      <c r="A422" s="16">
        <v>419</v>
      </c>
      <c r="G422" s="16" t="s">
        <v>77</v>
      </c>
      <c r="I422" s="16" t="s">
        <v>75</v>
      </c>
      <c r="L422" s="105" t="s">
        <v>99</v>
      </c>
      <c r="M422" s="17" t="str">
        <f>VLOOKUP(RiskRegister[[#This Row],[Inherent Impact LevelL3:L1020D1007L3:L1019]],'Rating factors'!$F$4:$G$9,2,FALSE)</f>
        <v>--- Error ---</v>
      </c>
      <c r="N422" s="16" t="s">
        <v>79</v>
      </c>
      <c r="O422" s="17" t="str">
        <f>VLOOKUP(RiskRegister[[#This Row],[Inherent Likelihood Level]],'Rating factors'!$F$16:$G$21,2,FALSE)</f>
        <v>--- Error ---</v>
      </c>
      <c r="P422" s="17" t="str">
        <f>IFERROR(VLOOKUP(RiskRegister[[#This Row],[Inherent Risk Rating]],'Rating factors'!$F$30:$G$44,2,FALSE),"-- Error --")</f>
        <v>-- Error --</v>
      </c>
      <c r="Q422" s="17" t="str">
        <f>IFERROR(RiskRegister[[#This Row],[Inherent Impact Rating]]*RiskRegister[[#This Row],[Inherent Likelihood Rating]],"-- Error --")</f>
        <v>-- Error --</v>
      </c>
      <c r="R422" s="16" t="s">
        <v>98</v>
      </c>
      <c r="T422" s="16" t="s">
        <v>99</v>
      </c>
      <c r="U422" s="17" t="e" cm="1">
        <f t="array" aca="1" ref="U422" ca="1">+U422:Y1019VLOOKUP(RiskRegister[[#This Row],[Residual Impact Level]],'Rating factors'!$F$4:$G$9,2,FALSE)</f>
        <v>#NAME?</v>
      </c>
      <c r="V422" s="16" t="s">
        <v>79</v>
      </c>
      <c r="W422" s="17" t="str">
        <f>VLOOKUP(RiskRegister[[#This Row],[Residual Likelihood Level]],'Rating factors'!$F$16:$G$21,2,FALSE)</f>
        <v>--- Error ---</v>
      </c>
      <c r="X422" s="17" t="str">
        <f ca="1">IFERROR(VLOOKUP(RiskRegister[[#This Row],[Residual Risk Rating]],'Rating factors'!$F$30:$G$44,2,FALSE),"-- Error --")</f>
        <v>-- Error --</v>
      </c>
      <c r="Y422" s="17" t="str">
        <f ca="1">IFERROR(RiskRegister[[#This Row],[Residual Impact Rating]]*RiskRegister[[#This Row],[Residual Likelihood Rating]],"-- Error --")</f>
        <v>-- Error --</v>
      </c>
      <c r="Z422" s="16" t="s">
        <v>100</v>
      </c>
      <c r="AB422" s="39"/>
      <c r="AD422" s="20"/>
    </row>
    <row r="423" spans="1:30" s="16" customFormat="1" hidden="1" x14ac:dyDescent="0.25">
      <c r="A423" s="16">
        <v>420</v>
      </c>
      <c r="G423" s="16" t="s">
        <v>77</v>
      </c>
      <c r="I423" s="16" t="s">
        <v>75</v>
      </c>
      <c r="L423" s="105" t="s">
        <v>99</v>
      </c>
      <c r="M423" s="17" t="str">
        <f>VLOOKUP(RiskRegister[[#This Row],[Inherent Impact LevelL3:L1020D1007L3:L1019]],'Rating factors'!$F$4:$G$9,2,FALSE)</f>
        <v>--- Error ---</v>
      </c>
      <c r="N423" s="16" t="s">
        <v>79</v>
      </c>
      <c r="O423" s="17" t="str">
        <f>VLOOKUP(RiskRegister[[#This Row],[Inherent Likelihood Level]],'Rating factors'!$F$16:$G$21,2,FALSE)</f>
        <v>--- Error ---</v>
      </c>
      <c r="P423" s="17" t="str">
        <f>IFERROR(VLOOKUP(RiskRegister[[#This Row],[Inherent Risk Rating]],'Rating factors'!$F$30:$G$44,2,FALSE),"-- Error --")</f>
        <v>-- Error --</v>
      </c>
      <c r="Q423" s="17" t="str">
        <f>IFERROR(RiskRegister[[#This Row],[Inherent Impact Rating]]*RiskRegister[[#This Row],[Inherent Likelihood Rating]],"-- Error --")</f>
        <v>-- Error --</v>
      </c>
      <c r="R423" s="16" t="s">
        <v>98</v>
      </c>
      <c r="T423" s="16" t="s">
        <v>99</v>
      </c>
      <c r="U423" s="17" t="e" cm="1">
        <f t="array" aca="1" ref="U423" ca="1">+U423:Y1019VLOOKUP(RiskRegister[[#This Row],[Residual Impact Level]],'Rating factors'!$F$4:$G$9,2,FALSE)</f>
        <v>#NAME?</v>
      </c>
      <c r="V423" s="16" t="s">
        <v>79</v>
      </c>
      <c r="W423" s="17" t="str">
        <f>VLOOKUP(RiskRegister[[#This Row],[Residual Likelihood Level]],'Rating factors'!$F$16:$G$21,2,FALSE)</f>
        <v>--- Error ---</v>
      </c>
      <c r="X423" s="17" t="str">
        <f ca="1">IFERROR(VLOOKUP(RiskRegister[[#This Row],[Residual Risk Rating]],'Rating factors'!$F$30:$G$44,2,FALSE),"-- Error --")</f>
        <v>-- Error --</v>
      </c>
      <c r="Y423" s="17" t="str">
        <f ca="1">IFERROR(RiskRegister[[#This Row],[Residual Impact Rating]]*RiskRegister[[#This Row],[Residual Likelihood Rating]],"-- Error --")</f>
        <v>-- Error --</v>
      </c>
      <c r="Z423" s="16" t="s">
        <v>100</v>
      </c>
      <c r="AB423" s="39"/>
      <c r="AD423" s="20"/>
    </row>
    <row r="424" spans="1:30" s="16" customFormat="1" hidden="1" x14ac:dyDescent="0.25">
      <c r="A424" s="16">
        <v>421</v>
      </c>
      <c r="G424" s="16" t="s">
        <v>77</v>
      </c>
      <c r="I424" s="16" t="s">
        <v>75</v>
      </c>
      <c r="L424" s="105" t="s">
        <v>99</v>
      </c>
      <c r="M424" s="17" t="str">
        <f>VLOOKUP(RiskRegister[[#This Row],[Inherent Impact LevelL3:L1020D1007L3:L1019]],'Rating factors'!$F$4:$G$9,2,FALSE)</f>
        <v>--- Error ---</v>
      </c>
      <c r="N424" s="16" t="s">
        <v>79</v>
      </c>
      <c r="O424" s="17" t="str">
        <f>VLOOKUP(RiskRegister[[#This Row],[Inherent Likelihood Level]],'Rating factors'!$F$16:$G$21,2,FALSE)</f>
        <v>--- Error ---</v>
      </c>
      <c r="P424" s="17" t="str">
        <f>IFERROR(VLOOKUP(RiskRegister[[#This Row],[Inherent Risk Rating]],'Rating factors'!$F$30:$G$44,2,FALSE),"-- Error --")</f>
        <v>-- Error --</v>
      </c>
      <c r="Q424" s="17" t="str">
        <f>IFERROR(RiskRegister[[#This Row],[Inherent Impact Rating]]*RiskRegister[[#This Row],[Inherent Likelihood Rating]],"-- Error --")</f>
        <v>-- Error --</v>
      </c>
      <c r="R424" s="16" t="s">
        <v>98</v>
      </c>
      <c r="T424" s="16" t="s">
        <v>99</v>
      </c>
      <c r="U424" s="17" t="e" cm="1">
        <f t="array" aca="1" ref="U424" ca="1">+U424:Y1019VLOOKUP(RiskRegister[[#This Row],[Residual Impact Level]],'Rating factors'!$F$4:$G$9,2,FALSE)</f>
        <v>#NAME?</v>
      </c>
      <c r="V424" s="16" t="s">
        <v>79</v>
      </c>
      <c r="W424" s="17" t="str">
        <f>VLOOKUP(RiskRegister[[#This Row],[Residual Likelihood Level]],'Rating factors'!$F$16:$G$21,2,FALSE)</f>
        <v>--- Error ---</v>
      </c>
      <c r="X424" s="17" t="str">
        <f ca="1">IFERROR(VLOOKUP(RiskRegister[[#This Row],[Residual Risk Rating]],'Rating factors'!$F$30:$G$44,2,FALSE),"-- Error --")</f>
        <v>-- Error --</v>
      </c>
      <c r="Y424" s="17" t="str">
        <f ca="1">IFERROR(RiskRegister[[#This Row],[Residual Impact Rating]]*RiskRegister[[#This Row],[Residual Likelihood Rating]],"-- Error --")</f>
        <v>-- Error --</v>
      </c>
      <c r="Z424" s="16" t="s">
        <v>100</v>
      </c>
      <c r="AB424" s="39"/>
      <c r="AD424" s="20"/>
    </row>
    <row r="425" spans="1:30" s="16" customFormat="1" hidden="1" x14ac:dyDescent="0.25">
      <c r="A425" s="16">
        <v>422</v>
      </c>
      <c r="G425" s="16" t="s">
        <v>77</v>
      </c>
      <c r="I425" s="16" t="s">
        <v>75</v>
      </c>
      <c r="L425" s="105" t="s">
        <v>99</v>
      </c>
      <c r="M425" s="17" t="str">
        <f>VLOOKUP(RiskRegister[[#This Row],[Inherent Impact LevelL3:L1020D1007L3:L1019]],'Rating factors'!$F$4:$G$9,2,FALSE)</f>
        <v>--- Error ---</v>
      </c>
      <c r="N425" s="16" t="s">
        <v>79</v>
      </c>
      <c r="O425" s="17" t="str">
        <f>VLOOKUP(RiskRegister[[#This Row],[Inherent Likelihood Level]],'Rating factors'!$F$16:$G$21,2,FALSE)</f>
        <v>--- Error ---</v>
      </c>
      <c r="P425" s="17" t="str">
        <f>IFERROR(VLOOKUP(RiskRegister[[#This Row],[Inherent Risk Rating]],'Rating factors'!$F$30:$G$44,2,FALSE),"-- Error --")</f>
        <v>-- Error --</v>
      </c>
      <c r="Q425" s="17" t="str">
        <f>IFERROR(RiskRegister[[#This Row],[Inherent Impact Rating]]*RiskRegister[[#This Row],[Inherent Likelihood Rating]],"-- Error --")</f>
        <v>-- Error --</v>
      </c>
      <c r="R425" s="16" t="s">
        <v>98</v>
      </c>
      <c r="T425" s="16" t="s">
        <v>99</v>
      </c>
      <c r="U425" s="17" t="e" cm="1">
        <f t="array" aca="1" ref="U425" ca="1">+U425:Y1019VLOOKUP(RiskRegister[[#This Row],[Residual Impact Level]],'Rating factors'!$F$4:$G$9,2,FALSE)</f>
        <v>#NAME?</v>
      </c>
      <c r="V425" s="16" t="s">
        <v>79</v>
      </c>
      <c r="W425" s="17" t="str">
        <f>VLOOKUP(RiskRegister[[#This Row],[Residual Likelihood Level]],'Rating factors'!$F$16:$G$21,2,FALSE)</f>
        <v>--- Error ---</v>
      </c>
      <c r="X425" s="17" t="str">
        <f ca="1">IFERROR(VLOOKUP(RiskRegister[[#This Row],[Residual Risk Rating]],'Rating factors'!$F$30:$G$44,2,FALSE),"-- Error --")</f>
        <v>-- Error --</v>
      </c>
      <c r="Y425" s="17" t="str">
        <f ca="1">IFERROR(RiskRegister[[#This Row],[Residual Impact Rating]]*RiskRegister[[#This Row],[Residual Likelihood Rating]],"-- Error --")</f>
        <v>-- Error --</v>
      </c>
      <c r="Z425" s="16" t="s">
        <v>100</v>
      </c>
      <c r="AB425" s="39"/>
      <c r="AD425" s="20"/>
    </row>
    <row r="426" spans="1:30" s="16" customFormat="1" hidden="1" x14ac:dyDescent="0.25">
      <c r="A426" s="16">
        <v>423</v>
      </c>
      <c r="G426" s="16" t="s">
        <v>77</v>
      </c>
      <c r="I426" s="16" t="s">
        <v>75</v>
      </c>
      <c r="L426" s="105" t="s">
        <v>99</v>
      </c>
      <c r="M426" s="17" t="str">
        <f>VLOOKUP(RiskRegister[[#This Row],[Inherent Impact LevelL3:L1020D1007L3:L1019]],'Rating factors'!$F$4:$G$9,2,FALSE)</f>
        <v>--- Error ---</v>
      </c>
      <c r="N426" s="16" t="s">
        <v>79</v>
      </c>
      <c r="O426" s="17" t="str">
        <f>VLOOKUP(RiskRegister[[#This Row],[Inherent Likelihood Level]],'Rating factors'!$F$16:$G$21,2,FALSE)</f>
        <v>--- Error ---</v>
      </c>
      <c r="P426" s="17" t="str">
        <f>IFERROR(VLOOKUP(RiskRegister[[#This Row],[Inherent Risk Rating]],'Rating factors'!$F$30:$G$44,2,FALSE),"-- Error --")</f>
        <v>-- Error --</v>
      </c>
      <c r="Q426" s="17" t="str">
        <f>IFERROR(RiskRegister[[#This Row],[Inherent Impact Rating]]*RiskRegister[[#This Row],[Inherent Likelihood Rating]],"-- Error --")</f>
        <v>-- Error --</v>
      </c>
      <c r="R426" s="16" t="s">
        <v>98</v>
      </c>
      <c r="T426" s="16" t="s">
        <v>99</v>
      </c>
      <c r="U426" s="17" t="e" cm="1">
        <f t="array" aca="1" ref="U426" ca="1">+U426:Y1019VLOOKUP(RiskRegister[[#This Row],[Residual Impact Level]],'Rating factors'!$F$4:$G$9,2,FALSE)</f>
        <v>#NAME?</v>
      </c>
      <c r="V426" s="16" t="s">
        <v>79</v>
      </c>
      <c r="W426" s="17" t="str">
        <f>VLOOKUP(RiskRegister[[#This Row],[Residual Likelihood Level]],'Rating factors'!$F$16:$G$21,2,FALSE)</f>
        <v>--- Error ---</v>
      </c>
      <c r="X426" s="17" t="str">
        <f ca="1">IFERROR(VLOOKUP(RiskRegister[[#This Row],[Residual Risk Rating]],'Rating factors'!$F$30:$G$44,2,FALSE),"-- Error --")</f>
        <v>-- Error --</v>
      </c>
      <c r="Y426" s="17" t="str">
        <f ca="1">IFERROR(RiskRegister[[#This Row],[Residual Impact Rating]]*RiskRegister[[#This Row],[Residual Likelihood Rating]],"-- Error --")</f>
        <v>-- Error --</v>
      </c>
      <c r="Z426" s="16" t="s">
        <v>100</v>
      </c>
      <c r="AB426" s="39"/>
      <c r="AD426" s="20"/>
    </row>
    <row r="427" spans="1:30" s="16" customFormat="1" hidden="1" x14ac:dyDescent="0.25">
      <c r="A427" s="16">
        <v>424</v>
      </c>
      <c r="G427" s="16" t="s">
        <v>77</v>
      </c>
      <c r="I427" s="16" t="s">
        <v>75</v>
      </c>
      <c r="L427" s="105" t="s">
        <v>99</v>
      </c>
      <c r="M427" s="17" t="str">
        <f>VLOOKUP(RiskRegister[[#This Row],[Inherent Impact LevelL3:L1020D1007L3:L1019]],'Rating factors'!$F$4:$G$9,2,FALSE)</f>
        <v>--- Error ---</v>
      </c>
      <c r="N427" s="16" t="s">
        <v>79</v>
      </c>
      <c r="O427" s="17" t="str">
        <f>VLOOKUP(RiskRegister[[#This Row],[Inherent Likelihood Level]],'Rating factors'!$F$16:$G$21,2,FALSE)</f>
        <v>--- Error ---</v>
      </c>
      <c r="P427" s="17" t="str">
        <f>IFERROR(VLOOKUP(RiskRegister[[#This Row],[Inherent Risk Rating]],'Rating factors'!$F$30:$G$44,2,FALSE),"-- Error --")</f>
        <v>-- Error --</v>
      </c>
      <c r="Q427" s="17" t="str">
        <f>IFERROR(RiskRegister[[#This Row],[Inherent Impact Rating]]*RiskRegister[[#This Row],[Inherent Likelihood Rating]],"-- Error --")</f>
        <v>-- Error --</v>
      </c>
      <c r="R427" s="16" t="s">
        <v>98</v>
      </c>
      <c r="T427" s="16" t="s">
        <v>99</v>
      </c>
      <c r="U427" s="17" t="e" cm="1">
        <f t="array" aca="1" ref="U427" ca="1">+U427:Y1019VLOOKUP(RiskRegister[[#This Row],[Residual Impact Level]],'Rating factors'!$F$4:$G$9,2,FALSE)</f>
        <v>#NAME?</v>
      </c>
      <c r="V427" s="16" t="s">
        <v>79</v>
      </c>
      <c r="W427" s="17" t="str">
        <f>VLOOKUP(RiskRegister[[#This Row],[Residual Likelihood Level]],'Rating factors'!$F$16:$G$21,2,FALSE)</f>
        <v>--- Error ---</v>
      </c>
      <c r="X427" s="17" t="str">
        <f ca="1">IFERROR(VLOOKUP(RiskRegister[[#This Row],[Residual Risk Rating]],'Rating factors'!$F$30:$G$44,2,FALSE),"-- Error --")</f>
        <v>-- Error --</v>
      </c>
      <c r="Y427" s="17" t="str">
        <f ca="1">IFERROR(RiskRegister[[#This Row],[Residual Impact Rating]]*RiskRegister[[#This Row],[Residual Likelihood Rating]],"-- Error --")</f>
        <v>-- Error --</v>
      </c>
      <c r="Z427" s="16" t="s">
        <v>100</v>
      </c>
      <c r="AB427" s="39"/>
      <c r="AD427" s="20"/>
    </row>
    <row r="428" spans="1:30" s="16" customFormat="1" hidden="1" x14ac:dyDescent="0.25">
      <c r="A428" s="16">
        <v>425</v>
      </c>
      <c r="G428" s="16" t="s">
        <v>77</v>
      </c>
      <c r="I428" s="16" t="s">
        <v>75</v>
      </c>
      <c r="L428" s="105" t="s">
        <v>99</v>
      </c>
      <c r="M428" s="17" t="str">
        <f>VLOOKUP(RiskRegister[[#This Row],[Inherent Impact LevelL3:L1020D1007L3:L1019]],'Rating factors'!$F$4:$G$9,2,FALSE)</f>
        <v>--- Error ---</v>
      </c>
      <c r="N428" s="16" t="s">
        <v>79</v>
      </c>
      <c r="O428" s="17" t="str">
        <f>VLOOKUP(RiskRegister[[#This Row],[Inherent Likelihood Level]],'Rating factors'!$F$16:$G$21,2,FALSE)</f>
        <v>--- Error ---</v>
      </c>
      <c r="P428" s="17" t="str">
        <f>IFERROR(VLOOKUP(RiskRegister[[#This Row],[Inherent Risk Rating]],'Rating factors'!$F$30:$G$44,2,FALSE),"-- Error --")</f>
        <v>-- Error --</v>
      </c>
      <c r="Q428" s="17" t="str">
        <f>IFERROR(RiskRegister[[#This Row],[Inherent Impact Rating]]*RiskRegister[[#This Row],[Inherent Likelihood Rating]],"-- Error --")</f>
        <v>-- Error --</v>
      </c>
      <c r="R428" s="16" t="s">
        <v>98</v>
      </c>
      <c r="T428" s="16" t="s">
        <v>99</v>
      </c>
      <c r="U428" s="17" t="e" cm="1">
        <f t="array" aca="1" ref="U428" ca="1">+U428:Y1019VLOOKUP(RiskRegister[[#This Row],[Residual Impact Level]],'Rating factors'!$F$4:$G$9,2,FALSE)</f>
        <v>#NAME?</v>
      </c>
      <c r="V428" s="16" t="s">
        <v>79</v>
      </c>
      <c r="W428" s="17" t="str">
        <f>VLOOKUP(RiskRegister[[#This Row],[Residual Likelihood Level]],'Rating factors'!$F$16:$G$21,2,FALSE)</f>
        <v>--- Error ---</v>
      </c>
      <c r="X428" s="17" t="str">
        <f ca="1">IFERROR(VLOOKUP(RiskRegister[[#This Row],[Residual Risk Rating]],'Rating factors'!$F$30:$G$44,2,FALSE),"-- Error --")</f>
        <v>-- Error --</v>
      </c>
      <c r="Y428" s="17" t="str">
        <f ca="1">IFERROR(RiskRegister[[#This Row],[Residual Impact Rating]]*RiskRegister[[#This Row],[Residual Likelihood Rating]],"-- Error --")</f>
        <v>-- Error --</v>
      </c>
      <c r="Z428" s="16" t="s">
        <v>100</v>
      </c>
      <c r="AB428" s="39"/>
      <c r="AD428" s="20"/>
    </row>
    <row r="429" spans="1:30" s="16" customFormat="1" hidden="1" x14ac:dyDescent="0.25">
      <c r="A429" s="16">
        <v>426</v>
      </c>
      <c r="G429" s="16" t="s">
        <v>77</v>
      </c>
      <c r="I429" s="16" t="s">
        <v>75</v>
      </c>
      <c r="L429" s="105" t="s">
        <v>99</v>
      </c>
      <c r="M429" s="17" t="str">
        <f>VLOOKUP(RiskRegister[[#This Row],[Inherent Impact LevelL3:L1020D1007L3:L1019]],'Rating factors'!$F$4:$G$9,2,FALSE)</f>
        <v>--- Error ---</v>
      </c>
      <c r="N429" s="16" t="s">
        <v>79</v>
      </c>
      <c r="O429" s="17" t="str">
        <f>VLOOKUP(RiskRegister[[#This Row],[Inherent Likelihood Level]],'Rating factors'!$F$16:$G$21,2,FALSE)</f>
        <v>--- Error ---</v>
      </c>
      <c r="P429" s="17" t="str">
        <f>IFERROR(VLOOKUP(RiskRegister[[#This Row],[Inherent Risk Rating]],'Rating factors'!$F$30:$G$44,2,FALSE),"-- Error --")</f>
        <v>-- Error --</v>
      </c>
      <c r="Q429" s="17" t="str">
        <f>IFERROR(RiskRegister[[#This Row],[Inherent Impact Rating]]*RiskRegister[[#This Row],[Inherent Likelihood Rating]],"-- Error --")</f>
        <v>-- Error --</v>
      </c>
      <c r="R429" s="16" t="s">
        <v>98</v>
      </c>
      <c r="T429" s="16" t="s">
        <v>99</v>
      </c>
      <c r="U429" s="17" t="e" cm="1">
        <f t="array" aca="1" ref="U429" ca="1">+U429:Y1019VLOOKUP(RiskRegister[[#This Row],[Residual Impact Level]],'Rating factors'!$F$4:$G$9,2,FALSE)</f>
        <v>#NAME?</v>
      </c>
      <c r="V429" s="16" t="s">
        <v>79</v>
      </c>
      <c r="W429" s="17" t="str">
        <f>VLOOKUP(RiskRegister[[#This Row],[Residual Likelihood Level]],'Rating factors'!$F$16:$G$21,2,FALSE)</f>
        <v>--- Error ---</v>
      </c>
      <c r="X429" s="17" t="str">
        <f ca="1">IFERROR(VLOOKUP(RiskRegister[[#This Row],[Residual Risk Rating]],'Rating factors'!$F$30:$G$44,2,FALSE),"-- Error --")</f>
        <v>-- Error --</v>
      </c>
      <c r="Y429" s="17" t="str">
        <f ca="1">IFERROR(RiskRegister[[#This Row],[Residual Impact Rating]]*RiskRegister[[#This Row],[Residual Likelihood Rating]],"-- Error --")</f>
        <v>-- Error --</v>
      </c>
      <c r="Z429" s="16" t="s">
        <v>100</v>
      </c>
      <c r="AB429" s="39"/>
      <c r="AD429" s="20"/>
    </row>
    <row r="430" spans="1:30" s="16" customFormat="1" hidden="1" x14ac:dyDescent="0.25">
      <c r="A430" s="16">
        <v>427</v>
      </c>
      <c r="G430" s="16" t="s">
        <v>77</v>
      </c>
      <c r="I430" s="16" t="s">
        <v>75</v>
      </c>
      <c r="L430" s="105" t="s">
        <v>99</v>
      </c>
      <c r="M430" s="17" t="str">
        <f>VLOOKUP(RiskRegister[[#This Row],[Inherent Impact LevelL3:L1020D1007L3:L1019]],'Rating factors'!$F$4:$G$9,2,FALSE)</f>
        <v>--- Error ---</v>
      </c>
      <c r="N430" s="16" t="s">
        <v>79</v>
      </c>
      <c r="O430" s="17" t="str">
        <f>VLOOKUP(RiskRegister[[#This Row],[Inherent Likelihood Level]],'Rating factors'!$F$16:$G$21,2,FALSE)</f>
        <v>--- Error ---</v>
      </c>
      <c r="P430" s="17" t="str">
        <f>IFERROR(VLOOKUP(RiskRegister[[#This Row],[Inherent Risk Rating]],'Rating factors'!$F$30:$G$44,2,FALSE),"-- Error --")</f>
        <v>-- Error --</v>
      </c>
      <c r="Q430" s="17" t="str">
        <f>IFERROR(RiskRegister[[#This Row],[Inherent Impact Rating]]*RiskRegister[[#This Row],[Inherent Likelihood Rating]],"-- Error --")</f>
        <v>-- Error --</v>
      </c>
      <c r="R430" s="16" t="s">
        <v>98</v>
      </c>
      <c r="T430" s="16" t="s">
        <v>99</v>
      </c>
      <c r="U430" s="17" t="e" cm="1">
        <f t="array" aca="1" ref="U430" ca="1">+U430:Y1019VLOOKUP(RiskRegister[[#This Row],[Residual Impact Level]],'Rating factors'!$F$4:$G$9,2,FALSE)</f>
        <v>#NAME?</v>
      </c>
      <c r="V430" s="16" t="s">
        <v>79</v>
      </c>
      <c r="W430" s="17" t="str">
        <f>VLOOKUP(RiskRegister[[#This Row],[Residual Likelihood Level]],'Rating factors'!$F$16:$G$21,2,FALSE)</f>
        <v>--- Error ---</v>
      </c>
      <c r="X430" s="17" t="str">
        <f ca="1">IFERROR(VLOOKUP(RiskRegister[[#This Row],[Residual Risk Rating]],'Rating factors'!$F$30:$G$44,2,FALSE),"-- Error --")</f>
        <v>-- Error --</v>
      </c>
      <c r="Y430" s="17" t="str">
        <f ca="1">IFERROR(RiskRegister[[#This Row],[Residual Impact Rating]]*RiskRegister[[#This Row],[Residual Likelihood Rating]],"-- Error --")</f>
        <v>-- Error --</v>
      </c>
      <c r="Z430" s="16" t="s">
        <v>100</v>
      </c>
      <c r="AB430" s="39"/>
      <c r="AD430" s="20"/>
    </row>
    <row r="431" spans="1:30" s="16" customFormat="1" hidden="1" x14ac:dyDescent="0.25">
      <c r="A431" s="16">
        <v>428</v>
      </c>
      <c r="G431" s="16" t="s">
        <v>77</v>
      </c>
      <c r="I431" s="16" t="s">
        <v>75</v>
      </c>
      <c r="L431" s="105" t="s">
        <v>99</v>
      </c>
      <c r="M431" s="17" t="str">
        <f>VLOOKUP(RiskRegister[[#This Row],[Inherent Impact LevelL3:L1020D1007L3:L1019]],'Rating factors'!$F$4:$G$9,2,FALSE)</f>
        <v>--- Error ---</v>
      </c>
      <c r="N431" s="16" t="s">
        <v>79</v>
      </c>
      <c r="O431" s="17" t="str">
        <f>VLOOKUP(RiskRegister[[#This Row],[Inherent Likelihood Level]],'Rating factors'!$F$16:$G$21,2,FALSE)</f>
        <v>--- Error ---</v>
      </c>
      <c r="P431" s="17" t="str">
        <f>IFERROR(VLOOKUP(RiskRegister[[#This Row],[Inherent Risk Rating]],'Rating factors'!$F$30:$G$44,2,FALSE),"-- Error --")</f>
        <v>-- Error --</v>
      </c>
      <c r="Q431" s="17" t="str">
        <f>IFERROR(RiskRegister[[#This Row],[Inherent Impact Rating]]*RiskRegister[[#This Row],[Inherent Likelihood Rating]],"-- Error --")</f>
        <v>-- Error --</v>
      </c>
      <c r="R431" s="16" t="s">
        <v>98</v>
      </c>
      <c r="T431" s="16" t="s">
        <v>99</v>
      </c>
      <c r="U431" s="17" t="e" cm="1">
        <f t="array" aca="1" ref="U431" ca="1">+U431:Y1019VLOOKUP(RiskRegister[[#This Row],[Residual Impact Level]],'Rating factors'!$F$4:$G$9,2,FALSE)</f>
        <v>#NAME?</v>
      </c>
      <c r="V431" s="16" t="s">
        <v>79</v>
      </c>
      <c r="W431" s="17" t="str">
        <f>VLOOKUP(RiskRegister[[#This Row],[Residual Likelihood Level]],'Rating factors'!$F$16:$G$21,2,FALSE)</f>
        <v>--- Error ---</v>
      </c>
      <c r="X431" s="17" t="str">
        <f ca="1">IFERROR(VLOOKUP(RiskRegister[[#This Row],[Residual Risk Rating]],'Rating factors'!$F$30:$G$44,2,FALSE),"-- Error --")</f>
        <v>-- Error --</v>
      </c>
      <c r="Y431" s="17" t="str">
        <f ca="1">IFERROR(RiskRegister[[#This Row],[Residual Impact Rating]]*RiskRegister[[#This Row],[Residual Likelihood Rating]],"-- Error --")</f>
        <v>-- Error --</v>
      </c>
      <c r="Z431" s="16" t="s">
        <v>100</v>
      </c>
      <c r="AB431" s="39"/>
      <c r="AD431" s="20"/>
    </row>
    <row r="432" spans="1:30" s="16" customFormat="1" hidden="1" x14ac:dyDescent="0.25">
      <c r="A432" s="16">
        <v>429</v>
      </c>
      <c r="G432" s="16" t="s">
        <v>77</v>
      </c>
      <c r="I432" s="16" t="s">
        <v>75</v>
      </c>
      <c r="L432" s="105" t="s">
        <v>99</v>
      </c>
      <c r="M432" s="17" t="str">
        <f>VLOOKUP(RiskRegister[[#This Row],[Inherent Impact LevelL3:L1020D1007L3:L1019]],'Rating factors'!$F$4:$G$9,2,FALSE)</f>
        <v>--- Error ---</v>
      </c>
      <c r="N432" s="16" t="s">
        <v>79</v>
      </c>
      <c r="O432" s="17" t="str">
        <f>VLOOKUP(RiskRegister[[#This Row],[Inherent Likelihood Level]],'Rating factors'!$F$16:$G$21,2,FALSE)</f>
        <v>--- Error ---</v>
      </c>
      <c r="P432" s="17" t="str">
        <f>IFERROR(VLOOKUP(RiskRegister[[#This Row],[Inherent Risk Rating]],'Rating factors'!$F$30:$G$44,2,FALSE),"-- Error --")</f>
        <v>-- Error --</v>
      </c>
      <c r="Q432" s="17" t="str">
        <f>IFERROR(RiskRegister[[#This Row],[Inherent Impact Rating]]*RiskRegister[[#This Row],[Inherent Likelihood Rating]],"-- Error --")</f>
        <v>-- Error --</v>
      </c>
      <c r="R432" s="16" t="s">
        <v>98</v>
      </c>
      <c r="T432" s="16" t="s">
        <v>99</v>
      </c>
      <c r="U432" s="17" t="e" cm="1">
        <f t="array" aca="1" ref="U432" ca="1">+U432:Y1019VLOOKUP(RiskRegister[[#This Row],[Residual Impact Level]],'Rating factors'!$F$4:$G$9,2,FALSE)</f>
        <v>#NAME?</v>
      </c>
      <c r="V432" s="16" t="s">
        <v>79</v>
      </c>
      <c r="W432" s="17" t="str">
        <f>VLOOKUP(RiskRegister[[#This Row],[Residual Likelihood Level]],'Rating factors'!$F$16:$G$21,2,FALSE)</f>
        <v>--- Error ---</v>
      </c>
      <c r="X432" s="17" t="str">
        <f ca="1">IFERROR(VLOOKUP(RiskRegister[[#This Row],[Residual Risk Rating]],'Rating factors'!$F$30:$G$44,2,FALSE),"-- Error --")</f>
        <v>-- Error --</v>
      </c>
      <c r="Y432" s="17" t="str">
        <f ca="1">IFERROR(RiskRegister[[#This Row],[Residual Impact Rating]]*RiskRegister[[#This Row],[Residual Likelihood Rating]],"-- Error --")</f>
        <v>-- Error --</v>
      </c>
      <c r="Z432" s="16" t="s">
        <v>100</v>
      </c>
      <c r="AB432" s="39"/>
      <c r="AD432" s="20"/>
    </row>
    <row r="433" spans="1:30" s="16" customFormat="1" hidden="1" x14ac:dyDescent="0.25">
      <c r="A433" s="16">
        <v>430</v>
      </c>
      <c r="G433" s="16" t="s">
        <v>77</v>
      </c>
      <c r="I433" s="16" t="s">
        <v>75</v>
      </c>
      <c r="L433" s="105" t="s">
        <v>99</v>
      </c>
      <c r="M433" s="17" t="str">
        <f>VLOOKUP(RiskRegister[[#This Row],[Inherent Impact LevelL3:L1020D1007L3:L1019]],'Rating factors'!$F$4:$G$9,2,FALSE)</f>
        <v>--- Error ---</v>
      </c>
      <c r="N433" s="16" t="s">
        <v>79</v>
      </c>
      <c r="O433" s="17" t="str">
        <f>VLOOKUP(RiskRegister[[#This Row],[Inherent Likelihood Level]],'Rating factors'!$F$16:$G$21,2,FALSE)</f>
        <v>--- Error ---</v>
      </c>
      <c r="P433" s="17" t="str">
        <f>IFERROR(VLOOKUP(RiskRegister[[#This Row],[Inherent Risk Rating]],'Rating factors'!$F$30:$G$44,2,FALSE),"-- Error --")</f>
        <v>-- Error --</v>
      </c>
      <c r="Q433" s="17" t="str">
        <f>IFERROR(RiskRegister[[#This Row],[Inherent Impact Rating]]*RiskRegister[[#This Row],[Inherent Likelihood Rating]],"-- Error --")</f>
        <v>-- Error --</v>
      </c>
      <c r="R433" s="16" t="s">
        <v>98</v>
      </c>
      <c r="T433" s="16" t="s">
        <v>99</v>
      </c>
      <c r="U433" s="17" t="e" cm="1">
        <f t="array" aca="1" ref="U433" ca="1">+U433:Y1019VLOOKUP(RiskRegister[[#This Row],[Residual Impact Level]],'Rating factors'!$F$4:$G$9,2,FALSE)</f>
        <v>#NAME?</v>
      </c>
      <c r="V433" s="16" t="s">
        <v>79</v>
      </c>
      <c r="W433" s="17" t="str">
        <f>VLOOKUP(RiskRegister[[#This Row],[Residual Likelihood Level]],'Rating factors'!$F$16:$G$21,2,FALSE)</f>
        <v>--- Error ---</v>
      </c>
      <c r="X433" s="17" t="str">
        <f ca="1">IFERROR(VLOOKUP(RiskRegister[[#This Row],[Residual Risk Rating]],'Rating factors'!$F$30:$G$44,2,FALSE),"-- Error --")</f>
        <v>-- Error --</v>
      </c>
      <c r="Y433" s="17" t="str">
        <f ca="1">IFERROR(RiskRegister[[#This Row],[Residual Impact Rating]]*RiskRegister[[#This Row],[Residual Likelihood Rating]],"-- Error --")</f>
        <v>-- Error --</v>
      </c>
      <c r="Z433" s="16" t="s">
        <v>100</v>
      </c>
      <c r="AB433" s="39"/>
      <c r="AD433" s="20"/>
    </row>
    <row r="434" spans="1:30" s="16" customFormat="1" hidden="1" x14ac:dyDescent="0.25">
      <c r="A434" s="16">
        <v>431</v>
      </c>
      <c r="G434" s="16" t="s">
        <v>77</v>
      </c>
      <c r="I434" s="16" t="s">
        <v>75</v>
      </c>
      <c r="L434" s="105" t="s">
        <v>99</v>
      </c>
      <c r="M434" s="17" t="str">
        <f>VLOOKUP(RiskRegister[[#This Row],[Inherent Impact LevelL3:L1020D1007L3:L1019]],'Rating factors'!$F$4:$G$9,2,FALSE)</f>
        <v>--- Error ---</v>
      </c>
      <c r="N434" s="16" t="s">
        <v>79</v>
      </c>
      <c r="O434" s="17" t="str">
        <f>VLOOKUP(RiskRegister[[#This Row],[Inherent Likelihood Level]],'Rating factors'!$F$16:$G$21,2,FALSE)</f>
        <v>--- Error ---</v>
      </c>
      <c r="P434" s="17" t="str">
        <f>IFERROR(VLOOKUP(RiskRegister[[#This Row],[Inherent Risk Rating]],'Rating factors'!$F$30:$G$44,2,FALSE),"-- Error --")</f>
        <v>-- Error --</v>
      </c>
      <c r="Q434" s="17" t="str">
        <f>IFERROR(RiskRegister[[#This Row],[Inherent Impact Rating]]*RiskRegister[[#This Row],[Inherent Likelihood Rating]],"-- Error --")</f>
        <v>-- Error --</v>
      </c>
      <c r="R434" s="16" t="s">
        <v>98</v>
      </c>
      <c r="T434" s="16" t="s">
        <v>99</v>
      </c>
      <c r="U434" s="17" t="e" cm="1">
        <f t="array" aca="1" ref="U434" ca="1">+U434:Y1019VLOOKUP(RiskRegister[[#This Row],[Residual Impact Level]],'Rating factors'!$F$4:$G$9,2,FALSE)</f>
        <v>#NAME?</v>
      </c>
      <c r="V434" s="16" t="s">
        <v>79</v>
      </c>
      <c r="W434" s="17" t="str">
        <f>VLOOKUP(RiskRegister[[#This Row],[Residual Likelihood Level]],'Rating factors'!$F$16:$G$21,2,FALSE)</f>
        <v>--- Error ---</v>
      </c>
      <c r="X434" s="17" t="str">
        <f ca="1">IFERROR(VLOOKUP(RiskRegister[[#This Row],[Residual Risk Rating]],'Rating factors'!$F$30:$G$44,2,FALSE),"-- Error --")</f>
        <v>-- Error --</v>
      </c>
      <c r="Y434" s="17" t="str">
        <f ca="1">IFERROR(RiskRegister[[#This Row],[Residual Impact Rating]]*RiskRegister[[#This Row],[Residual Likelihood Rating]],"-- Error --")</f>
        <v>-- Error --</v>
      </c>
      <c r="Z434" s="16" t="s">
        <v>100</v>
      </c>
      <c r="AB434" s="39"/>
      <c r="AD434" s="20"/>
    </row>
    <row r="435" spans="1:30" s="16" customFormat="1" hidden="1" x14ac:dyDescent="0.25">
      <c r="A435" s="16">
        <v>432</v>
      </c>
      <c r="G435" s="16" t="s">
        <v>77</v>
      </c>
      <c r="I435" s="16" t="s">
        <v>75</v>
      </c>
      <c r="L435" s="105" t="s">
        <v>99</v>
      </c>
      <c r="M435" s="17" t="str">
        <f>VLOOKUP(RiskRegister[[#This Row],[Inherent Impact LevelL3:L1020D1007L3:L1019]],'Rating factors'!$F$4:$G$9,2,FALSE)</f>
        <v>--- Error ---</v>
      </c>
      <c r="N435" s="16" t="s">
        <v>79</v>
      </c>
      <c r="O435" s="17" t="str">
        <f>VLOOKUP(RiskRegister[[#This Row],[Inherent Likelihood Level]],'Rating factors'!$F$16:$G$21,2,FALSE)</f>
        <v>--- Error ---</v>
      </c>
      <c r="P435" s="17" t="str">
        <f>IFERROR(VLOOKUP(RiskRegister[[#This Row],[Inherent Risk Rating]],'Rating factors'!$F$30:$G$44,2,FALSE),"-- Error --")</f>
        <v>-- Error --</v>
      </c>
      <c r="Q435" s="17" t="str">
        <f>IFERROR(RiskRegister[[#This Row],[Inherent Impact Rating]]*RiskRegister[[#This Row],[Inherent Likelihood Rating]],"-- Error --")</f>
        <v>-- Error --</v>
      </c>
      <c r="R435" s="16" t="s">
        <v>98</v>
      </c>
      <c r="T435" s="16" t="s">
        <v>99</v>
      </c>
      <c r="U435" s="17" t="e" cm="1">
        <f t="array" aca="1" ref="U435" ca="1">+U435:Y1019VLOOKUP(RiskRegister[[#This Row],[Residual Impact Level]],'Rating factors'!$F$4:$G$9,2,FALSE)</f>
        <v>#NAME?</v>
      </c>
      <c r="V435" s="16" t="s">
        <v>79</v>
      </c>
      <c r="W435" s="17" t="str">
        <f>VLOOKUP(RiskRegister[[#This Row],[Residual Likelihood Level]],'Rating factors'!$F$16:$G$21,2,FALSE)</f>
        <v>--- Error ---</v>
      </c>
      <c r="X435" s="17" t="str">
        <f ca="1">IFERROR(VLOOKUP(RiskRegister[[#This Row],[Residual Risk Rating]],'Rating factors'!$F$30:$G$44,2,FALSE),"-- Error --")</f>
        <v>-- Error --</v>
      </c>
      <c r="Y435" s="17" t="str">
        <f ca="1">IFERROR(RiskRegister[[#This Row],[Residual Impact Rating]]*RiskRegister[[#This Row],[Residual Likelihood Rating]],"-- Error --")</f>
        <v>-- Error --</v>
      </c>
      <c r="Z435" s="16" t="s">
        <v>100</v>
      </c>
      <c r="AB435" s="39"/>
      <c r="AD435" s="20"/>
    </row>
    <row r="436" spans="1:30" s="16" customFormat="1" hidden="1" x14ac:dyDescent="0.25">
      <c r="A436" s="16">
        <v>433</v>
      </c>
      <c r="G436" s="16" t="s">
        <v>77</v>
      </c>
      <c r="I436" s="16" t="s">
        <v>75</v>
      </c>
      <c r="L436" s="105" t="s">
        <v>99</v>
      </c>
      <c r="M436" s="17" t="str">
        <f>VLOOKUP(RiskRegister[[#This Row],[Inherent Impact LevelL3:L1020D1007L3:L1019]],'Rating factors'!$F$4:$G$9,2,FALSE)</f>
        <v>--- Error ---</v>
      </c>
      <c r="N436" s="16" t="s">
        <v>79</v>
      </c>
      <c r="O436" s="17" t="str">
        <f>VLOOKUP(RiskRegister[[#This Row],[Inherent Likelihood Level]],'Rating factors'!$F$16:$G$21,2,FALSE)</f>
        <v>--- Error ---</v>
      </c>
      <c r="P436" s="17" t="str">
        <f>IFERROR(VLOOKUP(RiskRegister[[#This Row],[Inherent Risk Rating]],'Rating factors'!$F$30:$G$44,2,FALSE),"-- Error --")</f>
        <v>-- Error --</v>
      </c>
      <c r="Q436" s="17" t="str">
        <f>IFERROR(RiskRegister[[#This Row],[Inherent Impact Rating]]*RiskRegister[[#This Row],[Inherent Likelihood Rating]],"-- Error --")</f>
        <v>-- Error --</v>
      </c>
      <c r="R436" s="16" t="s">
        <v>98</v>
      </c>
      <c r="T436" s="16" t="s">
        <v>99</v>
      </c>
      <c r="U436" s="17" t="e" cm="1">
        <f t="array" aca="1" ref="U436" ca="1">+U436:Y1019VLOOKUP(RiskRegister[[#This Row],[Residual Impact Level]],'Rating factors'!$F$4:$G$9,2,FALSE)</f>
        <v>#NAME?</v>
      </c>
      <c r="V436" s="16" t="s">
        <v>79</v>
      </c>
      <c r="W436" s="17" t="str">
        <f>VLOOKUP(RiskRegister[[#This Row],[Residual Likelihood Level]],'Rating factors'!$F$16:$G$21,2,FALSE)</f>
        <v>--- Error ---</v>
      </c>
      <c r="X436" s="17" t="str">
        <f ca="1">IFERROR(VLOOKUP(RiskRegister[[#This Row],[Residual Risk Rating]],'Rating factors'!$F$30:$G$44,2,FALSE),"-- Error --")</f>
        <v>-- Error --</v>
      </c>
      <c r="Y436" s="17" t="str">
        <f ca="1">IFERROR(RiskRegister[[#This Row],[Residual Impact Rating]]*RiskRegister[[#This Row],[Residual Likelihood Rating]],"-- Error --")</f>
        <v>-- Error --</v>
      </c>
      <c r="Z436" s="16" t="s">
        <v>100</v>
      </c>
      <c r="AB436" s="39"/>
      <c r="AD436" s="20"/>
    </row>
    <row r="437" spans="1:30" s="16" customFormat="1" hidden="1" x14ac:dyDescent="0.25">
      <c r="A437" s="16">
        <v>434</v>
      </c>
      <c r="G437" s="16" t="s">
        <v>77</v>
      </c>
      <c r="I437" s="16" t="s">
        <v>75</v>
      </c>
      <c r="L437" s="105" t="s">
        <v>99</v>
      </c>
      <c r="M437" s="17" t="str">
        <f>VLOOKUP(RiskRegister[[#This Row],[Inherent Impact LevelL3:L1020D1007L3:L1019]],'Rating factors'!$F$4:$G$9,2,FALSE)</f>
        <v>--- Error ---</v>
      </c>
      <c r="N437" s="16" t="s">
        <v>79</v>
      </c>
      <c r="O437" s="17" t="str">
        <f>VLOOKUP(RiskRegister[[#This Row],[Inherent Likelihood Level]],'Rating factors'!$F$16:$G$21,2,FALSE)</f>
        <v>--- Error ---</v>
      </c>
      <c r="P437" s="17" t="str">
        <f>IFERROR(VLOOKUP(RiskRegister[[#This Row],[Inherent Risk Rating]],'Rating factors'!$F$30:$G$44,2,FALSE),"-- Error --")</f>
        <v>-- Error --</v>
      </c>
      <c r="Q437" s="17" t="str">
        <f>IFERROR(RiskRegister[[#This Row],[Inherent Impact Rating]]*RiskRegister[[#This Row],[Inherent Likelihood Rating]],"-- Error --")</f>
        <v>-- Error --</v>
      </c>
      <c r="R437" s="16" t="s">
        <v>98</v>
      </c>
      <c r="T437" s="16" t="s">
        <v>99</v>
      </c>
      <c r="U437" s="17" t="e" cm="1">
        <f t="array" aca="1" ref="U437" ca="1">+U437:Y1019VLOOKUP(RiskRegister[[#This Row],[Residual Impact Level]],'Rating factors'!$F$4:$G$9,2,FALSE)</f>
        <v>#NAME?</v>
      </c>
      <c r="V437" s="16" t="s">
        <v>79</v>
      </c>
      <c r="W437" s="17" t="str">
        <f>VLOOKUP(RiskRegister[[#This Row],[Residual Likelihood Level]],'Rating factors'!$F$16:$G$21,2,FALSE)</f>
        <v>--- Error ---</v>
      </c>
      <c r="X437" s="17" t="str">
        <f ca="1">IFERROR(VLOOKUP(RiskRegister[[#This Row],[Residual Risk Rating]],'Rating factors'!$F$30:$G$44,2,FALSE),"-- Error --")</f>
        <v>-- Error --</v>
      </c>
      <c r="Y437" s="17" t="str">
        <f ca="1">IFERROR(RiskRegister[[#This Row],[Residual Impact Rating]]*RiskRegister[[#This Row],[Residual Likelihood Rating]],"-- Error --")</f>
        <v>-- Error --</v>
      </c>
      <c r="Z437" s="16" t="s">
        <v>100</v>
      </c>
      <c r="AB437" s="39"/>
      <c r="AD437" s="20"/>
    </row>
    <row r="438" spans="1:30" s="16" customFormat="1" hidden="1" x14ac:dyDescent="0.25">
      <c r="A438" s="16">
        <v>435</v>
      </c>
      <c r="G438" s="16" t="s">
        <v>77</v>
      </c>
      <c r="I438" s="16" t="s">
        <v>75</v>
      </c>
      <c r="L438" s="105" t="s">
        <v>99</v>
      </c>
      <c r="M438" s="17" t="str">
        <f>VLOOKUP(RiskRegister[[#This Row],[Inherent Impact LevelL3:L1020D1007L3:L1019]],'Rating factors'!$F$4:$G$9,2,FALSE)</f>
        <v>--- Error ---</v>
      </c>
      <c r="N438" s="16" t="s">
        <v>79</v>
      </c>
      <c r="O438" s="17" t="str">
        <f>VLOOKUP(RiskRegister[[#This Row],[Inherent Likelihood Level]],'Rating factors'!$F$16:$G$21,2,FALSE)</f>
        <v>--- Error ---</v>
      </c>
      <c r="P438" s="17" t="str">
        <f>IFERROR(VLOOKUP(RiskRegister[[#This Row],[Inherent Risk Rating]],'Rating factors'!$F$30:$G$44,2,FALSE),"-- Error --")</f>
        <v>-- Error --</v>
      </c>
      <c r="Q438" s="17" t="str">
        <f>IFERROR(RiskRegister[[#This Row],[Inherent Impact Rating]]*RiskRegister[[#This Row],[Inherent Likelihood Rating]],"-- Error --")</f>
        <v>-- Error --</v>
      </c>
      <c r="R438" s="16" t="s">
        <v>98</v>
      </c>
      <c r="T438" s="16" t="s">
        <v>99</v>
      </c>
      <c r="U438" s="17" t="e" cm="1">
        <f t="array" aca="1" ref="U438" ca="1">+U438:Y1019VLOOKUP(RiskRegister[[#This Row],[Residual Impact Level]],'Rating factors'!$F$4:$G$9,2,FALSE)</f>
        <v>#NAME?</v>
      </c>
      <c r="V438" s="16" t="s">
        <v>79</v>
      </c>
      <c r="W438" s="17" t="str">
        <f>VLOOKUP(RiskRegister[[#This Row],[Residual Likelihood Level]],'Rating factors'!$F$16:$G$21,2,FALSE)</f>
        <v>--- Error ---</v>
      </c>
      <c r="X438" s="17" t="str">
        <f ca="1">IFERROR(VLOOKUP(RiskRegister[[#This Row],[Residual Risk Rating]],'Rating factors'!$F$30:$G$44,2,FALSE),"-- Error --")</f>
        <v>-- Error --</v>
      </c>
      <c r="Y438" s="17" t="str">
        <f ca="1">IFERROR(RiskRegister[[#This Row],[Residual Impact Rating]]*RiskRegister[[#This Row],[Residual Likelihood Rating]],"-- Error --")</f>
        <v>-- Error --</v>
      </c>
      <c r="Z438" s="16" t="s">
        <v>100</v>
      </c>
      <c r="AB438" s="39"/>
      <c r="AD438" s="20"/>
    </row>
    <row r="439" spans="1:30" s="16" customFormat="1" hidden="1" x14ac:dyDescent="0.25">
      <c r="A439" s="16">
        <v>436</v>
      </c>
      <c r="G439" s="16" t="s">
        <v>77</v>
      </c>
      <c r="I439" s="16" t="s">
        <v>75</v>
      </c>
      <c r="L439" s="105" t="s">
        <v>99</v>
      </c>
      <c r="M439" s="17" t="str">
        <f>VLOOKUP(RiskRegister[[#This Row],[Inherent Impact LevelL3:L1020D1007L3:L1019]],'Rating factors'!$F$4:$G$9,2,FALSE)</f>
        <v>--- Error ---</v>
      </c>
      <c r="N439" s="16" t="s">
        <v>79</v>
      </c>
      <c r="O439" s="17" t="str">
        <f>VLOOKUP(RiskRegister[[#This Row],[Inherent Likelihood Level]],'Rating factors'!$F$16:$G$21,2,FALSE)</f>
        <v>--- Error ---</v>
      </c>
      <c r="P439" s="17" t="str">
        <f>IFERROR(VLOOKUP(RiskRegister[[#This Row],[Inherent Risk Rating]],'Rating factors'!$F$30:$G$44,2,FALSE),"-- Error --")</f>
        <v>-- Error --</v>
      </c>
      <c r="Q439" s="17" t="str">
        <f>IFERROR(RiskRegister[[#This Row],[Inherent Impact Rating]]*RiskRegister[[#This Row],[Inherent Likelihood Rating]],"-- Error --")</f>
        <v>-- Error --</v>
      </c>
      <c r="R439" s="16" t="s">
        <v>98</v>
      </c>
      <c r="T439" s="16" t="s">
        <v>99</v>
      </c>
      <c r="U439" s="17" t="e" cm="1">
        <f t="array" aca="1" ref="U439" ca="1">+U439:Y1019VLOOKUP(RiskRegister[[#This Row],[Residual Impact Level]],'Rating factors'!$F$4:$G$9,2,FALSE)</f>
        <v>#NAME?</v>
      </c>
      <c r="V439" s="16" t="s">
        <v>79</v>
      </c>
      <c r="W439" s="17" t="str">
        <f>VLOOKUP(RiskRegister[[#This Row],[Residual Likelihood Level]],'Rating factors'!$F$16:$G$21,2,FALSE)</f>
        <v>--- Error ---</v>
      </c>
      <c r="X439" s="17" t="str">
        <f ca="1">IFERROR(VLOOKUP(RiskRegister[[#This Row],[Residual Risk Rating]],'Rating factors'!$F$30:$G$44,2,FALSE),"-- Error --")</f>
        <v>-- Error --</v>
      </c>
      <c r="Y439" s="17" t="str">
        <f ca="1">IFERROR(RiskRegister[[#This Row],[Residual Impact Rating]]*RiskRegister[[#This Row],[Residual Likelihood Rating]],"-- Error --")</f>
        <v>-- Error --</v>
      </c>
      <c r="Z439" s="16" t="s">
        <v>100</v>
      </c>
      <c r="AB439" s="39"/>
      <c r="AD439" s="20"/>
    </row>
    <row r="440" spans="1:30" s="16" customFormat="1" hidden="1" x14ac:dyDescent="0.25">
      <c r="A440" s="16">
        <v>437</v>
      </c>
      <c r="G440" s="16" t="s">
        <v>77</v>
      </c>
      <c r="I440" s="16" t="s">
        <v>75</v>
      </c>
      <c r="L440" s="105" t="s">
        <v>99</v>
      </c>
      <c r="M440" s="17" t="str">
        <f>VLOOKUP(RiskRegister[[#This Row],[Inherent Impact LevelL3:L1020D1007L3:L1019]],'Rating factors'!$F$4:$G$9,2,FALSE)</f>
        <v>--- Error ---</v>
      </c>
      <c r="N440" s="16" t="s">
        <v>79</v>
      </c>
      <c r="O440" s="17" t="str">
        <f>VLOOKUP(RiskRegister[[#This Row],[Inherent Likelihood Level]],'Rating factors'!$F$16:$G$21,2,FALSE)</f>
        <v>--- Error ---</v>
      </c>
      <c r="P440" s="17" t="str">
        <f>IFERROR(VLOOKUP(RiskRegister[[#This Row],[Inherent Risk Rating]],'Rating factors'!$F$30:$G$44,2,FALSE),"-- Error --")</f>
        <v>-- Error --</v>
      </c>
      <c r="Q440" s="17" t="str">
        <f>IFERROR(RiskRegister[[#This Row],[Inherent Impact Rating]]*RiskRegister[[#This Row],[Inherent Likelihood Rating]],"-- Error --")</f>
        <v>-- Error --</v>
      </c>
      <c r="R440" s="16" t="s">
        <v>98</v>
      </c>
      <c r="T440" s="16" t="s">
        <v>99</v>
      </c>
      <c r="U440" s="17" t="e" cm="1">
        <f t="array" aca="1" ref="U440" ca="1">+U440:Y1019VLOOKUP(RiskRegister[[#This Row],[Residual Impact Level]],'Rating factors'!$F$4:$G$9,2,FALSE)</f>
        <v>#NAME?</v>
      </c>
      <c r="V440" s="16" t="s">
        <v>79</v>
      </c>
      <c r="W440" s="17" t="str">
        <f>VLOOKUP(RiskRegister[[#This Row],[Residual Likelihood Level]],'Rating factors'!$F$16:$G$21,2,FALSE)</f>
        <v>--- Error ---</v>
      </c>
      <c r="X440" s="17" t="str">
        <f ca="1">IFERROR(VLOOKUP(RiskRegister[[#This Row],[Residual Risk Rating]],'Rating factors'!$F$30:$G$44,2,FALSE),"-- Error --")</f>
        <v>-- Error --</v>
      </c>
      <c r="Y440" s="17" t="str">
        <f ca="1">IFERROR(RiskRegister[[#This Row],[Residual Impact Rating]]*RiskRegister[[#This Row],[Residual Likelihood Rating]],"-- Error --")</f>
        <v>-- Error --</v>
      </c>
      <c r="Z440" s="16" t="s">
        <v>100</v>
      </c>
      <c r="AB440" s="39"/>
      <c r="AD440" s="20"/>
    </row>
    <row r="441" spans="1:30" s="16" customFormat="1" hidden="1" x14ac:dyDescent="0.25">
      <c r="A441" s="16">
        <v>438</v>
      </c>
      <c r="G441" s="16" t="s">
        <v>77</v>
      </c>
      <c r="I441" s="16" t="s">
        <v>75</v>
      </c>
      <c r="L441" s="105" t="s">
        <v>99</v>
      </c>
      <c r="M441" s="17" t="str">
        <f>VLOOKUP(RiskRegister[[#This Row],[Inherent Impact LevelL3:L1020D1007L3:L1019]],'Rating factors'!$F$4:$G$9,2,FALSE)</f>
        <v>--- Error ---</v>
      </c>
      <c r="N441" s="16" t="s">
        <v>79</v>
      </c>
      <c r="O441" s="17" t="str">
        <f>VLOOKUP(RiskRegister[[#This Row],[Inherent Likelihood Level]],'Rating factors'!$F$16:$G$21,2,FALSE)</f>
        <v>--- Error ---</v>
      </c>
      <c r="P441" s="17" t="str">
        <f>IFERROR(VLOOKUP(RiskRegister[[#This Row],[Inherent Risk Rating]],'Rating factors'!$F$30:$G$44,2,FALSE),"-- Error --")</f>
        <v>-- Error --</v>
      </c>
      <c r="Q441" s="17" t="str">
        <f>IFERROR(RiskRegister[[#This Row],[Inherent Impact Rating]]*RiskRegister[[#This Row],[Inherent Likelihood Rating]],"-- Error --")</f>
        <v>-- Error --</v>
      </c>
      <c r="R441" s="16" t="s">
        <v>98</v>
      </c>
      <c r="T441" s="16" t="s">
        <v>99</v>
      </c>
      <c r="U441" s="17" t="e" cm="1">
        <f t="array" aca="1" ref="U441" ca="1">+U441:Y1019VLOOKUP(RiskRegister[[#This Row],[Residual Impact Level]],'Rating factors'!$F$4:$G$9,2,FALSE)</f>
        <v>#NAME?</v>
      </c>
      <c r="V441" s="16" t="s">
        <v>79</v>
      </c>
      <c r="W441" s="17" t="str">
        <f>VLOOKUP(RiskRegister[[#This Row],[Residual Likelihood Level]],'Rating factors'!$F$16:$G$21,2,FALSE)</f>
        <v>--- Error ---</v>
      </c>
      <c r="X441" s="17" t="str">
        <f ca="1">IFERROR(VLOOKUP(RiskRegister[[#This Row],[Residual Risk Rating]],'Rating factors'!$F$30:$G$44,2,FALSE),"-- Error --")</f>
        <v>-- Error --</v>
      </c>
      <c r="Y441" s="17" t="str">
        <f ca="1">IFERROR(RiskRegister[[#This Row],[Residual Impact Rating]]*RiskRegister[[#This Row],[Residual Likelihood Rating]],"-- Error --")</f>
        <v>-- Error --</v>
      </c>
      <c r="Z441" s="16" t="s">
        <v>100</v>
      </c>
      <c r="AB441" s="39"/>
      <c r="AD441" s="20"/>
    </row>
    <row r="442" spans="1:30" s="16" customFormat="1" hidden="1" x14ac:dyDescent="0.25">
      <c r="A442" s="16">
        <v>439</v>
      </c>
      <c r="G442" s="16" t="s">
        <v>77</v>
      </c>
      <c r="I442" s="16" t="s">
        <v>75</v>
      </c>
      <c r="L442" s="105" t="s">
        <v>99</v>
      </c>
      <c r="M442" s="17" t="str">
        <f>VLOOKUP(RiskRegister[[#This Row],[Inherent Impact LevelL3:L1020D1007L3:L1019]],'Rating factors'!$F$4:$G$9,2,FALSE)</f>
        <v>--- Error ---</v>
      </c>
      <c r="N442" s="16" t="s">
        <v>79</v>
      </c>
      <c r="O442" s="17" t="str">
        <f>VLOOKUP(RiskRegister[[#This Row],[Inherent Likelihood Level]],'Rating factors'!$F$16:$G$21,2,FALSE)</f>
        <v>--- Error ---</v>
      </c>
      <c r="P442" s="17" t="str">
        <f>IFERROR(VLOOKUP(RiskRegister[[#This Row],[Inherent Risk Rating]],'Rating factors'!$F$30:$G$44,2,FALSE),"-- Error --")</f>
        <v>-- Error --</v>
      </c>
      <c r="Q442" s="17" t="str">
        <f>IFERROR(RiskRegister[[#This Row],[Inherent Impact Rating]]*RiskRegister[[#This Row],[Inherent Likelihood Rating]],"-- Error --")</f>
        <v>-- Error --</v>
      </c>
      <c r="R442" s="16" t="s">
        <v>98</v>
      </c>
      <c r="T442" s="16" t="s">
        <v>99</v>
      </c>
      <c r="U442" s="17" t="e" cm="1">
        <f t="array" aca="1" ref="U442" ca="1">+U442:Y1019VLOOKUP(RiskRegister[[#This Row],[Residual Impact Level]],'Rating factors'!$F$4:$G$9,2,FALSE)</f>
        <v>#NAME?</v>
      </c>
      <c r="V442" s="16" t="s">
        <v>79</v>
      </c>
      <c r="W442" s="17" t="str">
        <f>VLOOKUP(RiskRegister[[#This Row],[Residual Likelihood Level]],'Rating factors'!$F$16:$G$21,2,FALSE)</f>
        <v>--- Error ---</v>
      </c>
      <c r="X442" s="17" t="str">
        <f ca="1">IFERROR(VLOOKUP(RiskRegister[[#This Row],[Residual Risk Rating]],'Rating factors'!$F$30:$G$44,2,FALSE),"-- Error --")</f>
        <v>-- Error --</v>
      </c>
      <c r="Y442" s="17" t="str">
        <f ca="1">IFERROR(RiskRegister[[#This Row],[Residual Impact Rating]]*RiskRegister[[#This Row],[Residual Likelihood Rating]],"-- Error --")</f>
        <v>-- Error --</v>
      </c>
      <c r="Z442" s="16" t="s">
        <v>100</v>
      </c>
      <c r="AB442" s="39"/>
      <c r="AD442" s="20"/>
    </row>
    <row r="443" spans="1:30" s="16" customFormat="1" hidden="1" x14ac:dyDescent="0.25">
      <c r="A443" s="16">
        <v>440</v>
      </c>
      <c r="G443" s="16" t="s">
        <v>77</v>
      </c>
      <c r="I443" s="16" t="s">
        <v>75</v>
      </c>
      <c r="L443" s="105" t="s">
        <v>99</v>
      </c>
      <c r="M443" s="17" t="str">
        <f>VLOOKUP(RiskRegister[[#This Row],[Inherent Impact LevelL3:L1020D1007L3:L1019]],'Rating factors'!$F$4:$G$9,2,FALSE)</f>
        <v>--- Error ---</v>
      </c>
      <c r="N443" s="16" t="s">
        <v>79</v>
      </c>
      <c r="O443" s="17" t="str">
        <f>VLOOKUP(RiskRegister[[#This Row],[Inherent Likelihood Level]],'Rating factors'!$F$16:$G$21,2,FALSE)</f>
        <v>--- Error ---</v>
      </c>
      <c r="P443" s="17" t="str">
        <f>IFERROR(VLOOKUP(RiskRegister[[#This Row],[Inherent Risk Rating]],'Rating factors'!$F$30:$G$44,2,FALSE),"-- Error --")</f>
        <v>-- Error --</v>
      </c>
      <c r="Q443" s="17" t="str">
        <f>IFERROR(RiskRegister[[#This Row],[Inherent Impact Rating]]*RiskRegister[[#This Row],[Inherent Likelihood Rating]],"-- Error --")</f>
        <v>-- Error --</v>
      </c>
      <c r="R443" s="16" t="s">
        <v>98</v>
      </c>
      <c r="T443" s="16" t="s">
        <v>99</v>
      </c>
      <c r="U443" s="17" t="e" cm="1">
        <f t="array" aca="1" ref="U443" ca="1">+U443:Y1019VLOOKUP(RiskRegister[[#This Row],[Residual Impact Level]],'Rating factors'!$F$4:$G$9,2,FALSE)</f>
        <v>#NAME?</v>
      </c>
      <c r="V443" s="16" t="s">
        <v>79</v>
      </c>
      <c r="W443" s="17" t="str">
        <f>VLOOKUP(RiskRegister[[#This Row],[Residual Likelihood Level]],'Rating factors'!$F$16:$G$21,2,FALSE)</f>
        <v>--- Error ---</v>
      </c>
      <c r="X443" s="17" t="str">
        <f ca="1">IFERROR(VLOOKUP(RiskRegister[[#This Row],[Residual Risk Rating]],'Rating factors'!$F$30:$G$44,2,FALSE),"-- Error --")</f>
        <v>-- Error --</v>
      </c>
      <c r="Y443" s="17" t="str">
        <f ca="1">IFERROR(RiskRegister[[#This Row],[Residual Impact Rating]]*RiskRegister[[#This Row],[Residual Likelihood Rating]],"-- Error --")</f>
        <v>-- Error --</v>
      </c>
      <c r="Z443" s="16" t="s">
        <v>100</v>
      </c>
      <c r="AB443" s="39"/>
      <c r="AD443" s="20"/>
    </row>
    <row r="444" spans="1:30" s="16" customFormat="1" hidden="1" x14ac:dyDescent="0.25">
      <c r="A444" s="16">
        <v>441</v>
      </c>
      <c r="G444" s="16" t="s">
        <v>77</v>
      </c>
      <c r="I444" s="16" t="s">
        <v>75</v>
      </c>
      <c r="L444" s="105" t="s">
        <v>99</v>
      </c>
      <c r="M444" s="17" t="str">
        <f>VLOOKUP(RiskRegister[[#This Row],[Inherent Impact LevelL3:L1020D1007L3:L1019]],'Rating factors'!$F$4:$G$9,2,FALSE)</f>
        <v>--- Error ---</v>
      </c>
      <c r="N444" s="16" t="s">
        <v>79</v>
      </c>
      <c r="O444" s="17" t="str">
        <f>VLOOKUP(RiskRegister[[#This Row],[Inherent Likelihood Level]],'Rating factors'!$F$16:$G$21,2,FALSE)</f>
        <v>--- Error ---</v>
      </c>
      <c r="P444" s="17" t="str">
        <f>IFERROR(VLOOKUP(RiskRegister[[#This Row],[Inherent Risk Rating]],'Rating factors'!$F$30:$G$44,2,FALSE),"-- Error --")</f>
        <v>-- Error --</v>
      </c>
      <c r="Q444" s="17" t="str">
        <f>IFERROR(RiskRegister[[#This Row],[Inherent Impact Rating]]*RiskRegister[[#This Row],[Inherent Likelihood Rating]],"-- Error --")</f>
        <v>-- Error --</v>
      </c>
      <c r="R444" s="16" t="s">
        <v>98</v>
      </c>
      <c r="T444" s="16" t="s">
        <v>99</v>
      </c>
      <c r="U444" s="17" t="e" cm="1">
        <f t="array" aca="1" ref="U444" ca="1">+U444:Y1019VLOOKUP(RiskRegister[[#This Row],[Residual Impact Level]],'Rating factors'!$F$4:$G$9,2,FALSE)</f>
        <v>#NAME?</v>
      </c>
      <c r="V444" s="16" t="s">
        <v>79</v>
      </c>
      <c r="W444" s="17" t="str">
        <f>VLOOKUP(RiskRegister[[#This Row],[Residual Likelihood Level]],'Rating factors'!$F$16:$G$21,2,FALSE)</f>
        <v>--- Error ---</v>
      </c>
      <c r="X444" s="17" t="str">
        <f ca="1">IFERROR(VLOOKUP(RiskRegister[[#This Row],[Residual Risk Rating]],'Rating factors'!$F$30:$G$44,2,FALSE),"-- Error --")</f>
        <v>-- Error --</v>
      </c>
      <c r="Y444" s="17" t="str">
        <f ca="1">IFERROR(RiskRegister[[#This Row],[Residual Impact Rating]]*RiskRegister[[#This Row],[Residual Likelihood Rating]],"-- Error --")</f>
        <v>-- Error --</v>
      </c>
      <c r="Z444" s="16" t="s">
        <v>100</v>
      </c>
      <c r="AB444" s="39"/>
      <c r="AD444" s="20"/>
    </row>
    <row r="445" spans="1:30" s="16" customFormat="1" hidden="1" x14ac:dyDescent="0.25">
      <c r="A445" s="16">
        <v>442</v>
      </c>
      <c r="G445" s="16" t="s">
        <v>77</v>
      </c>
      <c r="I445" s="16" t="s">
        <v>75</v>
      </c>
      <c r="L445" s="105" t="s">
        <v>99</v>
      </c>
      <c r="M445" s="17" t="str">
        <f>VLOOKUP(RiskRegister[[#This Row],[Inherent Impact LevelL3:L1020D1007L3:L1019]],'Rating factors'!$F$4:$G$9,2,FALSE)</f>
        <v>--- Error ---</v>
      </c>
      <c r="N445" s="16" t="s">
        <v>79</v>
      </c>
      <c r="O445" s="17" t="str">
        <f>VLOOKUP(RiskRegister[[#This Row],[Inherent Likelihood Level]],'Rating factors'!$F$16:$G$21,2,FALSE)</f>
        <v>--- Error ---</v>
      </c>
      <c r="P445" s="17" t="str">
        <f>IFERROR(VLOOKUP(RiskRegister[[#This Row],[Inherent Risk Rating]],'Rating factors'!$F$30:$G$44,2,FALSE),"-- Error --")</f>
        <v>-- Error --</v>
      </c>
      <c r="Q445" s="17" t="str">
        <f>IFERROR(RiskRegister[[#This Row],[Inherent Impact Rating]]*RiskRegister[[#This Row],[Inherent Likelihood Rating]],"-- Error --")</f>
        <v>-- Error --</v>
      </c>
      <c r="R445" s="16" t="s">
        <v>98</v>
      </c>
      <c r="T445" s="16" t="s">
        <v>99</v>
      </c>
      <c r="U445" s="17" t="e" cm="1">
        <f t="array" aca="1" ref="U445" ca="1">+U445:Y1019VLOOKUP(RiskRegister[[#This Row],[Residual Impact Level]],'Rating factors'!$F$4:$G$9,2,FALSE)</f>
        <v>#NAME?</v>
      </c>
      <c r="V445" s="16" t="s">
        <v>79</v>
      </c>
      <c r="W445" s="17" t="str">
        <f>VLOOKUP(RiskRegister[[#This Row],[Residual Likelihood Level]],'Rating factors'!$F$16:$G$21,2,FALSE)</f>
        <v>--- Error ---</v>
      </c>
      <c r="X445" s="17" t="str">
        <f ca="1">IFERROR(VLOOKUP(RiskRegister[[#This Row],[Residual Risk Rating]],'Rating factors'!$F$30:$G$44,2,FALSE),"-- Error --")</f>
        <v>-- Error --</v>
      </c>
      <c r="Y445" s="17" t="str">
        <f ca="1">IFERROR(RiskRegister[[#This Row],[Residual Impact Rating]]*RiskRegister[[#This Row],[Residual Likelihood Rating]],"-- Error --")</f>
        <v>-- Error --</v>
      </c>
      <c r="Z445" s="16" t="s">
        <v>100</v>
      </c>
      <c r="AB445" s="39"/>
      <c r="AD445" s="20"/>
    </row>
    <row r="446" spans="1:30" s="16" customFormat="1" hidden="1" x14ac:dyDescent="0.25">
      <c r="A446" s="16">
        <v>443</v>
      </c>
      <c r="G446" s="16" t="s">
        <v>77</v>
      </c>
      <c r="I446" s="16" t="s">
        <v>75</v>
      </c>
      <c r="L446" s="105" t="s">
        <v>99</v>
      </c>
      <c r="M446" s="17" t="str">
        <f>VLOOKUP(RiskRegister[[#This Row],[Inherent Impact LevelL3:L1020D1007L3:L1019]],'Rating factors'!$F$4:$G$9,2,FALSE)</f>
        <v>--- Error ---</v>
      </c>
      <c r="N446" s="16" t="s">
        <v>79</v>
      </c>
      <c r="O446" s="17" t="str">
        <f>VLOOKUP(RiskRegister[[#This Row],[Inherent Likelihood Level]],'Rating factors'!$F$16:$G$21,2,FALSE)</f>
        <v>--- Error ---</v>
      </c>
      <c r="P446" s="17" t="str">
        <f>IFERROR(VLOOKUP(RiskRegister[[#This Row],[Inherent Risk Rating]],'Rating factors'!$F$30:$G$44,2,FALSE),"-- Error --")</f>
        <v>-- Error --</v>
      </c>
      <c r="Q446" s="17" t="str">
        <f>IFERROR(RiskRegister[[#This Row],[Inherent Impact Rating]]*RiskRegister[[#This Row],[Inherent Likelihood Rating]],"-- Error --")</f>
        <v>-- Error --</v>
      </c>
      <c r="R446" s="16" t="s">
        <v>98</v>
      </c>
      <c r="T446" s="16" t="s">
        <v>99</v>
      </c>
      <c r="U446" s="17" t="e" cm="1">
        <f t="array" aca="1" ref="U446" ca="1">+U446:Y1019VLOOKUP(RiskRegister[[#This Row],[Residual Impact Level]],'Rating factors'!$F$4:$G$9,2,FALSE)</f>
        <v>#NAME?</v>
      </c>
      <c r="V446" s="16" t="s">
        <v>79</v>
      </c>
      <c r="W446" s="17" t="str">
        <f>VLOOKUP(RiskRegister[[#This Row],[Residual Likelihood Level]],'Rating factors'!$F$16:$G$21,2,FALSE)</f>
        <v>--- Error ---</v>
      </c>
      <c r="X446" s="17" t="str">
        <f ca="1">IFERROR(VLOOKUP(RiskRegister[[#This Row],[Residual Risk Rating]],'Rating factors'!$F$30:$G$44,2,FALSE),"-- Error --")</f>
        <v>-- Error --</v>
      </c>
      <c r="Y446" s="17" t="str">
        <f ca="1">IFERROR(RiskRegister[[#This Row],[Residual Impact Rating]]*RiskRegister[[#This Row],[Residual Likelihood Rating]],"-- Error --")</f>
        <v>-- Error --</v>
      </c>
      <c r="Z446" s="16" t="s">
        <v>100</v>
      </c>
      <c r="AB446" s="39"/>
      <c r="AD446" s="20"/>
    </row>
    <row r="447" spans="1:30" s="16" customFormat="1" hidden="1" x14ac:dyDescent="0.25">
      <c r="A447" s="16">
        <v>444</v>
      </c>
      <c r="G447" s="16" t="s">
        <v>77</v>
      </c>
      <c r="I447" s="16" t="s">
        <v>75</v>
      </c>
      <c r="L447" s="105" t="s">
        <v>99</v>
      </c>
      <c r="M447" s="17" t="str">
        <f>VLOOKUP(RiskRegister[[#This Row],[Inherent Impact LevelL3:L1020D1007L3:L1019]],'Rating factors'!$F$4:$G$9,2,FALSE)</f>
        <v>--- Error ---</v>
      </c>
      <c r="N447" s="16" t="s">
        <v>79</v>
      </c>
      <c r="O447" s="17" t="str">
        <f>VLOOKUP(RiskRegister[[#This Row],[Inherent Likelihood Level]],'Rating factors'!$F$16:$G$21,2,FALSE)</f>
        <v>--- Error ---</v>
      </c>
      <c r="P447" s="17" t="str">
        <f>IFERROR(VLOOKUP(RiskRegister[[#This Row],[Inherent Risk Rating]],'Rating factors'!$F$30:$G$44,2,FALSE),"-- Error --")</f>
        <v>-- Error --</v>
      </c>
      <c r="Q447" s="17" t="str">
        <f>IFERROR(RiskRegister[[#This Row],[Inherent Impact Rating]]*RiskRegister[[#This Row],[Inherent Likelihood Rating]],"-- Error --")</f>
        <v>-- Error --</v>
      </c>
      <c r="R447" s="16" t="s">
        <v>98</v>
      </c>
      <c r="T447" s="16" t="s">
        <v>99</v>
      </c>
      <c r="U447" s="17" t="e" cm="1">
        <f t="array" aca="1" ref="U447" ca="1">+U447:Y1019VLOOKUP(RiskRegister[[#This Row],[Residual Impact Level]],'Rating factors'!$F$4:$G$9,2,FALSE)</f>
        <v>#NAME?</v>
      </c>
      <c r="V447" s="16" t="s">
        <v>79</v>
      </c>
      <c r="W447" s="17" t="str">
        <f>VLOOKUP(RiskRegister[[#This Row],[Residual Likelihood Level]],'Rating factors'!$F$16:$G$21,2,FALSE)</f>
        <v>--- Error ---</v>
      </c>
      <c r="X447" s="17" t="str">
        <f ca="1">IFERROR(VLOOKUP(RiskRegister[[#This Row],[Residual Risk Rating]],'Rating factors'!$F$30:$G$44,2,FALSE),"-- Error --")</f>
        <v>-- Error --</v>
      </c>
      <c r="Y447" s="17" t="str">
        <f ca="1">IFERROR(RiskRegister[[#This Row],[Residual Impact Rating]]*RiskRegister[[#This Row],[Residual Likelihood Rating]],"-- Error --")</f>
        <v>-- Error --</v>
      </c>
      <c r="Z447" s="16" t="s">
        <v>100</v>
      </c>
      <c r="AB447" s="39"/>
      <c r="AD447" s="20"/>
    </row>
    <row r="448" spans="1:30" s="16" customFormat="1" hidden="1" x14ac:dyDescent="0.25">
      <c r="A448" s="16">
        <v>445</v>
      </c>
      <c r="G448" s="16" t="s">
        <v>77</v>
      </c>
      <c r="I448" s="16" t="s">
        <v>75</v>
      </c>
      <c r="L448" s="105" t="s">
        <v>99</v>
      </c>
      <c r="M448" s="17" t="str">
        <f>VLOOKUP(RiskRegister[[#This Row],[Inherent Impact LevelL3:L1020D1007L3:L1019]],'Rating factors'!$F$4:$G$9,2,FALSE)</f>
        <v>--- Error ---</v>
      </c>
      <c r="N448" s="16" t="s">
        <v>79</v>
      </c>
      <c r="O448" s="17" t="str">
        <f>VLOOKUP(RiskRegister[[#This Row],[Inherent Likelihood Level]],'Rating factors'!$F$16:$G$21,2,FALSE)</f>
        <v>--- Error ---</v>
      </c>
      <c r="P448" s="17" t="str">
        <f>IFERROR(VLOOKUP(RiskRegister[[#This Row],[Inherent Risk Rating]],'Rating factors'!$F$30:$G$44,2,FALSE),"-- Error --")</f>
        <v>-- Error --</v>
      </c>
      <c r="Q448" s="17" t="str">
        <f>IFERROR(RiskRegister[[#This Row],[Inherent Impact Rating]]*RiskRegister[[#This Row],[Inherent Likelihood Rating]],"-- Error --")</f>
        <v>-- Error --</v>
      </c>
      <c r="R448" s="16" t="s">
        <v>98</v>
      </c>
      <c r="T448" s="16" t="s">
        <v>99</v>
      </c>
      <c r="U448" s="17" t="e" cm="1">
        <f t="array" aca="1" ref="U448" ca="1">+U448:Y1019VLOOKUP(RiskRegister[[#This Row],[Residual Impact Level]],'Rating factors'!$F$4:$G$9,2,FALSE)</f>
        <v>#NAME?</v>
      </c>
      <c r="V448" s="16" t="s">
        <v>79</v>
      </c>
      <c r="W448" s="17" t="str">
        <f>VLOOKUP(RiskRegister[[#This Row],[Residual Likelihood Level]],'Rating factors'!$F$16:$G$21,2,FALSE)</f>
        <v>--- Error ---</v>
      </c>
      <c r="X448" s="17" t="str">
        <f ca="1">IFERROR(VLOOKUP(RiskRegister[[#This Row],[Residual Risk Rating]],'Rating factors'!$F$30:$G$44,2,FALSE),"-- Error --")</f>
        <v>-- Error --</v>
      </c>
      <c r="Y448" s="17" t="str">
        <f ca="1">IFERROR(RiskRegister[[#This Row],[Residual Impact Rating]]*RiskRegister[[#This Row],[Residual Likelihood Rating]],"-- Error --")</f>
        <v>-- Error --</v>
      </c>
      <c r="Z448" s="16" t="s">
        <v>100</v>
      </c>
      <c r="AB448" s="39"/>
      <c r="AD448" s="20"/>
    </row>
    <row r="449" spans="1:30" s="16" customFormat="1" hidden="1" x14ac:dyDescent="0.25">
      <c r="A449" s="16">
        <v>446</v>
      </c>
      <c r="G449" s="16" t="s">
        <v>77</v>
      </c>
      <c r="I449" s="16" t="s">
        <v>75</v>
      </c>
      <c r="L449" s="105" t="s">
        <v>99</v>
      </c>
      <c r="M449" s="17" t="str">
        <f>VLOOKUP(RiskRegister[[#This Row],[Inherent Impact LevelL3:L1020D1007L3:L1019]],'Rating factors'!$F$4:$G$9,2,FALSE)</f>
        <v>--- Error ---</v>
      </c>
      <c r="N449" s="16" t="s">
        <v>79</v>
      </c>
      <c r="O449" s="17" t="str">
        <f>VLOOKUP(RiskRegister[[#This Row],[Inherent Likelihood Level]],'Rating factors'!$F$16:$G$21,2,FALSE)</f>
        <v>--- Error ---</v>
      </c>
      <c r="P449" s="17" t="str">
        <f>IFERROR(VLOOKUP(RiskRegister[[#This Row],[Inherent Risk Rating]],'Rating factors'!$F$30:$G$44,2,FALSE),"-- Error --")</f>
        <v>-- Error --</v>
      </c>
      <c r="Q449" s="17" t="str">
        <f>IFERROR(RiskRegister[[#This Row],[Inherent Impact Rating]]*RiskRegister[[#This Row],[Inherent Likelihood Rating]],"-- Error --")</f>
        <v>-- Error --</v>
      </c>
      <c r="R449" s="16" t="s">
        <v>98</v>
      </c>
      <c r="T449" s="16" t="s">
        <v>99</v>
      </c>
      <c r="U449" s="17" t="e" cm="1">
        <f t="array" aca="1" ref="U449" ca="1">+U449:Y1019VLOOKUP(RiskRegister[[#This Row],[Residual Impact Level]],'Rating factors'!$F$4:$G$9,2,FALSE)</f>
        <v>#NAME?</v>
      </c>
      <c r="V449" s="16" t="s">
        <v>79</v>
      </c>
      <c r="W449" s="17" t="str">
        <f>VLOOKUP(RiskRegister[[#This Row],[Residual Likelihood Level]],'Rating factors'!$F$16:$G$21,2,FALSE)</f>
        <v>--- Error ---</v>
      </c>
      <c r="X449" s="17" t="str">
        <f ca="1">IFERROR(VLOOKUP(RiskRegister[[#This Row],[Residual Risk Rating]],'Rating factors'!$F$30:$G$44,2,FALSE),"-- Error --")</f>
        <v>-- Error --</v>
      </c>
      <c r="Y449" s="17" t="str">
        <f ca="1">IFERROR(RiskRegister[[#This Row],[Residual Impact Rating]]*RiskRegister[[#This Row],[Residual Likelihood Rating]],"-- Error --")</f>
        <v>-- Error --</v>
      </c>
      <c r="Z449" s="16" t="s">
        <v>100</v>
      </c>
      <c r="AB449" s="39"/>
      <c r="AD449" s="20"/>
    </row>
    <row r="450" spans="1:30" s="16" customFormat="1" hidden="1" x14ac:dyDescent="0.25">
      <c r="A450" s="16">
        <v>447</v>
      </c>
      <c r="G450" s="16" t="s">
        <v>77</v>
      </c>
      <c r="I450" s="16" t="s">
        <v>75</v>
      </c>
      <c r="L450" s="105" t="s">
        <v>99</v>
      </c>
      <c r="M450" s="17" t="str">
        <f>VLOOKUP(RiskRegister[[#This Row],[Inherent Impact LevelL3:L1020D1007L3:L1019]],'Rating factors'!$F$4:$G$9,2,FALSE)</f>
        <v>--- Error ---</v>
      </c>
      <c r="N450" s="16" t="s">
        <v>79</v>
      </c>
      <c r="O450" s="17" t="str">
        <f>VLOOKUP(RiskRegister[[#This Row],[Inherent Likelihood Level]],'Rating factors'!$F$16:$G$21,2,FALSE)</f>
        <v>--- Error ---</v>
      </c>
      <c r="P450" s="17" t="str">
        <f>IFERROR(VLOOKUP(RiskRegister[[#This Row],[Inherent Risk Rating]],'Rating factors'!$F$30:$G$44,2,FALSE),"-- Error --")</f>
        <v>-- Error --</v>
      </c>
      <c r="Q450" s="17" t="str">
        <f>IFERROR(RiskRegister[[#This Row],[Inherent Impact Rating]]*RiskRegister[[#This Row],[Inherent Likelihood Rating]],"-- Error --")</f>
        <v>-- Error --</v>
      </c>
      <c r="R450" s="16" t="s">
        <v>98</v>
      </c>
      <c r="T450" s="16" t="s">
        <v>99</v>
      </c>
      <c r="U450" s="17" t="e" cm="1">
        <f t="array" aca="1" ref="U450" ca="1">+U450:Y1019VLOOKUP(RiskRegister[[#This Row],[Residual Impact Level]],'Rating factors'!$F$4:$G$9,2,FALSE)</f>
        <v>#NAME?</v>
      </c>
      <c r="V450" s="16" t="s">
        <v>79</v>
      </c>
      <c r="W450" s="17" t="str">
        <f>VLOOKUP(RiskRegister[[#This Row],[Residual Likelihood Level]],'Rating factors'!$F$16:$G$21,2,FALSE)</f>
        <v>--- Error ---</v>
      </c>
      <c r="X450" s="17" t="str">
        <f ca="1">IFERROR(VLOOKUP(RiskRegister[[#This Row],[Residual Risk Rating]],'Rating factors'!$F$30:$G$44,2,FALSE),"-- Error --")</f>
        <v>-- Error --</v>
      </c>
      <c r="Y450" s="17" t="str">
        <f ca="1">IFERROR(RiskRegister[[#This Row],[Residual Impact Rating]]*RiskRegister[[#This Row],[Residual Likelihood Rating]],"-- Error --")</f>
        <v>-- Error --</v>
      </c>
      <c r="Z450" s="16" t="s">
        <v>100</v>
      </c>
      <c r="AB450" s="39"/>
      <c r="AD450" s="20"/>
    </row>
    <row r="451" spans="1:30" s="16" customFormat="1" hidden="1" x14ac:dyDescent="0.25">
      <c r="A451" s="16">
        <v>448</v>
      </c>
      <c r="G451" s="16" t="s">
        <v>77</v>
      </c>
      <c r="I451" s="16" t="s">
        <v>75</v>
      </c>
      <c r="L451" s="105" t="s">
        <v>99</v>
      </c>
      <c r="M451" s="17" t="str">
        <f>VLOOKUP(RiskRegister[[#This Row],[Inherent Impact LevelL3:L1020D1007L3:L1019]],'Rating factors'!$F$4:$G$9,2,FALSE)</f>
        <v>--- Error ---</v>
      </c>
      <c r="N451" s="16" t="s">
        <v>79</v>
      </c>
      <c r="O451" s="17" t="str">
        <f>VLOOKUP(RiskRegister[[#This Row],[Inherent Likelihood Level]],'Rating factors'!$F$16:$G$21,2,FALSE)</f>
        <v>--- Error ---</v>
      </c>
      <c r="P451" s="17" t="str">
        <f>IFERROR(VLOOKUP(RiskRegister[[#This Row],[Inherent Risk Rating]],'Rating factors'!$F$30:$G$44,2,FALSE),"-- Error --")</f>
        <v>-- Error --</v>
      </c>
      <c r="Q451" s="17" t="str">
        <f>IFERROR(RiskRegister[[#This Row],[Inherent Impact Rating]]*RiskRegister[[#This Row],[Inherent Likelihood Rating]],"-- Error --")</f>
        <v>-- Error --</v>
      </c>
      <c r="R451" s="16" t="s">
        <v>98</v>
      </c>
      <c r="T451" s="16" t="s">
        <v>99</v>
      </c>
      <c r="U451" s="17" t="e" cm="1">
        <f t="array" aca="1" ref="U451" ca="1">+U451:Y1019VLOOKUP(RiskRegister[[#This Row],[Residual Impact Level]],'Rating factors'!$F$4:$G$9,2,FALSE)</f>
        <v>#NAME?</v>
      </c>
      <c r="V451" s="16" t="s">
        <v>79</v>
      </c>
      <c r="W451" s="17" t="str">
        <f>VLOOKUP(RiskRegister[[#This Row],[Residual Likelihood Level]],'Rating factors'!$F$16:$G$21,2,FALSE)</f>
        <v>--- Error ---</v>
      </c>
      <c r="X451" s="17" t="str">
        <f ca="1">IFERROR(VLOOKUP(RiskRegister[[#This Row],[Residual Risk Rating]],'Rating factors'!$F$30:$G$44,2,FALSE),"-- Error --")</f>
        <v>-- Error --</v>
      </c>
      <c r="Y451" s="17" t="str">
        <f ca="1">IFERROR(RiskRegister[[#This Row],[Residual Impact Rating]]*RiskRegister[[#This Row],[Residual Likelihood Rating]],"-- Error --")</f>
        <v>-- Error --</v>
      </c>
      <c r="Z451" s="16" t="s">
        <v>100</v>
      </c>
      <c r="AB451" s="39"/>
      <c r="AD451" s="20"/>
    </row>
    <row r="452" spans="1:30" s="16" customFormat="1" hidden="1" x14ac:dyDescent="0.25">
      <c r="A452" s="16">
        <v>449</v>
      </c>
      <c r="G452" s="16" t="s">
        <v>77</v>
      </c>
      <c r="I452" s="16" t="s">
        <v>75</v>
      </c>
      <c r="L452" s="105" t="s">
        <v>99</v>
      </c>
      <c r="M452" s="17" t="str">
        <f>VLOOKUP(RiskRegister[[#This Row],[Inherent Impact LevelL3:L1020D1007L3:L1019]],'Rating factors'!$F$4:$G$9,2,FALSE)</f>
        <v>--- Error ---</v>
      </c>
      <c r="N452" s="16" t="s">
        <v>79</v>
      </c>
      <c r="O452" s="17" t="str">
        <f>VLOOKUP(RiskRegister[[#This Row],[Inherent Likelihood Level]],'Rating factors'!$F$16:$G$21,2,FALSE)</f>
        <v>--- Error ---</v>
      </c>
      <c r="P452" s="17" t="str">
        <f>IFERROR(VLOOKUP(RiskRegister[[#This Row],[Inherent Risk Rating]],'Rating factors'!$F$30:$G$44,2,FALSE),"-- Error --")</f>
        <v>-- Error --</v>
      </c>
      <c r="Q452" s="17" t="str">
        <f>IFERROR(RiskRegister[[#This Row],[Inherent Impact Rating]]*RiskRegister[[#This Row],[Inherent Likelihood Rating]],"-- Error --")</f>
        <v>-- Error --</v>
      </c>
      <c r="R452" s="16" t="s">
        <v>98</v>
      </c>
      <c r="T452" s="16" t="s">
        <v>99</v>
      </c>
      <c r="U452" s="17" t="e" cm="1">
        <f t="array" aca="1" ref="U452" ca="1">+U452:Y1019VLOOKUP(RiskRegister[[#This Row],[Residual Impact Level]],'Rating factors'!$F$4:$G$9,2,FALSE)</f>
        <v>#NAME?</v>
      </c>
      <c r="V452" s="16" t="s">
        <v>79</v>
      </c>
      <c r="W452" s="17" t="str">
        <f>VLOOKUP(RiskRegister[[#This Row],[Residual Likelihood Level]],'Rating factors'!$F$16:$G$21,2,FALSE)</f>
        <v>--- Error ---</v>
      </c>
      <c r="X452" s="17" t="str">
        <f ca="1">IFERROR(VLOOKUP(RiskRegister[[#This Row],[Residual Risk Rating]],'Rating factors'!$F$30:$G$44,2,FALSE),"-- Error --")</f>
        <v>-- Error --</v>
      </c>
      <c r="Y452" s="17" t="str">
        <f ca="1">IFERROR(RiskRegister[[#This Row],[Residual Impact Rating]]*RiskRegister[[#This Row],[Residual Likelihood Rating]],"-- Error --")</f>
        <v>-- Error --</v>
      </c>
      <c r="Z452" s="16" t="s">
        <v>100</v>
      </c>
      <c r="AB452" s="39"/>
      <c r="AD452" s="20"/>
    </row>
    <row r="453" spans="1:30" s="16" customFormat="1" hidden="1" x14ac:dyDescent="0.25">
      <c r="A453" s="16">
        <v>450</v>
      </c>
      <c r="G453" s="16" t="s">
        <v>77</v>
      </c>
      <c r="I453" s="16" t="s">
        <v>75</v>
      </c>
      <c r="L453" s="105" t="s">
        <v>99</v>
      </c>
      <c r="M453" s="17" t="str">
        <f>VLOOKUP(RiskRegister[[#This Row],[Inherent Impact LevelL3:L1020D1007L3:L1019]],'Rating factors'!$F$4:$G$9,2,FALSE)</f>
        <v>--- Error ---</v>
      </c>
      <c r="N453" s="16" t="s">
        <v>79</v>
      </c>
      <c r="O453" s="17" t="str">
        <f>VLOOKUP(RiskRegister[[#This Row],[Inherent Likelihood Level]],'Rating factors'!$F$16:$G$21,2,FALSE)</f>
        <v>--- Error ---</v>
      </c>
      <c r="P453" s="17" t="str">
        <f>IFERROR(VLOOKUP(RiskRegister[[#This Row],[Inherent Risk Rating]],'Rating factors'!$F$30:$G$44,2,FALSE),"-- Error --")</f>
        <v>-- Error --</v>
      </c>
      <c r="Q453" s="17" t="str">
        <f>IFERROR(RiskRegister[[#This Row],[Inherent Impact Rating]]*RiskRegister[[#This Row],[Inherent Likelihood Rating]],"-- Error --")</f>
        <v>-- Error --</v>
      </c>
      <c r="R453" s="16" t="s">
        <v>98</v>
      </c>
      <c r="T453" s="16" t="s">
        <v>99</v>
      </c>
      <c r="U453" s="17" t="e" cm="1">
        <f t="array" aca="1" ref="U453" ca="1">+U453:Y1019VLOOKUP(RiskRegister[[#This Row],[Residual Impact Level]],'Rating factors'!$F$4:$G$9,2,FALSE)</f>
        <v>#NAME?</v>
      </c>
      <c r="V453" s="16" t="s">
        <v>79</v>
      </c>
      <c r="W453" s="17" t="str">
        <f>VLOOKUP(RiskRegister[[#This Row],[Residual Likelihood Level]],'Rating factors'!$F$16:$G$21,2,FALSE)</f>
        <v>--- Error ---</v>
      </c>
      <c r="X453" s="17" t="str">
        <f ca="1">IFERROR(VLOOKUP(RiskRegister[[#This Row],[Residual Risk Rating]],'Rating factors'!$F$30:$G$44,2,FALSE),"-- Error --")</f>
        <v>-- Error --</v>
      </c>
      <c r="Y453" s="17" t="str">
        <f ca="1">IFERROR(RiskRegister[[#This Row],[Residual Impact Rating]]*RiskRegister[[#This Row],[Residual Likelihood Rating]],"-- Error --")</f>
        <v>-- Error --</v>
      </c>
      <c r="Z453" s="16" t="s">
        <v>100</v>
      </c>
      <c r="AB453" s="39"/>
      <c r="AD453" s="20"/>
    </row>
    <row r="454" spans="1:30" s="16" customFormat="1" hidden="1" x14ac:dyDescent="0.25">
      <c r="A454" s="16">
        <v>451</v>
      </c>
      <c r="G454" s="16" t="s">
        <v>77</v>
      </c>
      <c r="I454" s="16" t="s">
        <v>75</v>
      </c>
      <c r="L454" s="105" t="s">
        <v>99</v>
      </c>
      <c r="M454" s="17" t="str">
        <f>VLOOKUP(RiskRegister[[#This Row],[Inherent Impact LevelL3:L1020D1007L3:L1019]],'Rating factors'!$F$4:$G$9,2,FALSE)</f>
        <v>--- Error ---</v>
      </c>
      <c r="N454" s="16" t="s">
        <v>79</v>
      </c>
      <c r="O454" s="17" t="str">
        <f>VLOOKUP(RiskRegister[[#This Row],[Inherent Likelihood Level]],'Rating factors'!$F$16:$G$21,2,FALSE)</f>
        <v>--- Error ---</v>
      </c>
      <c r="P454" s="17" t="str">
        <f>IFERROR(VLOOKUP(RiskRegister[[#This Row],[Inherent Risk Rating]],'Rating factors'!$F$30:$G$44,2,FALSE),"-- Error --")</f>
        <v>-- Error --</v>
      </c>
      <c r="Q454" s="17" t="str">
        <f>IFERROR(RiskRegister[[#This Row],[Inherent Impact Rating]]*RiskRegister[[#This Row],[Inherent Likelihood Rating]],"-- Error --")</f>
        <v>-- Error --</v>
      </c>
      <c r="R454" s="16" t="s">
        <v>98</v>
      </c>
      <c r="T454" s="16" t="s">
        <v>99</v>
      </c>
      <c r="U454" s="17" t="e" cm="1">
        <f t="array" aca="1" ref="U454" ca="1">+U454:Y1019VLOOKUP(RiskRegister[[#This Row],[Residual Impact Level]],'Rating factors'!$F$4:$G$9,2,FALSE)</f>
        <v>#NAME?</v>
      </c>
      <c r="V454" s="16" t="s">
        <v>79</v>
      </c>
      <c r="W454" s="17" t="str">
        <f>VLOOKUP(RiskRegister[[#This Row],[Residual Likelihood Level]],'Rating factors'!$F$16:$G$21,2,FALSE)</f>
        <v>--- Error ---</v>
      </c>
      <c r="X454" s="17" t="str">
        <f ca="1">IFERROR(VLOOKUP(RiskRegister[[#This Row],[Residual Risk Rating]],'Rating factors'!$F$30:$G$44,2,FALSE),"-- Error --")</f>
        <v>-- Error --</v>
      </c>
      <c r="Y454" s="17" t="str">
        <f ca="1">IFERROR(RiskRegister[[#This Row],[Residual Impact Rating]]*RiskRegister[[#This Row],[Residual Likelihood Rating]],"-- Error --")</f>
        <v>-- Error --</v>
      </c>
      <c r="Z454" s="16" t="s">
        <v>100</v>
      </c>
      <c r="AB454" s="39"/>
      <c r="AD454" s="20"/>
    </row>
    <row r="455" spans="1:30" s="16" customFormat="1" hidden="1" x14ac:dyDescent="0.25">
      <c r="A455" s="16">
        <v>452</v>
      </c>
      <c r="G455" s="16" t="s">
        <v>77</v>
      </c>
      <c r="I455" s="16" t="s">
        <v>75</v>
      </c>
      <c r="L455" s="105" t="s">
        <v>99</v>
      </c>
      <c r="M455" s="17" t="str">
        <f>VLOOKUP(RiskRegister[[#This Row],[Inherent Impact LevelL3:L1020D1007L3:L1019]],'Rating factors'!$F$4:$G$9,2,FALSE)</f>
        <v>--- Error ---</v>
      </c>
      <c r="N455" s="16" t="s">
        <v>79</v>
      </c>
      <c r="O455" s="17" t="str">
        <f>VLOOKUP(RiskRegister[[#This Row],[Inherent Likelihood Level]],'Rating factors'!$F$16:$G$21,2,FALSE)</f>
        <v>--- Error ---</v>
      </c>
      <c r="P455" s="17" t="str">
        <f>IFERROR(VLOOKUP(RiskRegister[[#This Row],[Inherent Risk Rating]],'Rating factors'!$F$30:$G$44,2,FALSE),"-- Error --")</f>
        <v>-- Error --</v>
      </c>
      <c r="Q455" s="17" t="str">
        <f>IFERROR(RiskRegister[[#This Row],[Inherent Impact Rating]]*RiskRegister[[#This Row],[Inherent Likelihood Rating]],"-- Error --")</f>
        <v>-- Error --</v>
      </c>
      <c r="R455" s="16" t="s">
        <v>98</v>
      </c>
      <c r="T455" s="16" t="s">
        <v>99</v>
      </c>
      <c r="U455" s="17" t="e" cm="1">
        <f t="array" aca="1" ref="U455" ca="1">+U455:Y1019VLOOKUP(RiskRegister[[#This Row],[Residual Impact Level]],'Rating factors'!$F$4:$G$9,2,FALSE)</f>
        <v>#NAME?</v>
      </c>
      <c r="V455" s="16" t="s">
        <v>79</v>
      </c>
      <c r="W455" s="17" t="str">
        <f>VLOOKUP(RiskRegister[[#This Row],[Residual Likelihood Level]],'Rating factors'!$F$16:$G$21,2,FALSE)</f>
        <v>--- Error ---</v>
      </c>
      <c r="X455" s="17" t="str">
        <f ca="1">IFERROR(VLOOKUP(RiskRegister[[#This Row],[Residual Risk Rating]],'Rating factors'!$F$30:$G$44,2,FALSE),"-- Error --")</f>
        <v>-- Error --</v>
      </c>
      <c r="Y455" s="17" t="str">
        <f ca="1">IFERROR(RiskRegister[[#This Row],[Residual Impact Rating]]*RiskRegister[[#This Row],[Residual Likelihood Rating]],"-- Error --")</f>
        <v>-- Error --</v>
      </c>
      <c r="Z455" s="16" t="s">
        <v>100</v>
      </c>
      <c r="AB455" s="39"/>
      <c r="AD455" s="20"/>
    </row>
    <row r="456" spans="1:30" s="16" customFormat="1" hidden="1" x14ac:dyDescent="0.25">
      <c r="A456" s="16">
        <v>453</v>
      </c>
      <c r="G456" s="16" t="s">
        <v>77</v>
      </c>
      <c r="I456" s="16" t="s">
        <v>75</v>
      </c>
      <c r="L456" s="105" t="s">
        <v>99</v>
      </c>
      <c r="M456" s="17" t="str">
        <f>VLOOKUP(RiskRegister[[#This Row],[Inherent Impact LevelL3:L1020D1007L3:L1019]],'Rating factors'!$F$4:$G$9,2,FALSE)</f>
        <v>--- Error ---</v>
      </c>
      <c r="N456" s="16" t="s">
        <v>79</v>
      </c>
      <c r="O456" s="17" t="str">
        <f>VLOOKUP(RiskRegister[[#This Row],[Inherent Likelihood Level]],'Rating factors'!$F$16:$G$21,2,FALSE)</f>
        <v>--- Error ---</v>
      </c>
      <c r="P456" s="17" t="str">
        <f>IFERROR(VLOOKUP(RiskRegister[[#This Row],[Inherent Risk Rating]],'Rating factors'!$F$30:$G$44,2,FALSE),"-- Error --")</f>
        <v>-- Error --</v>
      </c>
      <c r="Q456" s="17" t="str">
        <f>IFERROR(RiskRegister[[#This Row],[Inherent Impact Rating]]*RiskRegister[[#This Row],[Inherent Likelihood Rating]],"-- Error --")</f>
        <v>-- Error --</v>
      </c>
      <c r="R456" s="16" t="s">
        <v>98</v>
      </c>
      <c r="T456" s="16" t="s">
        <v>99</v>
      </c>
      <c r="U456" s="17" t="e" cm="1">
        <f t="array" aca="1" ref="U456" ca="1">+U456:Y1019VLOOKUP(RiskRegister[[#This Row],[Residual Impact Level]],'Rating factors'!$F$4:$G$9,2,FALSE)</f>
        <v>#NAME?</v>
      </c>
      <c r="V456" s="16" t="s">
        <v>79</v>
      </c>
      <c r="W456" s="17" t="str">
        <f>VLOOKUP(RiskRegister[[#This Row],[Residual Likelihood Level]],'Rating factors'!$F$16:$G$21,2,FALSE)</f>
        <v>--- Error ---</v>
      </c>
      <c r="X456" s="17" t="str">
        <f ca="1">IFERROR(VLOOKUP(RiskRegister[[#This Row],[Residual Risk Rating]],'Rating factors'!$F$30:$G$44,2,FALSE),"-- Error --")</f>
        <v>-- Error --</v>
      </c>
      <c r="Y456" s="17" t="str">
        <f ca="1">IFERROR(RiskRegister[[#This Row],[Residual Impact Rating]]*RiskRegister[[#This Row],[Residual Likelihood Rating]],"-- Error --")</f>
        <v>-- Error --</v>
      </c>
      <c r="Z456" s="16" t="s">
        <v>100</v>
      </c>
      <c r="AB456" s="39"/>
      <c r="AD456" s="20"/>
    </row>
    <row r="457" spans="1:30" s="16" customFormat="1" hidden="1" x14ac:dyDescent="0.25">
      <c r="A457" s="16">
        <v>454</v>
      </c>
      <c r="G457" s="16" t="s">
        <v>77</v>
      </c>
      <c r="I457" s="16" t="s">
        <v>75</v>
      </c>
      <c r="L457" s="105" t="s">
        <v>99</v>
      </c>
      <c r="M457" s="17" t="str">
        <f>VLOOKUP(RiskRegister[[#This Row],[Inherent Impact LevelL3:L1020D1007L3:L1019]],'Rating factors'!$F$4:$G$9,2,FALSE)</f>
        <v>--- Error ---</v>
      </c>
      <c r="N457" s="16" t="s">
        <v>79</v>
      </c>
      <c r="O457" s="17" t="str">
        <f>VLOOKUP(RiskRegister[[#This Row],[Inherent Likelihood Level]],'Rating factors'!$F$16:$G$21,2,FALSE)</f>
        <v>--- Error ---</v>
      </c>
      <c r="P457" s="17" t="str">
        <f>IFERROR(VLOOKUP(RiskRegister[[#This Row],[Inherent Risk Rating]],'Rating factors'!$F$30:$G$44,2,FALSE),"-- Error --")</f>
        <v>-- Error --</v>
      </c>
      <c r="Q457" s="17" t="str">
        <f>IFERROR(RiskRegister[[#This Row],[Inherent Impact Rating]]*RiskRegister[[#This Row],[Inherent Likelihood Rating]],"-- Error --")</f>
        <v>-- Error --</v>
      </c>
      <c r="R457" s="16" t="s">
        <v>98</v>
      </c>
      <c r="T457" s="16" t="s">
        <v>99</v>
      </c>
      <c r="U457" s="17" t="e" cm="1">
        <f t="array" aca="1" ref="U457" ca="1">+U457:Y1019VLOOKUP(RiskRegister[[#This Row],[Residual Impact Level]],'Rating factors'!$F$4:$G$9,2,FALSE)</f>
        <v>#NAME?</v>
      </c>
      <c r="V457" s="16" t="s">
        <v>79</v>
      </c>
      <c r="W457" s="17" t="str">
        <f>VLOOKUP(RiskRegister[[#This Row],[Residual Likelihood Level]],'Rating factors'!$F$16:$G$21,2,FALSE)</f>
        <v>--- Error ---</v>
      </c>
      <c r="X457" s="17" t="str">
        <f ca="1">IFERROR(VLOOKUP(RiskRegister[[#This Row],[Residual Risk Rating]],'Rating factors'!$F$30:$G$44,2,FALSE),"-- Error --")</f>
        <v>-- Error --</v>
      </c>
      <c r="Y457" s="17" t="str">
        <f ca="1">IFERROR(RiskRegister[[#This Row],[Residual Impact Rating]]*RiskRegister[[#This Row],[Residual Likelihood Rating]],"-- Error --")</f>
        <v>-- Error --</v>
      </c>
      <c r="Z457" s="16" t="s">
        <v>100</v>
      </c>
      <c r="AB457" s="39"/>
      <c r="AD457" s="20"/>
    </row>
    <row r="458" spans="1:30" s="16" customFormat="1" hidden="1" x14ac:dyDescent="0.25">
      <c r="A458" s="16">
        <v>455</v>
      </c>
      <c r="G458" s="16" t="s">
        <v>77</v>
      </c>
      <c r="I458" s="16" t="s">
        <v>75</v>
      </c>
      <c r="L458" s="105" t="s">
        <v>99</v>
      </c>
      <c r="M458" s="17" t="str">
        <f>VLOOKUP(RiskRegister[[#This Row],[Inherent Impact LevelL3:L1020D1007L3:L1019]],'Rating factors'!$F$4:$G$9,2,FALSE)</f>
        <v>--- Error ---</v>
      </c>
      <c r="N458" s="16" t="s">
        <v>79</v>
      </c>
      <c r="O458" s="17" t="str">
        <f>VLOOKUP(RiskRegister[[#This Row],[Inherent Likelihood Level]],'Rating factors'!$F$16:$G$21,2,FALSE)</f>
        <v>--- Error ---</v>
      </c>
      <c r="P458" s="17" t="str">
        <f>IFERROR(VLOOKUP(RiskRegister[[#This Row],[Inherent Risk Rating]],'Rating factors'!$F$30:$G$44,2,FALSE),"-- Error --")</f>
        <v>-- Error --</v>
      </c>
      <c r="Q458" s="17" t="str">
        <f>IFERROR(RiskRegister[[#This Row],[Inherent Impact Rating]]*RiskRegister[[#This Row],[Inherent Likelihood Rating]],"-- Error --")</f>
        <v>-- Error --</v>
      </c>
      <c r="R458" s="16" t="s">
        <v>98</v>
      </c>
      <c r="T458" s="16" t="s">
        <v>99</v>
      </c>
      <c r="U458" s="17" t="e" cm="1">
        <f t="array" aca="1" ref="U458" ca="1">+U458:Y1019VLOOKUP(RiskRegister[[#This Row],[Residual Impact Level]],'Rating factors'!$F$4:$G$9,2,FALSE)</f>
        <v>#NAME?</v>
      </c>
      <c r="V458" s="16" t="s">
        <v>79</v>
      </c>
      <c r="W458" s="17" t="str">
        <f>VLOOKUP(RiskRegister[[#This Row],[Residual Likelihood Level]],'Rating factors'!$F$16:$G$21,2,FALSE)</f>
        <v>--- Error ---</v>
      </c>
      <c r="X458" s="17" t="str">
        <f ca="1">IFERROR(VLOOKUP(RiskRegister[[#This Row],[Residual Risk Rating]],'Rating factors'!$F$30:$G$44,2,FALSE),"-- Error --")</f>
        <v>-- Error --</v>
      </c>
      <c r="Y458" s="17" t="str">
        <f ca="1">IFERROR(RiskRegister[[#This Row],[Residual Impact Rating]]*RiskRegister[[#This Row],[Residual Likelihood Rating]],"-- Error --")</f>
        <v>-- Error --</v>
      </c>
      <c r="Z458" s="16" t="s">
        <v>100</v>
      </c>
      <c r="AB458" s="39"/>
      <c r="AD458" s="20"/>
    </row>
    <row r="459" spans="1:30" s="16" customFormat="1" hidden="1" x14ac:dyDescent="0.25">
      <c r="A459" s="16">
        <v>456</v>
      </c>
      <c r="G459" s="16" t="s">
        <v>77</v>
      </c>
      <c r="I459" s="16" t="s">
        <v>75</v>
      </c>
      <c r="L459" s="105" t="s">
        <v>99</v>
      </c>
      <c r="M459" s="17" t="str">
        <f>VLOOKUP(RiskRegister[[#This Row],[Inherent Impact LevelL3:L1020D1007L3:L1019]],'Rating factors'!$F$4:$G$9,2,FALSE)</f>
        <v>--- Error ---</v>
      </c>
      <c r="N459" s="16" t="s">
        <v>79</v>
      </c>
      <c r="O459" s="17" t="str">
        <f>VLOOKUP(RiskRegister[[#This Row],[Inherent Likelihood Level]],'Rating factors'!$F$16:$G$21,2,FALSE)</f>
        <v>--- Error ---</v>
      </c>
      <c r="P459" s="17" t="str">
        <f>IFERROR(VLOOKUP(RiskRegister[[#This Row],[Inherent Risk Rating]],'Rating factors'!$F$30:$G$44,2,FALSE),"-- Error --")</f>
        <v>-- Error --</v>
      </c>
      <c r="Q459" s="17" t="str">
        <f>IFERROR(RiskRegister[[#This Row],[Inherent Impact Rating]]*RiskRegister[[#This Row],[Inherent Likelihood Rating]],"-- Error --")</f>
        <v>-- Error --</v>
      </c>
      <c r="R459" s="16" t="s">
        <v>98</v>
      </c>
      <c r="T459" s="16" t="s">
        <v>99</v>
      </c>
      <c r="U459" s="17" t="e" cm="1">
        <f t="array" aca="1" ref="U459" ca="1">+U459:Y1019VLOOKUP(RiskRegister[[#This Row],[Residual Impact Level]],'Rating factors'!$F$4:$G$9,2,FALSE)</f>
        <v>#NAME?</v>
      </c>
      <c r="V459" s="16" t="s">
        <v>79</v>
      </c>
      <c r="W459" s="17" t="str">
        <f>VLOOKUP(RiskRegister[[#This Row],[Residual Likelihood Level]],'Rating factors'!$F$16:$G$21,2,FALSE)</f>
        <v>--- Error ---</v>
      </c>
      <c r="X459" s="17" t="str">
        <f ca="1">IFERROR(VLOOKUP(RiskRegister[[#This Row],[Residual Risk Rating]],'Rating factors'!$F$30:$G$44,2,FALSE),"-- Error --")</f>
        <v>-- Error --</v>
      </c>
      <c r="Y459" s="17" t="str">
        <f ca="1">IFERROR(RiskRegister[[#This Row],[Residual Impact Rating]]*RiskRegister[[#This Row],[Residual Likelihood Rating]],"-- Error --")</f>
        <v>-- Error --</v>
      </c>
      <c r="Z459" s="16" t="s">
        <v>100</v>
      </c>
      <c r="AB459" s="39"/>
      <c r="AD459" s="20"/>
    </row>
    <row r="460" spans="1:30" s="16" customFormat="1" hidden="1" x14ac:dyDescent="0.25">
      <c r="A460" s="16">
        <v>457</v>
      </c>
      <c r="G460" s="16" t="s">
        <v>77</v>
      </c>
      <c r="I460" s="16" t="s">
        <v>75</v>
      </c>
      <c r="L460" s="105" t="s">
        <v>99</v>
      </c>
      <c r="M460" s="17" t="str">
        <f>VLOOKUP(RiskRegister[[#This Row],[Inherent Impact LevelL3:L1020D1007L3:L1019]],'Rating factors'!$F$4:$G$9,2,FALSE)</f>
        <v>--- Error ---</v>
      </c>
      <c r="N460" s="16" t="s">
        <v>79</v>
      </c>
      <c r="O460" s="17" t="str">
        <f>VLOOKUP(RiskRegister[[#This Row],[Inherent Likelihood Level]],'Rating factors'!$F$16:$G$21,2,FALSE)</f>
        <v>--- Error ---</v>
      </c>
      <c r="P460" s="17" t="str">
        <f>IFERROR(VLOOKUP(RiskRegister[[#This Row],[Inherent Risk Rating]],'Rating factors'!$F$30:$G$44,2,FALSE),"-- Error --")</f>
        <v>-- Error --</v>
      </c>
      <c r="Q460" s="17" t="str">
        <f>IFERROR(RiskRegister[[#This Row],[Inherent Impact Rating]]*RiskRegister[[#This Row],[Inherent Likelihood Rating]],"-- Error --")</f>
        <v>-- Error --</v>
      </c>
      <c r="R460" s="16" t="s">
        <v>98</v>
      </c>
      <c r="T460" s="16" t="s">
        <v>99</v>
      </c>
      <c r="U460" s="17" t="e" cm="1">
        <f t="array" aca="1" ref="U460" ca="1">+U460:Y1019VLOOKUP(RiskRegister[[#This Row],[Residual Impact Level]],'Rating factors'!$F$4:$G$9,2,FALSE)</f>
        <v>#NAME?</v>
      </c>
      <c r="V460" s="16" t="s">
        <v>79</v>
      </c>
      <c r="W460" s="17" t="str">
        <f>VLOOKUP(RiskRegister[[#This Row],[Residual Likelihood Level]],'Rating factors'!$F$16:$G$21,2,FALSE)</f>
        <v>--- Error ---</v>
      </c>
      <c r="X460" s="17" t="str">
        <f ca="1">IFERROR(VLOOKUP(RiskRegister[[#This Row],[Residual Risk Rating]],'Rating factors'!$F$30:$G$44,2,FALSE),"-- Error --")</f>
        <v>-- Error --</v>
      </c>
      <c r="Y460" s="17" t="str">
        <f ca="1">IFERROR(RiskRegister[[#This Row],[Residual Impact Rating]]*RiskRegister[[#This Row],[Residual Likelihood Rating]],"-- Error --")</f>
        <v>-- Error --</v>
      </c>
      <c r="Z460" s="16" t="s">
        <v>100</v>
      </c>
      <c r="AB460" s="39"/>
      <c r="AD460" s="20"/>
    </row>
    <row r="461" spans="1:30" s="16" customFormat="1" hidden="1" x14ac:dyDescent="0.25">
      <c r="A461" s="16">
        <v>458</v>
      </c>
      <c r="G461" s="16" t="s">
        <v>77</v>
      </c>
      <c r="I461" s="16" t="s">
        <v>75</v>
      </c>
      <c r="L461" s="105" t="s">
        <v>99</v>
      </c>
      <c r="M461" s="17" t="str">
        <f>VLOOKUP(RiskRegister[[#This Row],[Inherent Impact LevelL3:L1020D1007L3:L1019]],'Rating factors'!$F$4:$G$9,2,FALSE)</f>
        <v>--- Error ---</v>
      </c>
      <c r="N461" s="16" t="s">
        <v>79</v>
      </c>
      <c r="O461" s="17" t="str">
        <f>VLOOKUP(RiskRegister[[#This Row],[Inherent Likelihood Level]],'Rating factors'!$F$16:$G$21,2,FALSE)</f>
        <v>--- Error ---</v>
      </c>
      <c r="P461" s="17" t="str">
        <f>IFERROR(VLOOKUP(RiskRegister[[#This Row],[Inherent Risk Rating]],'Rating factors'!$F$30:$G$44,2,FALSE),"-- Error --")</f>
        <v>-- Error --</v>
      </c>
      <c r="Q461" s="17" t="str">
        <f>IFERROR(RiskRegister[[#This Row],[Inherent Impact Rating]]*RiskRegister[[#This Row],[Inherent Likelihood Rating]],"-- Error --")</f>
        <v>-- Error --</v>
      </c>
      <c r="R461" s="16" t="s">
        <v>98</v>
      </c>
      <c r="T461" s="16" t="s">
        <v>99</v>
      </c>
      <c r="U461" s="17" t="e" cm="1">
        <f t="array" aca="1" ref="U461" ca="1">+U461:Y1019VLOOKUP(RiskRegister[[#This Row],[Residual Impact Level]],'Rating factors'!$F$4:$G$9,2,FALSE)</f>
        <v>#NAME?</v>
      </c>
      <c r="V461" s="16" t="s">
        <v>79</v>
      </c>
      <c r="W461" s="17" t="str">
        <f>VLOOKUP(RiskRegister[[#This Row],[Residual Likelihood Level]],'Rating factors'!$F$16:$G$21,2,FALSE)</f>
        <v>--- Error ---</v>
      </c>
      <c r="X461" s="17" t="str">
        <f ca="1">IFERROR(VLOOKUP(RiskRegister[[#This Row],[Residual Risk Rating]],'Rating factors'!$F$30:$G$44,2,FALSE),"-- Error --")</f>
        <v>-- Error --</v>
      </c>
      <c r="Y461" s="17" t="str">
        <f ca="1">IFERROR(RiskRegister[[#This Row],[Residual Impact Rating]]*RiskRegister[[#This Row],[Residual Likelihood Rating]],"-- Error --")</f>
        <v>-- Error --</v>
      </c>
      <c r="Z461" s="16" t="s">
        <v>100</v>
      </c>
      <c r="AB461" s="39"/>
      <c r="AD461" s="20"/>
    </row>
    <row r="462" spans="1:30" s="16" customFormat="1" hidden="1" x14ac:dyDescent="0.25">
      <c r="A462" s="16">
        <v>459</v>
      </c>
      <c r="G462" s="16" t="s">
        <v>77</v>
      </c>
      <c r="I462" s="16" t="s">
        <v>75</v>
      </c>
      <c r="L462" s="105" t="s">
        <v>99</v>
      </c>
      <c r="M462" s="17" t="str">
        <f>VLOOKUP(RiskRegister[[#This Row],[Inherent Impact LevelL3:L1020D1007L3:L1019]],'Rating factors'!$F$4:$G$9,2,FALSE)</f>
        <v>--- Error ---</v>
      </c>
      <c r="N462" s="16" t="s">
        <v>79</v>
      </c>
      <c r="O462" s="17" t="str">
        <f>VLOOKUP(RiskRegister[[#This Row],[Inherent Likelihood Level]],'Rating factors'!$F$16:$G$21,2,FALSE)</f>
        <v>--- Error ---</v>
      </c>
      <c r="P462" s="17" t="str">
        <f>IFERROR(VLOOKUP(RiskRegister[[#This Row],[Inherent Risk Rating]],'Rating factors'!$F$30:$G$44,2,FALSE),"-- Error --")</f>
        <v>-- Error --</v>
      </c>
      <c r="Q462" s="17" t="str">
        <f>IFERROR(RiskRegister[[#This Row],[Inherent Impact Rating]]*RiskRegister[[#This Row],[Inherent Likelihood Rating]],"-- Error --")</f>
        <v>-- Error --</v>
      </c>
      <c r="R462" s="16" t="s">
        <v>98</v>
      </c>
      <c r="T462" s="16" t="s">
        <v>99</v>
      </c>
      <c r="U462" s="17" t="e" cm="1">
        <f t="array" aca="1" ref="U462" ca="1">+U462:Y1019VLOOKUP(RiskRegister[[#This Row],[Residual Impact Level]],'Rating factors'!$F$4:$G$9,2,FALSE)</f>
        <v>#NAME?</v>
      </c>
      <c r="V462" s="16" t="s">
        <v>79</v>
      </c>
      <c r="W462" s="17" t="str">
        <f>VLOOKUP(RiskRegister[[#This Row],[Residual Likelihood Level]],'Rating factors'!$F$16:$G$21,2,FALSE)</f>
        <v>--- Error ---</v>
      </c>
      <c r="X462" s="17" t="str">
        <f ca="1">IFERROR(VLOOKUP(RiskRegister[[#This Row],[Residual Risk Rating]],'Rating factors'!$F$30:$G$44,2,FALSE),"-- Error --")</f>
        <v>-- Error --</v>
      </c>
      <c r="Y462" s="17" t="str">
        <f ca="1">IFERROR(RiskRegister[[#This Row],[Residual Impact Rating]]*RiskRegister[[#This Row],[Residual Likelihood Rating]],"-- Error --")</f>
        <v>-- Error --</v>
      </c>
      <c r="Z462" s="16" t="s">
        <v>100</v>
      </c>
      <c r="AB462" s="39"/>
      <c r="AD462" s="20"/>
    </row>
    <row r="463" spans="1:30" s="16" customFormat="1" hidden="1" x14ac:dyDescent="0.25">
      <c r="A463" s="16">
        <v>460</v>
      </c>
      <c r="G463" s="16" t="s">
        <v>77</v>
      </c>
      <c r="I463" s="16" t="s">
        <v>75</v>
      </c>
      <c r="L463" s="105" t="s">
        <v>99</v>
      </c>
      <c r="M463" s="17" t="str">
        <f>VLOOKUP(RiskRegister[[#This Row],[Inherent Impact LevelL3:L1020D1007L3:L1019]],'Rating factors'!$F$4:$G$9,2,FALSE)</f>
        <v>--- Error ---</v>
      </c>
      <c r="N463" s="16" t="s">
        <v>79</v>
      </c>
      <c r="O463" s="17" t="str">
        <f>VLOOKUP(RiskRegister[[#This Row],[Inherent Likelihood Level]],'Rating factors'!$F$16:$G$21,2,FALSE)</f>
        <v>--- Error ---</v>
      </c>
      <c r="P463" s="17" t="str">
        <f>IFERROR(VLOOKUP(RiskRegister[[#This Row],[Inherent Risk Rating]],'Rating factors'!$F$30:$G$44,2,FALSE),"-- Error --")</f>
        <v>-- Error --</v>
      </c>
      <c r="Q463" s="17" t="str">
        <f>IFERROR(RiskRegister[[#This Row],[Inherent Impact Rating]]*RiskRegister[[#This Row],[Inherent Likelihood Rating]],"-- Error --")</f>
        <v>-- Error --</v>
      </c>
      <c r="R463" s="16" t="s">
        <v>98</v>
      </c>
      <c r="T463" s="16" t="s">
        <v>99</v>
      </c>
      <c r="U463" s="17" t="e" cm="1">
        <f t="array" aca="1" ref="U463" ca="1">+U463:Y1019VLOOKUP(RiskRegister[[#This Row],[Residual Impact Level]],'Rating factors'!$F$4:$G$9,2,FALSE)</f>
        <v>#NAME?</v>
      </c>
      <c r="V463" s="16" t="s">
        <v>79</v>
      </c>
      <c r="W463" s="17" t="str">
        <f>VLOOKUP(RiskRegister[[#This Row],[Residual Likelihood Level]],'Rating factors'!$F$16:$G$21,2,FALSE)</f>
        <v>--- Error ---</v>
      </c>
      <c r="X463" s="17" t="str">
        <f ca="1">IFERROR(VLOOKUP(RiskRegister[[#This Row],[Residual Risk Rating]],'Rating factors'!$F$30:$G$44,2,FALSE),"-- Error --")</f>
        <v>-- Error --</v>
      </c>
      <c r="Y463" s="17" t="str">
        <f ca="1">IFERROR(RiskRegister[[#This Row],[Residual Impact Rating]]*RiskRegister[[#This Row],[Residual Likelihood Rating]],"-- Error --")</f>
        <v>-- Error --</v>
      </c>
      <c r="Z463" s="16" t="s">
        <v>100</v>
      </c>
      <c r="AB463" s="39"/>
      <c r="AD463" s="20"/>
    </row>
    <row r="464" spans="1:30" s="16" customFormat="1" hidden="1" x14ac:dyDescent="0.25">
      <c r="A464" s="16">
        <v>461</v>
      </c>
      <c r="G464" s="16" t="s">
        <v>77</v>
      </c>
      <c r="I464" s="16" t="s">
        <v>75</v>
      </c>
      <c r="L464" s="105" t="s">
        <v>99</v>
      </c>
      <c r="M464" s="17" t="str">
        <f>VLOOKUP(RiskRegister[[#This Row],[Inherent Impact LevelL3:L1020D1007L3:L1019]],'Rating factors'!$F$4:$G$9,2,FALSE)</f>
        <v>--- Error ---</v>
      </c>
      <c r="N464" s="16" t="s">
        <v>79</v>
      </c>
      <c r="O464" s="17" t="str">
        <f>VLOOKUP(RiskRegister[[#This Row],[Inherent Likelihood Level]],'Rating factors'!$F$16:$G$21,2,FALSE)</f>
        <v>--- Error ---</v>
      </c>
      <c r="P464" s="17" t="str">
        <f>IFERROR(VLOOKUP(RiskRegister[[#This Row],[Inherent Risk Rating]],'Rating factors'!$F$30:$G$44,2,FALSE),"-- Error --")</f>
        <v>-- Error --</v>
      </c>
      <c r="Q464" s="17" t="str">
        <f>IFERROR(RiskRegister[[#This Row],[Inherent Impact Rating]]*RiskRegister[[#This Row],[Inherent Likelihood Rating]],"-- Error --")</f>
        <v>-- Error --</v>
      </c>
      <c r="R464" s="16" t="s">
        <v>98</v>
      </c>
      <c r="T464" s="16" t="s">
        <v>99</v>
      </c>
      <c r="U464" s="17" t="e" cm="1">
        <f t="array" aca="1" ref="U464" ca="1">+U464:Y1019VLOOKUP(RiskRegister[[#This Row],[Residual Impact Level]],'Rating factors'!$F$4:$G$9,2,FALSE)</f>
        <v>#NAME?</v>
      </c>
      <c r="V464" s="16" t="s">
        <v>79</v>
      </c>
      <c r="W464" s="17" t="str">
        <f>VLOOKUP(RiskRegister[[#This Row],[Residual Likelihood Level]],'Rating factors'!$F$16:$G$21,2,FALSE)</f>
        <v>--- Error ---</v>
      </c>
      <c r="X464" s="17" t="str">
        <f ca="1">IFERROR(VLOOKUP(RiskRegister[[#This Row],[Residual Risk Rating]],'Rating factors'!$F$30:$G$44,2,FALSE),"-- Error --")</f>
        <v>-- Error --</v>
      </c>
      <c r="Y464" s="17" t="str">
        <f ca="1">IFERROR(RiskRegister[[#This Row],[Residual Impact Rating]]*RiskRegister[[#This Row],[Residual Likelihood Rating]],"-- Error --")</f>
        <v>-- Error --</v>
      </c>
      <c r="Z464" s="16" t="s">
        <v>100</v>
      </c>
      <c r="AB464" s="39"/>
      <c r="AD464" s="20"/>
    </row>
    <row r="465" spans="1:30" s="16" customFormat="1" hidden="1" x14ac:dyDescent="0.25">
      <c r="A465" s="16">
        <v>462</v>
      </c>
      <c r="G465" s="16" t="s">
        <v>77</v>
      </c>
      <c r="I465" s="16" t="s">
        <v>75</v>
      </c>
      <c r="L465" s="105" t="s">
        <v>99</v>
      </c>
      <c r="M465" s="17" t="str">
        <f>VLOOKUP(RiskRegister[[#This Row],[Inherent Impact LevelL3:L1020D1007L3:L1019]],'Rating factors'!$F$4:$G$9,2,FALSE)</f>
        <v>--- Error ---</v>
      </c>
      <c r="N465" s="16" t="s">
        <v>79</v>
      </c>
      <c r="O465" s="17" t="str">
        <f>VLOOKUP(RiskRegister[[#This Row],[Inherent Likelihood Level]],'Rating factors'!$F$16:$G$21,2,FALSE)</f>
        <v>--- Error ---</v>
      </c>
      <c r="P465" s="17" t="str">
        <f>IFERROR(VLOOKUP(RiskRegister[[#This Row],[Inherent Risk Rating]],'Rating factors'!$F$30:$G$44,2,FALSE),"-- Error --")</f>
        <v>-- Error --</v>
      </c>
      <c r="Q465" s="17" t="str">
        <f>IFERROR(RiskRegister[[#This Row],[Inherent Impact Rating]]*RiskRegister[[#This Row],[Inherent Likelihood Rating]],"-- Error --")</f>
        <v>-- Error --</v>
      </c>
      <c r="R465" s="16" t="s">
        <v>98</v>
      </c>
      <c r="T465" s="16" t="s">
        <v>99</v>
      </c>
      <c r="U465" s="17" t="e" cm="1">
        <f t="array" aca="1" ref="U465" ca="1">+U465:Y1019VLOOKUP(RiskRegister[[#This Row],[Residual Impact Level]],'Rating factors'!$F$4:$G$9,2,FALSE)</f>
        <v>#NAME?</v>
      </c>
      <c r="V465" s="16" t="s">
        <v>79</v>
      </c>
      <c r="W465" s="17" t="str">
        <f>VLOOKUP(RiskRegister[[#This Row],[Residual Likelihood Level]],'Rating factors'!$F$16:$G$21,2,FALSE)</f>
        <v>--- Error ---</v>
      </c>
      <c r="X465" s="17" t="str">
        <f ca="1">IFERROR(VLOOKUP(RiskRegister[[#This Row],[Residual Risk Rating]],'Rating factors'!$F$30:$G$44,2,FALSE),"-- Error --")</f>
        <v>-- Error --</v>
      </c>
      <c r="Y465" s="17" t="str">
        <f ca="1">IFERROR(RiskRegister[[#This Row],[Residual Impact Rating]]*RiskRegister[[#This Row],[Residual Likelihood Rating]],"-- Error --")</f>
        <v>-- Error --</v>
      </c>
      <c r="Z465" s="16" t="s">
        <v>100</v>
      </c>
      <c r="AB465" s="39"/>
      <c r="AD465" s="20"/>
    </row>
    <row r="466" spans="1:30" s="16" customFormat="1" hidden="1" x14ac:dyDescent="0.25">
      <c r="A466" s="16">
        <v>463</v>
      </c>
      <c r="G466" s="16" t="s">
        <v>77</v>
      </c>
      <c r="I466" s="16" t="s">
        <v>75</v>
      </c>
      <c r="L466" s="105" t="s">
        <v>99</v>
      </c>
      <c r="M466" s="17" t="str">
        <f>VLOOKUP(RiskRegister[[#This Row],[Inherent Impact LevelL3:L1020D1007L3:L1019]],'Rating factors'!$F$4:$G$9,2,FALSE)</f>
        <v>--- Error ---</v>
      </c>
      <c r="N466" s="16" t="s">
        <v>79</v>
      </c>
      <c r="O466" s="17" t="str">
        <f>VLOOKUP(RiskRegister[[#This Row],[Inherent Likelihood Level]],'Rating factors'!$F$16:$G$21,2,FALSE)</f>
        <v>--- Error ---</v>
      </c>
      <c r="P466" s="17" t="str">
        <f>IFERROR(VLOOKUP(RiskRegister[[#This Row],[Inherent Risk Rating]],'Rating factors'!$F$30:$G$44,2,FALSE),"-- Error --")</f>
        <v>-- Error --</v>
      </c>
      <c r="Q466" s="17" t="str">
        <f>IFERROR(RiskRegister[[#This Row],[Inherent Impact Rating]]*RiskRegister[[#This Row],[Inherent Likelihood Rating]],"-- Error --")</f>
        <v>-- Error --</v>
      </c>
      <c r="R466" s="16" t="s">
        <v>98</v>
      </c>
      <c r="T466" s="16" t="s">
        <v>99</v>
      </c>
      <c r="U466" s="17" t="e" cm="1">
        <f t="array" aca="1" ref="U466" ca="1">+U466:Y1019VLOOKUP(RiskRegister[[#This Row],[Residual Impact Level]],'Rating factors'!$F$4:$G$9,2,FALSE)</f>
        <v>#NAME?</v>
      </c>
      <c r="V466" s="16" t="s">
        <v>79</v>
      </c>
      <c r="W466" s="17" t="str">
        <f>VLOOKUP(RiskRegister[[#This Row],[Residual Likelihood Level]],'Rating factors'!$F$16:$G$21,2,FALSE)</f>
        <v>--- Error ---</v>
      </c>
      <c r="X466" s="17" t="str">
        <f ca="1">IFERROR(VLOOKUP(RiskRegister[[#This Row],[Residual Risk Rating]],'Rating factors'!$F$30:$G$44,2,FALSE),"-- Error --")</f>
        <v>-- Error --</v>
      </c>
      <c r="Y466" s="17" t="str">
        <f ca="1">IFERROR(RiskRegister[[#This Row],[Residual Impact Rating]]*RiskRegister[[#This Row],[Residual Likelihood Rating]],"-- Error --")</f>
        <v>-- Error --</v>
      </c>
      <c r="Z466" s="16" t="s">
        <v>100</v>
      </c>
      <c r="AB466" s="39"/>
      <c r="AD466" s="20"/>
    </row>
    <row r="467" spans="1:30" s="16" customFormat="1" hidden="1" x14ac:dyDescent="0.25">
      <c r="A467" s="16">
        <v>464</v>
      </c>
      <c r="G467" s="16" t="s">
        <v>77</v>
      </c>
      <c r="I467" s="16" t="s">
        <v>75</v>
      </c>
      <c r="L467" s="105" t="s">
        <v>99</v>
      </c>
      <c r="M467" s="17" t="str">
        <f>VLOOKUP(RiskRegister[[#This Row],[Inherent Impact LevelL3:L1020D1007L3:L1019]],'Rating factors'!$F$4:$G$9,2,FALSE)</f>
        <v>--- Error ---</v>
      </c>
      <c r="N467" s="16" t="s">
        <v>79</v>
      </c>
      <c r="O467" s="17" t="str">
        <f>VLOOKUP(RiskRegister[[#This Row],[Inherent Likelihood Level]],'Rating factors'!$F$16:$G$21,2,FALSE)</f>
        <v>--- Error ---</v>
      </c>
      <c r="P467" s="17" t="str">
        <f>IFERROR(VLOOKUP(RiskRegister[[#This Row],[Inherent Risk Rating]],'Rating factors'!$F$30:$G$44,2,FALSE),"-- Error --")</f>
        <v>-- Error --</v>
      </c>
      <c r="Q467" s="17" t="str">
        <f>IFERROR(RiskRegister[[#This Row],[Inherent Impact Rating]]*RiskRegister[[#This Row],[Inherent Likelihood Rating]],"-- Error --")</f>
        <v>-- Error --</v>
      </c>
      <c r="R467" s="16" t="s">
        <v>98</v>
      </c>
      <c r="T467" s="16" t="s">
        <v>99</v>
      </c>
      <c r="U467" s="17" t="e" cm="1">
        <f t="array" aca="1" ref="U467" ca="1">+U467:Y1019VLOOKUP(RiskRegister[[#This Row],[Residual Impact Level]],'Rating factors'!$F$4:$G$9,2,FALSE)</f>
        <v>#NAME?</v>
      </c>
      <c r="V467" s="16" t="s">
        <v>79</v>
      </c>
      <c r="W467" s="17" t="str">
        <f>VLOOKUP(RiskRegister[[#This Row],[Residual Likelihood Level]],'Rating factors'!$F$16:$G$21,2,FALSE)</f>
        <v>--- Error ---</v>
      </c>
      <c r="X467" s="17" t="str">
        <f ca="1">IFERROR(VLOOKUP(RiskRegister[[#This Row],[Residual Risk Rating]],'Rating factors'!$F$30:$G$44,2,FALSE),"-- Error --")</f>
        <v>-- Error --</v>
      </c>
      <c r="Y467" s="17" t="str">
        <f ca="1">IFERROR(RiskRegister[[#This Row],[Residual Impact Rating]]*RiskRegister[[#This Row],[Residual Likelihood Rating]],"-- Error --")</f>
        <v>-- Error --</v>
      </c>
      <c r="Z467" s="16" t="s">
        <v>100</v>
      </c>
      <c r="AB467" s="39"/>
      <c r="AD467" s="20"/>
    </row>
    <row r="468" spans="1:30" s="16" customFormat="1" hidden="1" x14ac:dyDescent="0.25">
      <c r="A468" s="16">
        <v>465</v>
      </c>
      <c r="G468" s="16" t="s">
        <v>77</v>
      </c>
      <c r="I468" s="16" t="s">
        <v>75</v>
      </c>
      <c r="L468" s="105" t="s">
        <v>99</v>
      </c>
      <c r="M468" s="17" t="str">
        <f>VLOOKUP(RiskRegister[[#This Row],[Inherent Impact LevelL3:L1020D1007L3:L1019]],'Rating factors'!$F$4:$G$9,2,FALSE)</f>
        <v>--- Error ---</v>
      </c>
      <c r="N468" s="16" t="s">
        <v>79</v>
      </c>
      <c r="O468" s="17" t="str">
        <f>VLOOKUP(RiskRegister[[#This Row],[Inherent Likelihood Level]],'Rating factors'!$F$16:$G$21,2,FALSE)</f>
        <v>--- Error ---</v>
      </c>
      <c r="P468" s="17" t="str">
        <f>IFERROR(VLOOKUP(RiskRegister[[#This Row],[Inherent Risk Rating]],'Rating factors'!$F$30:$G$44,2,FALSE),"-- Error --")</f>
        <v>-- Error --</v>
      </c>
      <c r="Q468" s="17" t="str">
        <f>IFERROR(RiskRegister[[#This Row],[Inherent Impact Rating]]*RiskRegister[[#This Row],[Inherent Likelihood Rating]],"-- Error --")</f>
        <v>-- Error --</v>
      </c>
      <c r="R468" s="16" t="s">
        <v>98</v>
      </c>
      <c r="T468" s="16" t="s">
        <v>99</v>
      </c>
      <c r="U468" s="17" t="e" cm="1">
        <f t="array" aca="1" ref="U468" ca="1">+U468:Y1019VLOOKUP(RiskRegister[[#This Row],[Residual Impact Level]],'Rating factors'!$F$4:$G$9,2,FALSE)</f>
        <v>#NAME?</v>
      </c>
      <c r="V468" s="16" t="s">
        <v>79</v>
      </c>
      <c r="W468" s="17" t="str">
        <f>VLOOKUP(RiskRegister[[#This Row],[Residual Likelihood Level]],'Rating factors'!$F$16:$G$21,2,FALSE)</f>
        <v>--- Error ---</v>
      </c>
      <c r="X468" s="17" t="str">
        <f ca="1">IFERROR(VLOOKUP(RiskRegister[[#This Row],[Residual Risk Rating]],'Rating factors'!$F$30:$G$44,2,FALSE),"-- Error --")</f>
        <v>-- Error --</v>
      </c>
      <c r="Y468" s="17" t="str">
        <f ca="1">IFERROR(RiskRegister[[#This Row],[Residual Impact Rating]]*RiskRegister[[#This Row],[Residual Likelihood Rating]],"-- Error --")</f>
        <v>-- Error --</v>
      </c>
      <c r="Z468" s="16" t="s">
        <v>100</v>
      </c>
      <c r="AB468" s="39"/>
      <c r="AD468" s="20"/>
    </row>
    <row r="469" spans="1:30" s="16" customFormat="1" hidden="1" x14ac:dyDescent="0.25">
      <c r="A469" s="16">
        <v>466</v>
      </c>
      <c r="G469" s="16" t="s">
        <v>77</v>
      </c>
      <c r="I469" s="16" t="s">
        <v>75</v>
      </c>
      <c r="L469" s="105" t="s">
        <v>99</v>
      </c>
      <c r="M469" s="17" t="str">
        <f>VLOOKUP(RiskRegister[[#This Row],[Inherent Impact LevelL3:L1020D1007L3:L1019]],'Rating factors'!$F$4:$G$9,2,FALSE)</f>
        <v>--- Error ---</v>
      </c>
      <c r="N469" s="16" t="s">
        <v>79</v>
      </c>
      <c r="O469" s="17" t="str">
        <f>VLOOKUP(RiskRegister[[#This Row],[Inherent Likelihood Level]],'Rating factors'!$F$16:$G$21,2,FALSE)</f>
        <v>--- Error ---</v>
      </c>
      <c r="P469" s="17" t="str">
        <f>IFERROR(VLOOKUP(RiskRegister[[#This Row],[Inherent Risk Rating]],'Rating factors'!$F$30:$G$44,2,FALSE),"-- Error --")</f>
        <v>-- Error --</v>
      </c>
      <c r="Q469" s="17" t="str">
        <f>IFERROR(RiskRegister[[#This Row],[Inherent Impact Rating]]*RiskRegister[[#This Row],[Inherent Likelihood Rating]],"-- Error --")</f>
        <v>-- Error --</v>
      </c>
      <c r="R469" s="16" t="s">
        <v>98</v>
      </c>
      <c r="T469" s="16" t="s">
        <v>99</v>
      </c>
      <c r="U469" s="17" t="e" cm="1">
        <f t="array" aca="1" ref="U469" ca="1">+U469:Y1019VLOOKUP(RiskRegister[[#This Row],[Residual Impact Level]],'Rating factors'!$F$4:$G$9,2,FALSE)</f>
        <v>#NAME?</v>
      </c>
      <c r="V469" s="16" t="s">
        <v>79</v>
      </c>
      <c r="W469" s="17" t="str">
        <f>VLOOKUP(RiskRegister[[#This Row],[Residual Likelihood Level]],'Rating factors'!$F$16:$G$21,2,FALSE)</f>
        <v>--- Error ---</v>
      </c>
      <c r="X469" s="17" t="str">
        <f ca="1">IFERROR(VLOOKUP(RiskRegister[[#This Row],[Residual Risk Rating]],'Rating factors'!$F$30:$G$44,2,FALSE),"-- Error --")</f>
        <v>-- Error --</v>
      </c>
      <c r="Y469" s="17" t="str">
        <f ca="1">IFERROR(RiskRegister[[#This Row],[Residual Impact Rating]]*RiskRegister[[#This Row],[Residual Likelihood Rating]],"-- Error --")</f>
        <v>-- Error --</v>
      </c>
      <c r="Z469" s="16" t="s">
        <v>100</v>
      </c>
      <c r="AB469" s="39"/>
      <c r="AD469" s="20"/>
    </row>
    <row r="470" spans="1:30" s="16" customFormat="1" hidden="1" x14ac:dyDescent="0.25">
      <c r="A470" s="16">
        <v>467</v>
      </c>
      <c r="G470" s="16" t="s">
        <v>77</v>
      </c>
      <c r="I470" s="16" t="s">
        <v>75</v>
      </c>
      <c r="L470" s="105" t="s">
        <v>99</v>
      </c>
      <c r="M470" s="17" t="str">
        <f>VLOOKUP(RiskRegister[[#This Row],[Inherent Impact LevelL3:L1020D1007L3:L1019]],'Rating factors'!$F$4:$G$9,2,FALSE)</f>
        <v>--- Error ---</v>
      </c>
      <c r="N470" s="16" t="s">
        <v>79</v>
      </c>
      <c r="O470" s="17" t="str">
        <f>VLOOKUP(RiskRegister[[#This Row],[Inherent Likelihood Level]],'Rating factors'!$F$16:$G$21,2,FALSE)</f>
        <v>--- Error ---</v>
      </c>
      <c r="P470" s="17" t="str">
        <f>IFERROR(VLOOKUP(RiskRegister[[#This Row],[Inherent Risk Rating]],'Rating factors'!$F$30:$G$44,2,FALSE),"-- Error --")</f>
        <v>-- Error --</v>
      </c>
      <c r="Q470" s="17" t="str">
        <f>IFERROR(RiskRegister[[#This Row],[Inherent Impact Rating]]*RiskRegister[[#This Row],[Inherent Likelihood Rating]],"-- Error --")</f>
        <v>-- Error --</v>
      </c>
      <c r="R470" s="16" t="s">
        <v>98</v>
      </c>
      <c r="T470" s="16" t="s">
        <v>99</v>
      </c>
      <c r="U470" s="17" t="e" cm="1">
        <f t="array" aca="1" ref="U470" ca="1">+U470:Y1019VLOOKUP(RiskRegister[[#This Row],[Residual Impact Level]],'Rating factors'!$F$4:$G$9,2,FALSE)</f>
        <v>#NAME?</v>
      </c>
      <c r="V470" s="16" t="s">
        <v>79</v>
      </c>
      <c r="W470" s="17" t="str">
        <f>VLOOKUP(RiskRegister[[#This Row],[Residual Likelihood Level]],'Rating factors'!$F$16:$G$21,2,FALSE)</f>
        <v>--- Error ---</v>
      </c>
      <c r="X470" s="17" t="str">
        <f ca="1">IFERROR(VLOOKUP(RiskRegister[[#This Row],[Residual Risk Rating]],'Rating factors'!$F$30:$G$44,2,FALSE),"-- Error --")</f>
        <v>-- Error --</v>
      </c>
      <c r="Y470" s="17" t="str">
        <f ca="1">IFERROR(RiskRegister[[#This Row],[Residual Impact Rating]]*RiskRegister[[#This Row],[Residual Likelihood Rating]],"-- Error --")</f>
        <v>-- Error --</v>
      </c>
      <c r="Z470" s="16" t="s">
        <v>100</v>
      </c>
      <c r="AB470" s="39"/>
      <c r="AD470" s="20"/>
    </row>
    <row r="471" spans="1:30" s="16" customFormat="1" hidden="1" x14ac:dyDescent="0.25">
      <c r="A471" s="16">
        <v>468</v>
      </c>
      <c r="G471" s="16" t="s">
        <v>77</v>
      </c>
      <c r="I471" s="16" t="s">
        <v>75</v>
      </c>
      <c r="L471" s="105" t="s">
        <v>99</v>
      </c>
      <c r="M471" s="17" t="str">
        <f>VLOOKUP(RiskRegister[[#This Row],[Inherent Impact LevelL3:L1020D1007L3:L1019]],'Rating factors'!$F$4:$G$9,2,FALSE)</f>
        <v>--- Error ---</v>
      </c>
      <c r="N471" s="16" t="s">
        <v>79</v>
      </c>
      <c r="O471" s="17" t="str">
        <f>VLOOKUP(RiskRegister[[#This Row],[Inherent Likelihood Level]],'Rating factors'!$F$16:$G$21,2,FALSE)</f>
        <v>--- Error ---</v>
      </c>
      <c r="P471" s="17" t="str">
        <f>IFERROR(VLOOKUP(RiskRegister[[#This Row],[Inherent Risk Rating]],'Rating factors'!$F$30:$G$44,2,FALSE),"-- Error --")</f>
        <v>-- Error --</v>
      </c>
      <c r="Q471" s="17" t="str">
        <f>IFERROR(RiskRegister[[#This Row],[Inherent Impact Rating]]*RiskRegister[[#This Row],[Inherent Likelihood Rating]],"-- Error --")</f>
        <v>-- Error --</v>
      </c>
      <c r="R471" s="16" t="s">
        <v>98</v>
      </c>
      <c r="T471" s="16" t="s">
        <v>99</v>
      </c>
      <c r="U471" s="17" t="e" cm="1">
        <f t="array" aca="1" ref="U471" ca="1">+U471:Y1019VLOOKUP(RiskRegister[[#This Row],[Residual Impact Level]],'Rating factors'!$F$4:$G$9,2,FALSE)</f>
        <v>#NAME?</v>
      </c>
      <c r="V471" s="16" t="s">
        <v>79</v>
      </c>
      <c r="W471" s="17" t="str">
        <f>VLOOKUP(RiskRegister[[#This Row],[Residual Likelihood Level]],'Rating factors'!$F$16:$G$21,2,FALSE)</f>
        <v>--- Error ---</v>
      </c>
      <c r="X471" s="17" t="str">
        <f ca="1">IFERROR(VLOOKUP(RiskRegister[[#This Row],[Residual Risk Rating]],'Rating factors'!$F$30:$G$44,2,FALSE),"-- Error --")</f>
        <v>-- Error --</v>
      </c>
      <c r="Y471" s="17" t="str">
        <f ca="1">IFERROR(RiskRegister[[#This Row],[Residual Impact Rating]]*RiskRegister[[#This Row],[Residual Likelihood Rating]],"-- Error --")</f>
        <v>-- Error --</v>
      </c>
      <c r="Z471" s="16" t="s">
        <v>100</v>
      </c>
      <c r="AB471" s="39"/>
      <c r="AD471" s="20"/>
    </row>
    <row r="472" spans="1:30" s="16" customFormat="1" hidden="1" x14ac:dyDescent="0.25">
      <c r="A472" s="16">
        <v>469</v>
      </c>
      <c r="G472" s="16" t="s">
        <v>77</v>
      </c>
      <c r="I472" s="16" t="s">
        <v>75</v>
      </c>
      <c r="L472" s="105" t="s">
        <v>99</v>
      </c>
      <c r="M472" s="17" t="str">
        <f>VLOOKUP(RiskRegister[[#This Row],[Inherent Impact LevelL3:L1020D1007L3:L1019]],'Rating factors'!$F$4:$G$9,2,FALSE)</f>
        <v>--- Error ---</v>
      </c>
      <c r="N472" s="16" t="s">
        <v>79</v>
      </c>
      <c r="O472" s="17" t="str">
        <f>VLOOKUP(RiskRegister[[#This Row],[Inherent Likelihood Level]],'Rating factors'!$F$16:$G$21,2,FALSE)</f>
        <v>--- Error ---</v>
      </c>
      <c r="P472" s="17" t="str">
        <f>IFERROR(VLOOKUP(RiskRegister[[#This Row],[Inherent Risk Rating]],'Rating factors'!$F$30:$G$44,2,FALSE),"-- Error --")</f>
        <v>-- Error --</v>
      </c>
      <c r="Q472" s="17" t="str">
        <f>IFERROR(RiskRegister[[#This Row],[Inherent Impact Rating]]*RiskRegister[[#This Row],[Inherent Likelihood Rating]],"-- Error --")</f>
        <v>-- Error --</v>
      </c>
      <c r="R472" s="16" t="s">
        <v>98</v>
      </c>
      <c r="T472" s="16" t="s">
        <v>99</v>
      </c>
      <c r="U472" s="17" t="e" cm="1">
        <f t="array" aca="1" ref="U472" ca="1">+U472:Y1019VLOOKUP(RiskRegister[[#This Row],[Residual Impact Level]],'Rating factors'!$F$4:$G$9,2,FALSE)</f>
        <v>#NAME?</v>
      </c>
      <c r="V472" s="16" t="s">
        <v>79</v>
      </c>
      <c r="W472" s="17" t="str">
        <f>VLOOKUP(RiskRegister[[#This Row],[Residual Likelihood Level]],'Rating factors'!$F$16:$G$21,2,FALSE)</f>
        <v>--- Error ---</v>
      </c>
      <c r="X472" s="17" t="str">
        <f ca="1">IFERROR(VLOOKUP(RiskRegister[[#This Row],[Residual Risk Rating]],'Rating factors'!$F$30:$G$44,2,FALSE),"-- Error --")</f>
        <v>-- Error --</v>
      </c>
      <c r="Y472" s="17" t="str">
        <f ca="1">IFERROR(RiskRegister[[#This Row],[Residual Impact Rating]]*RiskRegister[[#This Row],[Residual Likelihood Rating]],"-- Error --")</f>
        <v>-- Error --</v>
      </c>
      <c r="Z472" s="16" t="s">
        <v>100</v>
      </c>
      <c r="AB472" s="39"/>
      <c r="AD472" s="20"/>
    </row>
    <row r="473" spans="1:30" s="16" customFormat="1" hidden="1" x14ac:dyDescent="0.25">
      <c r="A473" s="16">
        <v>470</v>
      </c>
      <c r="G473" s="16" t="s">
        <v>77</v>
      </c>
      <c r="I473" s="16" t="s">
        <v>75</v>
      </c>
      <c r="L473" s="105" t="s">
        <v>99</v>
      </c>
      <c r="M473" s="17" t="str">
        <f>VLOOKUP(RiskRegister[[#This Row],[Inherent Impact LevelL3:L1020D1007L3:L1019]],'Rating factors'!$F$4:$G$9,2,FALSE)</f>
        <v>--- Error ---</v>
      </c>
      <c r="N473" s="16" t="s">
        <v>79</v>
      </c>
      <c r="O473" s="17" t="str">
        <f>VLOOKUP(RiskRegister[[#This Row],[Inherent Likelihood Level]],'Rating factors'!$F$16:$G$21,2,FALSE)</f>
        <v>--- Error ---</v>
      </c>
      <c r="P473" s="17" t="str">
        <f>IFERROR(VLOOKUP(RiskRegister[[#This Row],[Inherent Risk Rating]],'Rating factors'!$F$30:$G$44,2,FALSE),"-- Error --")</f>
        <v>-- Error --</v>
      </c>
      <c r="Q473" s="17" t="str">
        <f>IFERROR(RiskRegister[[#This Row],[Inherent Impact Rating]]*RiskRegister[[#This Row],[Inherent Likelihood Rating]],"-- Error --")</f>
        <v>-- Error --</v>
      </c>
      <c r="R473" s="16" t="s">
        <v>98</v>
      </c>
      <c r="T473" s="16" t="s">
        <v>99</v>
      </c>
      <c r="U473" s="17" t="e" cm="1">
        <f t="array" aca="1" ref="U473" ca="1">+U473:Y1019VLOOKUP(RiskRegister[[#This Row],[Residual Impact Level]],'Rating factors'!$F$4:$G$9,2,FALSE)</f>
        <v>#NAME?</v>
      </c>
      <c r="V473" s="16" t="s">
        <v>79</v>
      </c>
      <c r="W473" s="17" t="str">
        <f>VLOOKUP(RiskRegister[[#This Row],[Residual Likelihood Level]],'Rating factors'!$F$16:$G$21,2,FALSE)</f>
        <v>--- Error ---</v>
      </c>
      <c r="X473" s="17" t="str">
        <f ca="1">IFERROR(VLOOKUP(RiskRegister[[#This Row],[Residual Risk Rating]],'Rating factors'!$F$30:$G$44,2,FALSE),"-- Error --")</f>
        <v>-- Error --</v>
      </c>
      <c r="Y473" s="17" t="str">
        <f ca="1">IFERROR(RiskRegister[[#This Row],[Residual Impact Rating]]*RiskRegister[[#This Row],[Residual Likelihood Rating]],"-- Error --")</f>
        <v>-- Error --</v>
      </c>
      <c r="Z473" s="16" t="s">
        <v>100</v>
      </c>
      <c r="AB473" s="39"/>
      <c r="AD473" s="20"/>
    </row>
    <row r="474" spans="1:30" s="16" customFormat="1" hidden="1" x14ac:dyDescent="0.25">
      <c r="A474" s="16">
        <v>471</v>
      </c>
      <c r="G474" s="16" t="s">
        <v>77</v>
      </c>
      <c r="I474" s="16" t="s">
        <v>75</v>
      </c>
      <c r="L474" s="105" t="s">
        <v>99</v>
      </c>
      <c r="M474" s="17" t="str">
        <f>VLOOKUP(RiskRegister[[#This Row],[Inherent Impact LevelL3:L1020D1007L3:L1019]],'Rating factors'!$F$4:$G$9,2,FALSE)</f>
        <v>--- Error ---</v>
      </c>
      <c r="N474" s="16" t="s">
        <v>79</v>
      </c>
      <c r="O474" s="17" t="str">
        <f>VLOOKUP(RiskRegister[[#This Row],[Inherent Likelihood Level]],'Rating factors'!$F$16:$G$21,2,FALSE)</f>
        <v>--- Error ---</v>
      </c>
      <c r="P474" s="17" t="str">
        <f>IFERROR(VLOOKUP(RiskRegister[[#This Row],[Inherent Risk Rating]],'Rating factors'!$F$30:$G$44,2,FALSE),"-- Error --")</f>
        <v>-- Error --</v>
      </c>
      <c r="Q474" s="17" t="str">
        <f>IFERROR(RiskRegister[[#This Row],[Inherent Impact Rating]]*RiskRegister[[#This Row],[Inherent Likelihood Rating]],"-- Error --")</f>
        <v>-- Error --</v>
      </c>
      <c r="R474" s="16" t="s">
        <v>98</v>
      </c>
      <c r="T474" s="16" t="s">
        <v>99</v>
      </c>
      <c r="U474" s="17" t="e" cm="1">
        <f t="array" aca="1" ref="U474" ca="1">+U474:Y1019VLOOKUP(RiskRegister[[#This Row],[Residual Impact Level]],'Rating factors'!$F$4:$G$9,2,FALSE)</f>
        <v>#NAME?</v>
      </c>
      <c r="V474" s="16" t="s">
        <v>79</v>
      </c>
      <c r="W474" s="17" t="str">
        <f>VLOOKUP(RiskRegister[[#This Row],[Residual Likelihood Level]],'Rating factors'!$F$16:$G$21,2,FALSE)</f>
        <v>--- Error ---</v>
      </c>
      <c r="X474" s="17" t="str">
        <f ca="1">IFERROR(VLOOKUP(RiskRegister[[#This Row],[Residual Risk Rating]],'Rating factors'!$F$30:$G$44,2,FALSE),"-- Error --")</f>
        <v>-- Error --</v>
      </c>
      <c r="Y474" s="17" t="str">
        <f ca="1">IFERROR(RiskRegister[[#This Row],[Residual Impact Rating]]*RiskRegister[[#This Row],[Residual Likelihood Rating]],"-- Error --")</f>
        <v>-- Error --</v>
      </c>
      <c r="Z474" s="16" t="s">
        <v>100</v>
      </c>
      <c r="AB474" s="39"/>
      <c r="AD474" s="20"/>
    </row>
    <row r="475" spans="1:30" s="16" customFormat="1" hidden="1" x14ac:dyDescent="0.25">
      <c r="A475" s="16">
        <v>472</v>
      </c>
      <c r="G475" s="16" t="s">
        <v>77</v>
      </c>
      <c r="I475" s="16" t="s">
        <v>75</v>
      </c>
      <c r="L475" s="105" t="s">
        <v>99</v>
      </c>
      <c r="M475" s="17" t="str">
        <f>VLOOKUP(RiskRegister[[#This Row],[Inherent Impact LevelL3:L1020D1007L3:L1019]],'Rating factors'!$F$4:$G$9,2,FALSE)</f>
        <v>--- Error ---</v>
      </c>
      <c r="N475" s="16" t="s">
        <v>79</v>
      </c>
      <c r="O475" s="17" t="str">
        <f>VLOOKUP(RiskRegister[[#This Row],[Inherent Likelihood Level]],'Rating factors'!$F$16:$G$21,2,FALSE)</f>
        <v>--- Error ---</v>
      </c>
      <c r="P475" s="17" t="str">
        <f>IFERROR(VLOOKUP(RiskRegister[[#This Row],[Inherent Risk Rating]],'Rating factors'!$F$30:$G$44,2,FALSE),"-- Error --")</f>
        <v>-- Error --</v>
      </c>
      <c r="Q475" s="17" t="str">
        <f>IFERROR(RiskRegister[[#This Row],[Inherent Impact Rating]]*RiskRegister[[#This Row],[Inherent Likelihood Rating]],"-- Error --")</f>
        <v>-- Error --</v>
      </c>
      <c r="R475" s="16" t="s">
        <v>98</v>
      </c>
      <c r="T475" s="16" t="s">
        <v>99</v>
      </c>
      <c r="U475" s="17" t="e" cm="1">
        <f t="array" aca="1" ref="U475" ca="1">+U475:Y1019VLOOKUP(RiskRegister[[#This Row],[Residual Impact Level]],'Rating factors'!$F$4:$G$9,2,FALSE)</f>
        <v>#NAME?</v>
      </c>
      <c r="V475" s="16" t="s">
        <v>79</v>
      </c>
      <c r="W475" s="17" t="str">
        <f>VLOOKUP(RiskRegister[[#This Row],[Residual Likelihood Level]],'Rating factors'!$F$16:$G$21,2,FALSE)</f>
        <v>--- Error ---</v>
      </c>
      <c r="X475" s="17" t="str">
        <f ca="1">IFERROR(VLOOKUP(RiskRegister[[#This Row],[Residual Risk Rating]],'Rating factors'!$F$30:$G$44,2,FALSE),"-- Error --")</f>
        <v>-- Error --</v>
      </c>
      <c r="Y475" s="17" t="str">
        <f ca="1">IFERROR(RiskRegister[[#This Row],[Residual Impact Rating]]*RiskRegister[[#This Row],[Residual Likelihood Rating]],"-- Error --")</f>
        <v>-- Error --</v>
      </c>
      <c r="Z475" s="16" t="s">
        <v>100</v>
      </c>
      <c r="AB475" s="39"/>
      <c r="AD475" s="20"/>
    </row>
    <row r="476" spans="1:30" s="16" customFormat="1" hidden="1" x14ac:dyDescent="0.25">
      <c r="A476" s="16">
        <v>473</v>
      </c>
      <c r="G476" s="16" t="s">
        <v>77</v>
      </c>
      <c r="I476" s="16" t="s">
        <v>75</v>
      </c>
      <c r="L476" s="105" t="s">
        <v>99</v>
      </c>
      <c r="M476" s="17" t="str">
        <f>VLOOKUP(RiskRegister[[#This Row],[Inherent Impact LevelL3:L1020D1007L3:L1019]],'Rating factors'!$F$4:$G$9,2,FALSE)</f>
        <v>--- Error ---</v>
      </c>
      <c r="N476" s="16" t="s">
        <v>79</v>
      </c>
      <c r="O476" s="17" t="str">
        <f>VLOOKUP(RiskRegister[[#This Row],[Inherent Likelihood Level]],'Rating factors'!$F$16:$G$21,2,FALSE)</f>
        <v>--- Error ---</v>
      </c>
      <c r="P476" s="17" t="str">
        <f>IFERROR(VLOOKUP(RiskRegister[[#This Row],[Inherent Risk Rating]],'Rating factors'!$F$30:$G$44,2,FALSE),"-- Error --")</f>
        <v>-- Error --</v>
      </c>
      <c r="Q476" s="17" t="str">
        <f>IFERROR(RiskRegister[[#This Row],[Inherent Impact Rating]]*RiskRegister[[#This Row],[Inherent Likelihood Rating]],"-- Error --")</f>
        <v>-- Error --</v>
      </c>
      <c r="R476" s="16" t="s">
        <v>98</v>
      </c>
      <c r="T476" s="16" t="s">
        <v>99</v>
      </c>
      <c r="U476" s="17" t="e" cm="1">
        <f t="array" aca="1" ref="U476" ca="1">+U476:Y1019VLOOKUP(RiskRegister[[#This Row],[Residual Impact Level]],'Rating factors'!$F$4:$G$9,2,FALSE)</f>
        <v>#NAME?</v>
      </c>
      <c r="V476" s="16" t="s">
        <v>79</v>
      </c>
      <c r="W476" s="17" t="str">
        <f>VLOOKUP(RiskRegister[[#This Row],[Residual Likelihood Level]],'Rating factors'!$F$16:$G$21,2,FALSE)</f>
        <v>--- Error ---</v>
      </c>
      <c r="X476" s="17" t="str">
        <f ca="1">IFERROR(VLOOKUP(RiskRegister[[#This Row],[Residual Risk Rating]],'Rating factors'!$F$30:$G$44,2,FALSE),"-- Error --")</f>
        <v>-- Error --</v>
      </c>
      <c r="Y476" s="17" t="str">
        <f ca="1">IFERROR(RiskRegister[[#This Row],[Residual Impact Rating]]*RiskRegister[[#This Row],[Residual Likelihood Rating]],"-- Error --")</f>
        <v>-- Error --</v>
      </c>
      <c r="Z476" s="16" t="s">
        <v>100</v>
      </c>
      <c r="AB476" s="39"/>
      <c r="AD476" s="20"/>
    </row>
    <row r="477" spans="1:30" s="16" customFormat="1" hidden="1" x14ac:dyDescent="0.25">
      <c r="A477" s="16">
        <v>474</v>
      </c>
      <c r="G477" s="16" t="s">
        <v>77</v>
      </c>
      <c r="I477" s="16" t="s">
        <v>75</v>
      </c>
      <c r="L477" s="105" t="s">
        <v>99</v>
      </c>
      <c r="M477" s="17" t="str">
        <f>VLOOKUP(RiskRegister[[#This Row],[Inherent Impact LevelL3:L1020D1007L3:L1019]],'Rating factors'!$F$4:$G$9,2,FALSE)</f>
        <v>--- Error ---</v>
      </c>
      <c r="N477" s="16" t="s">
        <v>79</v>
      </c>
      <c r="O477" s="17" t="str">
        <f>VLOOKUP(RiskRegister[[#This Row],[Inherent Likelihood Level]],'Rating factors'!$F$16:$G$21,2,FALSE)</f>
        <v>--- Error ---</v>
      </c>
      <c r="P477" s="17" t="str">
        <f>IFERROR(VLOOKUP(RiskRegister[[#This Row],[Inherent Risk Rating]],'Rating factors'!$F$30:$G$44,2,FALSE),"-- Error --")</f>
        <v>-- Error --</v>
      </c>
      <c r="Q477" s="17" t="str">
        <f>IFERROR(RiskRegister[[#This Row],[Inherent Impact Rating]]*RiskRegister[[#This Row],[Inherent Likelihood Rating]],"-- Error --")</f>
        <v>-- Error --</v>
      </c>
      <c r="R477" s="16" t="s">
        <v>98</v>
      </c>
      <c r="T477" s="16" t="s">
        <v>99</v>
      </c>
      <c r="U477" s="17" t="e" cm="1">
        <f t="array" aca="1" ref="U477" ca="1">+U477:Y1019VLOOKUP(RiskRegister[[#This Row],[Residual Impact Level]],'Rating factors'!$F$4:$G$9,2,FALSE)</f>
        <v>#NAME?</v>
      </c>
      <c r="V477" s="16" t="s">
        <v>79</v>
      </c>
      <c r="W477" s="17" t="str">
        <f>VLOOKUP(RiskRegister[[#This Row],[Residual Likelihood Level]],'Rating factors'!$F$16:$G$21,2,FALSE)</f>
        <v>--- Error ---</v>
      </c>
      <c r="X477" s="17" t="str">
        <f ca="1">IFERROR(VLOOKUP(RiskRegister[[#This Row],[Residual Risk Rating]],'Rating factors'!$F$30:$G$44,2,FALSE),"-- Error --")</f>
        <v>-- Error --</v>
      </c>
      <c r="Y477" s="17" t="str">
        <f ca="1">IFERROR(RiskRegister[[#This Row],[Residual Impact Rating]]*RiskRegister[[#This Row],[Residual Likelihood Rating]],"-- Error --")</f>
        <v>-- Error --</v>
      </c>
      <c r="Z477" s="16" t="s">
        <v>100</v>
      </c>
      <c r="AB477" s="39"/>
      <c r="AD477" s="20"/>
    </row>
    <row r="478" spans="1:30" s="16" customFormat="1" hidden="1" x14ac:dyDescent="0.25">
      <c r="A478" s="16">
        <v>475</v>
      </c>
      <c r="G478" s="16" t="s">
        <v>77</v>
      </c>
      <c r="I478" s="16" t="s">
        <v>75</v>
      </c>
      <c r="L478" s="105" t="s">
        <v>99</v>
      </c>
      <c r="M478" s="17" t="str">
        <f>VLOOKUP(RiskRegister[[#This Row],[Inherent Impact LevelL3:L1020D1007L3:L1019]],'Rating factors'!$F$4:$G$9,2,FALSE)</f>
        <v>--- Error ---</v>
      </c>
      <c r="N478" s="16" t="s">
        <v>79</v>
      </c>
      <c r="O478" s="17" t="str">
        <f>VLOOKUP(RiskRegister[[#This Row],[Inherent Likelihood Level]],'Rating factors'!$F$16:$G$21,2,FALSE)</f>
        <v>--- Error ---</v>
      </c>
      <c r="P478" s="17" t="str">
        <f>IFERROR(VLOOKUP(RiskRegister[[#This Row],[Inherent Risk Rating]],'Rating factors'!$F$30:$G$44,2,FALSE),"-- Error --")</f>
        <v>-- Error --</v>
      </c>
      <c r="Q478" s="17" t="str">
        <f>IFERROR(RiskRegister[[#This Row],[Inherent Impact Rating]]*RiskRegister[[#This Row],[Inherent Likelihood Rating]],"-- Error --")</f>
        <v>-- Error --</v>
      </c>
      <c r="R478" s="16" t="s">
        <v>98</v>
      </c>
      <c r="T478" s="16" t="s">
        <v>99</v>
      </c>
      <c r="U478" s="17" t="e" cm="1">
        <f t="array" aca="1" ref="U478" ca="1">+U478:Y1019VLOOKUP(RiskRegister[[#This Row],[Residual Impact Level]],'Rating factors'!$F$4:$G$9,2,FALSE)</f>
        <v>#NAME?</v>
      </c>
      <c r="V478" s="16" t="s">
        <v>79</v>
      </c>
      <c r="W478" s="17" t="str">
        <f>VLOOKUP(RiskRegister[[#This Row],[Residual Likelihood Level]],'Rating factors'!$F$16:$G$21,2,FALSE)</f>
        <v>--- Error ---</v>
      </c>
      <c r="X478" s="17" t="str">
        <f ca="1">IFERROR(VLOOKUP(RiskRegister[[#This Row],[Residual Risk Rating]],'Rating factors'!$F$30:$G$44,2,FALSE),"-- Error --")</f>
        <v>-- Error --</v>
      </c>
      <c r="Y478" s="17" t="str">
        <f ca="1">IFERROR(RiskRegister[[#This Row],[Residual Impact Rating]]*RiskRegister[[#This Row],[Residual Likelihood Rating]],"-- Error --")</f>
        <v>-- Error --</v>
      </c>
      <c r="Z478" s="16" t="s">
        <v>100</v>
      </c>
      <c r="AB478" s="39"/>
      <c r="AD478" s="20"/>
    </row>
    <row r="479" spans="1:30" s="16" customFormat="1" hidden="1" x14ac:dyDescent="0.25">
      <c r="A479" s="16">
        <v>476</v>
      </c>
      <c r="G479" s="16" t="s">
        <v>77</v>
      </c>
      <c r="I479" s="16" t="s">
        <v>75</v>
      </c>
      <c r="L479" s="105" t="s">
        <v>99</v>
      </c>
      <c r="M479" s="17" t="str">
        <f>VLOOKUP(RiskRegister[[#This Row],[Inherent Impact LevelL3:L1020D1007L3:L1019]],'Rating factors'!$F$4:$G$9,2,FALSE)</f>
        <v>--- Error ---</v>
      </c>
      <c r="N479" s="16" t="s">
        <v>79</v>
      </c>
      <c r="O479" s="17" t="str">
        <f>VLOOKUP(RiskRegister[[#This Row],[Inherent Likelihood Level]],'Rating factors'!$F$16:$G$21,2,FALSE)</f>
        <v>--- Error ---</v>
      </c>
      <c r="P479" s="17" t="str">
        <f>IFERROR(VLOOKUP(RiskRegister[[#This Row],[Inherent Risk Rating]],'Rating factors'!$F$30:$G$44,2,FALSE),"-- Error --")</f>
        <v>-- Error --</v>
      </c>
      <c r="Q479" s="17" t="str">
        <f>IFERROR(RiskRegister[[#This Row],[Inherent Impact Rating]]*RiskRegister[[#This Row],[Inherent Likelihood Rating]],"-- Error --")</f>
        <v>-- Error --</v>
      </c>
      <c r="R479" s="16" t="s">
        <v>98</v>
      </c>
      <c r="T479" s="16" t="s">
        <v>99</v>
      </c>
      <c r="U479" s="17" t="e" cm="1">
        <f t="array" aca="1" ref="U479" ca="1">+U479:Y1019VLOOKUP(RiskRegister[[#This Row],[Residual Impact Level]],'Rating factors'!$F$4:$G$9,2,FALSE)</f>
        <v>#NAME?</v>
      </c>
      <c r="V479" s="16" t="s">
        <v>79</v>
      </c>
      <c r="W479" s="17" t="str">
        <f>VLOOKUP(RiskRegister[[#This Row],[Residual Likelihood Level]],'Rating factors'!$F$16:$G$21,2,FALSE)</f>
        <v>--- Error ---</v>
      </c>
      <c r="X479" s="17" t="str">
        <f ca="1">IFERROR(VLOOKUP(RiskRegister[[#This Row],[Residual Risk Rating]],'Rating factors'!$F$30:$G$44,2,FALSE),"-- Error --")</f>
        <v>-- Error --</v>
      </c>
      <c r="Y479" s="17" t="str">
        <f ca="1">IFERROR(RiskRegister[[#This Row],[Residual Impact Rating]]*RiskRegister[[#This Row],[Residual Likelihood Rating]],"-- Error --")</f>
        <v>-- Error --</v>
      </c>
      <c r="Z479" s="16" t="s">
        <v>100</v>
      </c>
      <c r="AB479" s="39"/>
      <c r="AD479" s="20"/>
    </row>
    <row r="480" spans="1:30" s="16" customFormat="1" hidden="1" x14ac:dyDescent="0.25">
      <c r="A480" s="16">
        <v>477</v>
      </c>
      <c r="G480" s="16" t="s">
        <v>77</v>
      </c>
      <c r="I480" s="16" t="s">
        <v>75</v>
      </c>
      <c r="L480" s="105" t="s">
        <v>99</v>
      </c>
      <c r="M480" s="17" t="str">
        <f>VLOOKUP(RiskRegister[[#This Row],[Inherent Impact LevelL3:L1020D1007L3:L1019]],'Rating factors'!$F$4:$G$9,2,FALSE)</f>
        <v>--- Error ---</v>
      </c>
      <c r="N480" s="16" t="s">
        <v>79</v>
      </c>
      <c r="O480" s="17" t="str">
        <f>VLOOKUP(RiskRegister[[#This Row],[Inherent Likelihood Level]],'Rating factors'!$F$16:$G$21,2,FALSE)</f>
        <v>--- Error ---</v>
      </c>
      <c r="P480" s="17" t="str">
        <f>IFERROR(VLOOKUP(RiskRegister[[#This Row],[Inherent Risk Rating]],'Rating factors'!$F$30:$G$44,2,FALSE),"-- Error --")</f>
        <v>-- Error --</v>
      </c>
      <c r="Q480" s="17" t="str">
        <f>IFERROR(RiskRegister[[#This Row],[Inherent Impact Rating]]*RiskRegister[[#This Row],[Inherent Likelihood Rating]],"-- Error --")</f>
        <v>-- Error --</v>
      </c>
      <c r="R480" s="16" t="s">
        <v>98</v>
      </c>
      <c r="T480" s="16" t="s">
        <v>99</v>
      </c>
      <c r="U480" s="17" t="e" cm="1">
        <f t="array" aca="1" ref="U480" ca="1">+U480:Y1019VLOOKUP(RiskRegister[[#This Row],[Residual Impact Level]],'Rating factors'!$F$4:$G$9,2,FALSE)</f>
        <v>#NAME?</v>
      </c>
      <c r="V480" s="16" t="s">
        <v>79</v>
      </c>
      <c r="W480" s="17" t="str">
        <f>VLOOKUP(RiskRegister[[#This Row],[Residual Likelihood Level]],'Rating factors'!$F$16:$G$21,2,FALSE)</f>
        <v>--- Error ---</v>
      </c>
      <c r="X480" s="17" t="str">
        <f ca="1">IFERROR(VLOOKUP(RiskRegister[[#This Row],[Residual Risk Rating]],'Rating factors'!$F$30:$G$44,2,FALSE),"-- Error --")</f>
        <v>-- Error --</v>
      </c>
      <c r="Y480" s="17" t="str">
        <f ca="1">IFERROR(RiskRegister[[#This Row],[Residual Impact Rating]]*RiskRegister[[#This Row],[Residual Likelihood Rating]],"-- Error --")</f>
        <v>-- Error --</v>
      </c>
      <c r="Z480" s="16" t="s">
        <v>100</v>
      </c>
      <c r="AB480" s="39"/>
      <c r="AD480" s="20"/>
    </row>
    <row r="481" spans="1:30" s="16" customFormat="1" hidden="1" x14ac:dyDescent="0.25">
      <c r="A481" s="16">
        <v>478</v>
      </c>
      <c r="G481" s="16" t="s">
        <v>77</v>
      </c>
      <c r="I481" s="16" t="s">
        <v>75</v>
      </c>
      <c r="L481" s="105" t="s">
        <v>99</v>
      </c>
      <c r="M481" s="17" t="str">
        <f>VLOOKUP(RiskRegister[[#This Row],[Inherent Impact LevelL3:L1020D1007L3:L1019]],'Rating factors'!$F$4:$G$9,2,FALSE)</f>
        <v>--- Error ---</v>
      </c>
      <c r="N481" s="16" t="s">
        <v>79</v>
      </c>
      <c r="O481" s="17" t="str">
        <f>VLOOKUP(RiskRegister[[#This Row],[Inherent Likelihood Level]],'Rating factors'!$F$16:$G$21,2,FALSE)</f>
        <v>--- Error ---</v>
      </c>
      <c r="P481" s="17" t="str">
        <f>IFERROR(VLOOKUP(RiskRegister[[#This Row],[Inherent Risk Rating]],'Rating factors'!$F$30:$G$44,2,FALSE),"-- Error --")</f>
        <v>-- Error --</v>
      </c>
      <c r="Q481" s="17" t="str">
        <f>IFERROR(RiskRegister[[#This Row],[Inherent Impact Rating]]*RiskRegister[[#This Row],[Inherent Likelihood Rating]],"-- Error --")</f>
        <v>-- Error --</v>
      </c>
      <c r="R481" s="16" t="s">
        <v>98</v>
      </c>
      <c r="T481" s="16" t="s">
        <v>99</v>
      </c>
      <c r="U481" s="17" t="e" cm="1">
        <f t="array" aca="1" ref="U481" ca="1">+U481:Y1019VLOOKUP(RiskRegister[[#This Row],[Residual Impact Level]],'Rating factors'!$F$4:$G$9,2,FALSE)</f>
        <v>#NAME?</v>
      </c>
      <c r="V481" s="16" t="s">
        <v>79</v>
      </c>
      <c r="W481" s="17" t="str">
        <f>VLOOKUP(RiskRegister[[#This Row],[Residual Likelihood Level]],'Rating factors'!$F$16:$G$21,2,FALSE)</f>
        <v>--- Error ---</v>
      </c>
      <c r="X481" s="17" t="str">
        <f ca="1">IFERROR(VLOOKUP(RiskRegister[[#This Row],[Residual Risk Rating]],'Rating factors'!$F$30:$G$44,2,FALSE),"-- Error --")</f>
        <v>-- Error --</v>
      </c>
      <c r="Y481" s="17" t="str">
        <f ca="1">IFERROR(RiskRegister[[#This Row],[Residual Impact Rating]]*RiskRegister[[#This Row],[Residual Likelihood Rating]],"-- Error --")</f>
        <v>-- Error --</v>
      </c>
      <c r="Z481" s="16" t="s">
        <v>100</v>
      </c>
      <c r="AB481" s="39"/>
      <c r="AD481" s="20"/>
    </row>
    <row r="482" spans="1:30" s="16" customFormat="1" hidden="1" x14ac:dyDescent="0.25">
      <c r="A482" s="16">
        <v>479</v>
      </c>
      <c r="G482" s="16" t="s">
        <v>77</v>
      </c>
      <c r="I482" s="16" t="s">
        <v>75</v>
      </c>
      <c r="L482" s="105" t="s">
        <v>99</v>
      </c>
      <c r="M482" s="17" t="str">
        <f>VLOOKUP(RiskRegister[[#This Row],[Inherent Impact LevelL3:L1020D1007L3:L1019]],'Rating factors'!$F$4:$G$9,2,FALSE)</f>
        <v>--- Error ---</v>
      </c>
      <c r="N482" s="16" t="s">
        <v>79</v>
      </c>
      <c r="O482" s="17" t="str">
        <f>VLOOKUP(RiskRegister[[#This Row],[Inherent Likelihood Level]],'Rating factors'!$F$16:$G$21,2,FALSE)</f>
        <v>--- Error ---</v>
      </c>
      <c r="P482" s="17" t="str">
        <f>IFERROR(VLOOKUP(RiskRegister[[#This Row],[Inherent Risk Rating]],'Rating factors'!$F$30:$G$44,2,FALSE),"-- Error --")</f>
        <v>-- Error --</v>
      </c>
      <c r="Q482" s="17" t="str">
        <f>IFERROR(RiskRegister[[#This Row],[Inherent Impact Rating]]*RiskRegister[[#This Row],[Inherent Likelihood Rating]],"-- Error --")</f>
        <v>-- Error --</v>
      </c>
      <c r="R482" s="16" t="s">
        <v>98</v>
      </c>
      <c r="T482" s="16" t="s">
        <v>99</v>
      </c>
      <c r="U482" s="17" t="e" cm="1">
        <f t="array" aca="1" ref="U482" ca="1">+U482:Y1019VLOOKUP(RiskRegister[[#This Row],[Residual Impact Level]],'Rating factors'!$F$4:$G$9,2,FALSE)</f>
        <v>#NAME?</v>
      </c>
      <c r="V482" s="16" t="s">
        <v>79</v>
      </c>
      <c r="W482" s="17" t="str">
        <f>VLOOKUP(RiskRegister[[#This Row],[Residual Likelihood Level]],'Rating factors'!$F$16:$G$21,2,FALSE)</f>
        <v>--- Error ---</v>
      </c>
      <c r="X482" s="17" t="str">
        <f ca="1">IFERROR(VLOOKUP(RiskRegister[[#This Row],[Residual Risk Rating]],'Rating factors'!$F$30:$G$44,2,FALSE),"-- Error --")</f>
        <v>-- Error --</v>
      </c>
      <c r="Y482" s="17" t="str">
        <f ca="1">IFERROR(RiskRegister[[#This Row],[Residual Impact Rating]]*RiskRegister[[#This Row],[Residual Likelihood Rating]],"-- Error --")</f>
        <v>-- Error --</v>
      </c>
      <c r="Z482" s="16" t="s">
        <v>100</v>
      </c>
      <c r="AB482" s="39"/>
      <c r="AD482" s="20"/>
    </row>
    <row r="483" spans="1:30" s="16" customFormat="1" hidden="1" x14ac:dyDescent="0.25">
      <c r="A483" s="16">
        <v>480</v>
      </c>
      <c r="G483" s="16" t="s">
        <v>77</v>
      </c>
      <c r="I483" s="16" t="s">
        <v>75</v>
      </c>
      <c r="L483" s="105" t="s">
        <v>99</v>
      </c>
      <c r="M483" s="17" t="str">
        <f>VLOOKUP(RiskRegister[[#This Row],[Inherent Impact LevelL3:L1020D1007L3:L1019]],'Rating factors'!$F$4:$G$9,2,FALSE)</f>
        <v>--- Error ---</v>
      </c>
      <c r="N483" s="16" t="s">
        <v>79</v>
      </c>
      <c r="O483" s="17" t="str">
        <f>VLOOKUP(RiskRegister[[#This Row],[Inherent Likelihood Level]],'Rating factors'!$F$16:$G$21,2,FALSE)</f>
        <v>--- Error ---</v>
      </c>
      <c r="P483" s="17" t="str">
        <f>IFERROR(VLOOKUP(RiskRegister[[#This Row],[Inherent Risk Rating]],'Rating factors'!$F$30:$G$44,2,FALSE),"-- Error --")</f>
        <v>-- Error --</v>
      </c>
      <c r="Q483" s="17" t="str">
        <f>IFERROR(RiskRegister[[#This Row],[Inherent Impact Rating]]*RiskRegister[[#This Row],[Inherent Likelihood Rating]],"-- Error --")</f>
        <v>-- Error --</v>
      </c>
      <c r="R483" s="16" t="s">
        <v>98</v>
      </c>
      <c r="T483" s="16" t="s">
        <v>99</v>
      </c>
      <c r="U483" s="17" t="e" cm="1">
        <f t="array" aca="1" ref="U483" ca="1">+U483:Y1019VLOOKUP(RiskRegister[[#This Row],[Residual Impact Level]],'Rating factors'!$F$4:$G$9,2,FALSE)</f>
        <v>#NAME?</v>
      </c>
      <c r="V483" s="16" t="s">
        <v>79</v>
      </c>
      <c r="W483" s="17" t="str">
        <f>VLOOKUP(RiskRegister[[#This Row],[Residual Likelihood Level]],'Rating factors'!$F$16:$G$21,2,FALSE)</f>
        <v>--- Error ---</v>
      </c>
      <c r="X483" s="17" t="str">
        <f ca="1">IFERROR(VLOOKUP(RiskRegister[[#This Row],[Residual Risk Rating]],'Rating factors'!$F$30:$G$44,2,FALSE),"-- Error --")</f>
        <v>-- Error --</v>
      </c>
      <c r="Y483" s="17" t="str">
        <f ca="1">IFERROR(RiskRegister[[#This Row],[Residual Impact Rating]]*RiskRegister[[#This Row],[Residual Likelihood Rating]],"-- Error --")</f>
        <v>-- Error --</v>
      </c>
      <c r="Z483" s="16" t="s">
        <v>100</v>
      </c>
      <c r="AB483" s="39"/>
      <c r="AD483" s="20"/>
    </row>
    <row r="484" spans="1:30" s="16" customFormat="1" hidden="1" x14ac:dyDescent="0.25">
      <c r="A484" s="16">
        <v>481</v>
      </c>
      <c r="G484" s="16" t="s">
        <v>77</v>
      </c>
      <c r="I484" s="16" t="s">
        <v>75</v>
      </c>
      <c r="L484" s="105" t="s">
        <v>99</v>
      </c>
      <c r="M484" s="17" t="str">
        <f>VLOOKUP(RiskRegister[[#This Row],[Inherent Impact LevelL3:L1020D1007L3:L1019]],'Rating factors'!$F$4:$G$9,2,FALSE)</f>
        <v>--- Error ---</v>
      </c>
      <c r="N484" s="16" t="s">
        <v>79</v>
      </c>
      <c r="O484" s="17" t="str">
        <f>VLOOKUP(RiskRegister[[#This Row],[Inherent Likelihood Level]],'Rating factors'!$F$16:$G$21,2,FALSE)</f>
        <v>--- Error ---</v>
      </c>
      <c r="P484" s="17" t="str">
        <f>IFERROR(VLOOKUP(RiskRegister[[#This Row],[Inherent Risk Rating]],'Rating factors'!$F$30:$G$44,2,FALSE),"-- Error --")</f>
        <v>-- Error --</v>
      </c>
      <c r="Q484" s="17" t="str">
        <f>IFERROR(RiskRegister[[#This Row],[Inherent Impact Rating]]*RiskRegister[[#This Row],[Inherent Likelihood Rating]],"-- Error --")</f>
        <v>-- Error --</v>
      </c>
      <c r="R484" s="16" t="s">
        <v>98</v>
      </c>
      <c r="T484" s="16" t="s">
        <v>99</v>
      </c>
      <c r="U484" s="17" t="e" cm="1">
        <f t="array" aca="1" ref="U484" ca="1">+U484:Y1019VLOOKUP(RiskRegister[[#This Row],[Residual Impact Level]],'Rating factors'!$F$4:$G$9,2,FALSE)</f>
        <v>#NAME?</v>
      </c>
      <c r="V484" s="16" t="s">
        <v>79</v>
      </c>
      <c r="W484" s="17" t="str">
        <f>VLOOKUP(RiskRegister[[#This Row],[Residual Likelihood Level]],'Rating factors'!$F$16:$G$21,2,FALSE)</f>
        <v>--- Error ---</v>
      </c>
      <c r="X484" s="17" t="str">
        <f ca="1">IFERROR(VLOOKUP(RiskRegister[[#This Row],[Residual Risk Rating]],'Rating factors'!$F$30:$G$44,2,FALSE),"-- Error --")</f>
        <v>-- Error --</v>
      </c>
      <c r="Y484" s="17" t="str">
        <f ca="1">IFERROR(RiskRegister[[#This Row],[Residual Impact Rating]]*RiskRegister[[#This Row],[Residual Likelihood Rating]],"-- Error --")</f>
        <v>-- Error --</v>
      </c>
      <c r="Z484" s="16" t="s">
        <v>100</v>
      </c>
      <c r="AB484" s="39"/>
      <c r="AD484" s="20"/>
    </row>
    <row r="485" spans="1:30" s="16" customFormat="1" hidden="1" x14ac:dyDescent="0.25">
      <c r="A485" s="16">
        <v>482</v>
      </c>
      <c r="G485" s="16" t="s">
        <v>77</v>
      </c>
      <c r="I485" s="16" t="s">
        <v>75</v>
      </c>
      <c r="L485" s="105" t="s">
        <v>99</v>
      </c>
      <c r="M485" s="17" t="str">
        <f>VLOOKUP(RiskRegister[[#This Row],[Inherent Impact LevelL3:L1020D1007L3:L1019]],'Rating factors'!$F$4:$G$9,2,FALSE)</f>
        <v>--- Error ---</v>
      </c>
      <c r="N485" s="16" t="s">
        <v>79</v>
      </c>
      <c r="O485" s="17" t="str">
        <f>VLOOKUP(RiskRegister[[#This Row],[Inherent Likelihood Level]],'Rating factors'!$F$16:$G$21,2,FALSE)</f>
        <v>--- Error ---</v>
      </c>
      <c r="P485" s="17" t="str">
        <f>IFERROR(VLOOKUP(RiskRegister[[#This Row],[Inherent Risk Rating]],'Rating factors'!$F$30:$G$44,2,FALSE),"-- Error --")</f>
        <v>-- Error --</v>
      </c>
      <c r="Q485" s="17" t="str">
        <f>IFERROR(RiskRegister[[#This Row],[Inherent Impact Rating]]*RiskRegister[[#This Row],[Inherent Likelihood Rating]],"-- Error --")</f>
        <v>-- Error --</v>
      </c>
      <c r="R485" s="16" t="s">
        <v>98</v>
      </c>
      <c r="T485" s="16" t="s">
        <v>99</v>
      </c>
      <c r="U485" s="17" t="e" cm="1">
        <f t="array" aca="1" ref="U485" ca="1">+U485:Y1019VLOOKUP(RiskRegister[[#This Row],[Residual Impact Level]],'Rating factors'!$F$4:$G$9,2,FALSE)</f>
        <v>#NAME?</v>
      </c>
      <c r="V485" s="16" t="s">
        <v>79</v>
      </c>
      <c r="W485" s="17" t="str">
        <f>VLOOKUP(RiskRegister[[#This Row],[Residual Likelihood Level]],'Rating factors'!$F$16:$G$21,2,FALSE)</f>
        <v>--- Error ---</v>
      </c>
      <c r="X485" s="17" t="str">
        <f ca="1">IFERROR(VLOOKUP(RiskRegister[[#This Row],[Residual Risk Rating]],'Rating factors'!$F$30:$G$44,2,FALSE),"-- Error --")</f>
        <v>-- Error --</v>
      </c>
      <c r="Y485" s="17" t="str">
        <f ca="1">IFERROR(RiskRegister[[#This Row],[Residual Impact Rating]]*RiskRegister[[#This Row],[Residual Likelihood Rating]],"-- Error --")</f>
        <v>-- Error --</v>
      </c>
      <c r="Z485" s="16" t="s">
        <v>100</v>
      </c>
      <c r="AB485" s="39"/>
      <c r="AD485" s="20"/>
    </row>
    <row r="486" spans="1:30" s="16" customFormat="1" hidden="1" x14ac:dyDescent="0.25">
      <c r="A486" s="16">
        <v>483</v>
      </c>
      <c r="G486" s="16" t="s">
        <v>77</v>
      </c>
      <c r="I486" s="16" t="s">
        <v>75</v>
      </c>
      <c r="L486" s="105" t="s">
        <v>99</v>
      </c>
      <c r="M486" s="17" t="str">
        <f>VLOOKUP(RiskRegister[[#This Row],[Inherent Impact LevelL3:L1020D1007L3:L1019]],'Rating factors'!$F$4:$G$9,2,FALSE)</f>
        <v>--- Error ---</v>
      </c>
      <c r="N486" s="16" t="s">
        <v>79</v>
      </c>
      <c r="O486" s="17" t="str">
        <f>VLOOKUP(RiskRegister[[#This Row],[Inherent Likelihood Level]],'Rating factors'!$F$16:$G$21,2,FALSE)</f>
        <v>--- Error ---</v>
      </c>
      <c r="P486" s="17" t="str">
        <f>IFERROR(VLOOKUP(RiskRegister[[#This Row],[Inherent Risk Rating]],'Rating factors'!$F$30:$G$44,2,FALSE),"-- Error --")</f>
        <v>-- Error --</v>
      </c>
      <c r="Q486" s="17" t="str">
        <f>IFERROR(RiskRegister[[#This Row],[Inherent Impact Rating]]*RiskRegister[[#This Row],[Inherent Likelihood Rating]],"-- Error --")</f>
        <v>-- Error --</v>
      </c>
      <c r="R486" s="16" t="s">
        <v>98</v>
      </c>
      <c r="T486" s="16" t="s">
        <v>99</v>
      </c>
      <c r="U486" s="17" t="e" cm="1">
        <f t="array" aca="1" ref="U486" ca="1">+U486:Y1019VLOOKUP(RiskRegister[[#This Row],[Residual Impact Level]],'Rating factors'!$F$4:$G$9,2,FALSE)</f>
        <v>#NAME?</v>
      </c>
      <c r="V486" s="16" t="s">
        <v>79</v>
      </c>
      <c r="W486" s="17" t="str">
        <f>VLOOKUP(RiskRegister[[#This Row],[Residual Likelihood Level]],'Rating factors'!$F$16:$G$21,2,FALSE)</f>
        <v>--- Error ---</v>
      </c>
      <c r="X486" s="17" t="str">
        <f ca="1">IFERROR(VLOOKUP(RiskRegister[[#This Row],[Residual Risk Rating]],'Rating factors'!$F$30:$G$44,2,FALSE),"-- Error --")</f>
        <v>-- Error --</v>
      </c>
      <c r="Y486" s="17" t="str">
        <f ca="1">IFERROR(RiskRegister[[#This Row],[Residual Impact Rating]]*RiskRegister[[#This Row],[Residual Likelihood Rating]],"-- Error --")</f>
        <v>-- Error --</v>
      </c>
      <c r="Z486" s="16" t="s">
        <v>100</v>
      </c>
      <c r="AB486" s="39"/>
      <c r="AD486" s="20"/>
    </row>
    <row r="487" spans="1:30" s="16" customFormat="1" hidden="1" x14ac:dyDescent="0.25">
      <c r="A487" s="16">
        <v>484</v>
      </c>
      <c r="G487" s="16" t="s">
        <v>77</v>
      </c>
      <c r="I487" s="16" t="s">
        <v>75</v>
      </c>
      <c r="L487" s="105" t="s">
        <v>99</v>
      </c>
      <c r="M487" s="17" t="str">
        <f>VLOOKUP(RiskRegister[[#This Row],[Inherent Impact LevelL3:L1020D1007L3:L1019]],'Rating factors'!$F$4:$G$9,2,FALSE)</f>
        <v>--- Error ---</v>
      </c>
      <c r="N487" s="16" t="s">
        <v>79</v>
      </c>
      <c r="O487" s="17" t="str">
        <f>VLOOKUP(RiskRegister[[#This Row],[Inherent Likelihood Level]],'Rating factors'!$F$16:$G$21,2,FALSE)</f>
        <v>--- Error ---</v>
      </c>
      <c r="P487" s="17" t="str">
        <f>IFERROR(VLOOKUP(RiskRegister[[#This Row],[Inherent Risk Rating]],'Rating factors'!$F$30:$G$44,2,FALSE),"-- Error --")</f>
        <v>-- Error --</v>
      </c>
      <c r="Q487" s="17" t="str">
        <f>IFERROR(RiskRegister[[#This Row],[Inherent Impact Rating]]*RiskRegister[[#This Row],[Inherent Likelihood Rating]],"-- Error --")</f>
        <v>-- Error --</v>
      </c>
      <c r="R487" s="16" t="s">
        <v>98</v>
      </c>
      <c r="T487" s="16" t="s">
        <v>99</v>
      </c>
      <c r="U487" s="17" t="e" cm="1">
        <f t="array" aca="1" ref="U487" ca="1">+U487:Y1019VLOOKUP(RiskRegister[[#This Row],[Residual Impact Level]],'Rating factors'!$F$4:$G$9,2,FALSE)</f>
        <v>#NAME?</v>
      </c>
      <c r="V487" s="16" t="s">
        <v>79</v>
      </c>
      <c r="W487" s="17" t="str">
        <f>VLOOKUP(RiskRegister[[#This Row],[Residual Likelihood Level]],'Rating factors'!$F$16:$G$21,2,FALSE)</f>
        <v>--- Error ---</v>
      </c>
      <c r="X487" s="17" t="str">
        <f ca="1">IFERROR(VLOOKUP(RiskRegister[[#This Row],[Residual Risk Rating]],'Rating factors'!$F$30:$G$44,2,FALSE),"-- Error --")</f>
        <v>-- Error --</v>
      </c>
      <c r="Y487" s="17" t="str">
        <f ca="1">IFERROR(RiskRegister[[#This Row],[Residual Impact Rating]]*RiskRegister[[#This Row],[Residual Likelihood Rating]],"-- Error --")</f>
        <v>-- Error --</v>
      </c>
      <c r="Z487" s="16" t="s">
        <v>100</v>
      </c>
      <c r="AB487" s="39"/>
      <c r="AD487" s="20"/>
    </row>
    <row r="488" spans="1:30" s="16" customFormat="1" hidden="1" x14ac:dyDescent="0.25">
      <c r="A488" s="16">
        <v>485</v>
      </c>
      <c r="G488" s="16" t="s">
        <v>77</v>
      </c>
      <c r="I488" s="16" t="s">
        <v>75</v>
      </c>
      <c r="L488" s="105" t="s">
        <v>99</v>
      </c>
      <c r="M488" s="17" t="str">
        <f>VLOOKUP(RiskRegister[[#This Row],[Inherent Impact LevelL3:L1020D1007L3:L1019]],'Rating factors'!$F$4:$G$9,2,FALSE)</f>
        <v>--- Error ---</v>
      </c>
      <c r="N488" s="16" t="s">
        <v>79</v>
      </c>
      <c r="O488" s="17" t="str">
        <f>VLOOKUP(RiskRegister[[#This Row],[Inherent Likelihood Level]],'Rating factors'!$F$16:$G$21,2,FALSE)</f>
        <v>--- Error ---</v>
      </c>
      <c r="P488" s="17" t="str">
        <f>IFERROR(VLOOKUP(RiskRegister[[#This Row],[Inherent Risk Rating]],'Rating factors'!$F$30:$G$44,2,FALSE),"-- Error --")</f>
        <v>-- Error --</v>
      </c>
      <c r="Q488" s="17" t="str">
        <f>IFERROR(RiskRegister[[#This Row],[Inherent Impact Rating]]*RiskRegister[[#This Row],[Inherent Likelihood Rating]],"-- Error --")</f>
        <v>-- Error --</v>
      </c>
      <c r="R488" s="16" t="s">
        <v>98</v>
      </c>
      <c r="T488" s="16" t="s">
        <v>99</v>
      </c>
      <c r="U488" s="17" t="e" cm="1">
        <f t="array" aca="1" ref="U488" ca="1">+U488:Y1019VLOOKUP(RiskRegister[[#This Row],[Residual Impact Level]],'Rating factors'!$F$4:$G$9,2,FALSE)</f>
        <v>#NAME?</v>
      </c>
      <c r="V488" s="16" t="s">
        <v>79</v>
      </c>
      <c r="W488" s="17" t="str">
        <f>VLOOKUP(RiskRegister[[#This Row],[Residual Likelihood Level]],'Rating factors'!$F$16:$G$21,2,FALSE)</f>
        <v>--- Error ---</v>
      </c>
      <c r="X488" s="17" t="str">
        <f ca="1">IFERROR(VLOOKUP(RiskRegister[[#This Row],[Residual Risk Rating]],'Rating factors'!$F$30:$G$44,2,FALSE),"-- Error --")</f>
        <v>-- Error --</v>
      </c>
      <c r="Y488" s="17" t="str">
        <f ca="1">IFERROR(RiskRegister[[#This Row],[Residual Impact Rating]]*RiskRegister[[#This Row],[Residual Likelihood Rating]],"-- Error --")</f>
        <v>-- Error --</v>
      </c>
      <c r="Z488" s="16" t="s">
        <v>100</v>
      </c>
      <c r="AB488" s="39"/>
      <c r="AD488" s="20"/>
    </row>
    <row r="489" spans="1:30" s="16" customFormat="1" hidden="1" x14ac:dyDescent="0.25">
      <c r="A489" s="16">
        <v>486</v>
      </c>
      <c r="G489" s="16" t="s">
        <v>77</v>
      </c>
      <c r="I489" s="16" t="s">
        <v>75</v>
      </c>
      <c r="L489" s="105" t="s">
        <v>99</v>
      </c>
      <c r="M489" s="17" t="str">
        <f>VLOOKUP(RiskRegister[[#This Row],[Inherent Impact LevelL3:L1020D1007L3:L1019]],'Rating factors'!$F$4:$G$9,2,FALSE)</f>
        <v>--- Error ---</v>
      </c>
      <c r="N489" s="16" t="s">
        <v>79</v>
      </c>
      <c r="O489" s="17" t="str">
        <f>VLOOKUP(RiskRegister[[#This Row],[Inherent Likelihood Level]],'Rating factors'!$F$16:$G$21,2,FALSE)</f>
        <v>--- Error ---</v>
      </c>
      <c r="P489" s="17" t="str">
        <f>IFERROR(VLOOKUP(RiskRegister[[#This Row],[Inherent Risk Rating]],'Rating factors'!$F$30:$G$44,2,FALSE),"-- Error --")</f>
        <v>-- Error --</v>
      </c>
      <c r="Q489" s="17" t="str">
        <f>IFERROR(RiskRegister[[#This Row],[Inherent Impact Rating]]*RiskRegister[[#This Row],[Inherent Likelihood Rating]],"-- Error --")</f>
        <v>-- Error --</v>
      </c>
      <c r="R489" s="16" t="s">
        <v>98</v>
      </c>
      <c r="T489" s="16" t="s">
        <v>99</v>
      </c>
      <c r="U489" s="17" t="e" cm="1">
        <f t="array" aca="1" ref="U489" ca="1">+U489:Y1019VLOOKUP(RiskRegister[[#This Row],[Residual Impact Level]],'Rating factors'!$F$4:$G$9,2,FALSE)</f>
        <v>#NAME?</v>
      </c>
      <c r="V489" s="16" t="s">
        <v>79</v>
      </c>
      <c r="W489" s="17" t="str">
        <f>VLOOKUP(RiskRegister[[#This Row],[Residual Likelihood Level]],'Rating factors'!$F$16:$G$21,2,FALSE)</f>
        <v>--- Error ---</v>
      </c>
      <c r="X489" s="17" t="str">
        <f ca="1">IFERROR(VLOOKUP(RiskRegister[[#This Row],[Residual Risk Rating]],'Rating factors'!$F$30:$G$44,2,FALSE),"-- Error --")</f>
        <v>-- Error --</v>
      </c>
      <c r="Y489" s="17" t="str">
        <f ca="1">IFERROR(RiskRegister[[#This Row],[Residual Impact Rating]]*RiskRegister[[#This Row],[Residual Likelihood Rating]],"-- Error --")</f>
        <v>-- Error --</v>
      </c>
      <c r="Z489" s="16" t="s">
        <v>100</v>
      </c>
      <c r="AB489" s="39"/>
      <c r="AD489" s="20"/>
    </row>
    <row r="490" spans="1:30" s="16" customFormat="1" hidden="1" x14ac:dyDescent="0.25">
      <c r="A490" s="16">
        <v>487</v>
      </c>
      <c r="G490" s="16" t="s">
        <v>77</v>
      </c>
      <c r="I490" s="16" t="s">
        <v>75</v>
      </c>
      <c r="L490" s="105" t="s">
        <v>99</v>
      </c>
      <c r="M490" s="17" t="str">
        <f>VLOOKUP(RiskRegister[[#This Row],[Inherent Impact LevelL3:L1020D1007L3:L1019]],'Rating factors'!$F$4:$G$9,2,FALSE)</f>
        <v>--- Error ---</v>
      </c>
      <c r="N490" s="16" t="s">
        <v>79</v>
      </c>
      <c r="O490" s="17" t="str">
        <f>VLOOKUP(RiskRegister[[#This Row],[Inherent Likelihood Level]],'Rating factors'!$F$16:$G$21,2,FALSE)</f>
        <v>--- Error ---</v>
      </c>
      <c r="P490" s="17" t="str">
        <f>IFERROR(VLOOKUP(RiskRegister[[#This Row],[Inherent Risk Rating]],'Rating factors'!$F$30:$G$44,2,FALSE),"-- Error --")</f>
        <v>-- Error --</v>
      </c>
      <c r="Q490" s="17" t="str">
        <f>IFERROR(RiskRegister[[#This Row],[Inherent Impact Rating]]*RiskRegister[[#This Row],[Inherent Likelihood Rating]],"-- Error --")</f>
        <v>-- Error --</v>
      </c>
      <c r="R490" s="16" t="s">
        <v>98</v>
      </c>
      <c r="T490" s="16" t="s">
        <v>99</v>
      </c>
      <c r="U490" s="17" t="e" cm="1">
        <f t="array" aca="1" ref="U490" ca="1">+U490:Y1019VLOOKUP(RiskRegister[[#This Row],[Residual Impact Level]],'Rating factors'!$F$4:$G$9,2,FALSE)</f>
        <v>#NAME?</v>
      </c>
      <c r="V490" s="16" t="s">
        <v>79</v>
      </c>
      <c r="W490" s="17" t="str">
        <f>VLOOKUP(RiskRegister[[#This Row],[Residual Likelihood Level]],'Rating factors'!$F$16:$G$21,2,FALSE)</f>
        <v>--- Error ---</v>
      </c>
      <c r="X490" s="17" t="str">
        <f ca="1">IFERROR(VLOOKUP(RiskRegister[[#This Row],[Residual Risk Rating]],'Rating factors'!$F$30:$G$44,2,FALSE),"-- Error --")</f>
        <v>-- Error --</v>
      </c>
      <c r="Y490" s="17" t="str">
        <f ca="1">IFERROR(RiskRegister[[#This Row],[Residual Impact Rating]]*RiskRegister[[#This Row],[Residual Likelihood Rating]],"-- Error --")</f>
        <v>-- Error --</v>
      </c>
      <c r="Z490" s="16" t="s">
        <v>100</v>
      </c>
      <c r="AB490" s="39"/>
      <c r="AD490" s="20"/>
    </row>
    <row r="491" spans="1:30" s="16" customFormat="1" hidden="1" x14ac:dyDescent="0.25">
      <c r="A491" s="16">
        <v>488</v>
      </c>
      <c r="G491" s="16" t="s">
        <v>77</v>
      </c>
      <c r="I491" s="16" t="s">
        <v>75</v>
      </c>
      <c r="L491" s="105" t="s">
        <v>99</v>
      </c>
      <c r="M491" s="17" t="str">
        <f>VLOOKUP(RiskRegister[[#This Row],[Inherent Impact LevelL3:L1020D1007L3:L1019]],'Rating factors'!$F$4:$G$9,2,FALSE)</f>
        <v>--- Error ---</v>
      </c>
      <c r="N491" s="16" t="s">
        <v>79</v>
      </c>
      <c r="O491" s="17" t="str">
        <f>VLOOKUP(RiskRegister[[#This Row],[Inherent Likelihood Level]],'Rating factors'!$F$16:$G$21,2,FALSE)</f>
        <v>--- Error ---</v>
      </c>
      <c r="P491" s="17" t="str">
        <f>IFERROR(VLOOKUP(RiskRegister[[#This Row],[Inherent Risk Rating]],'Rating factors'!$F$30:$G$44,2,FALSE),"-- Error --")</f>
        <v>-- Error --</v>
      </c>
      <c r="Q491" s="17" t="str">
        <f>IFERROR(RiskRegister[[#This Row],[Inherent Impact Rating]]*RiskRegister[[#This Row],[Inherent Likelihood Rating]],"-- Error --")</f>
        <v>-- Error --</v>
      </c>
      <c r="R491" s="16" t="s">
        <v>98</v>
      </c>
      <c r="T491" s="16" t="s">
        <v>99</v>
      </c>
      <c r="U491" s="17" t="e" cm="1">
        <f t="array" aca="1" ref="U491" ca="1">+U491:Y1019VLOOKUP(RiskRegister[[#This Row],[Residual Impact Level]],'Rating factors'!$F$4:$G$9,2,FALSE)</f>
        <v>#NAME?</v>
      </c>
      <c r="V491" s="16" t="s">
        <v>79</v>
      </c>
      <c r="W491" s="17" t="str">
        <f>VLOOKUP(RiskRegister[[#This Row],[Residual Likelihood Level]],'Rating factors'!$F$16:$G$21,2,FALSE)</f>
        <v>--- Error ---</v>
      </c>
      <c r="X491" s="17" t="str">
        <f ca="1">IFERROR(VLOOKUP(RiskRegister[[#This Row],[Residual Risk Rating]],'Rating factors'!$F$30:$G$44,2,FALSE),"-- Error --")</f>
        <v>-- Error --</v>
      </c>
      <c r="Y491" s="17" t="str">
        <f ca="1">IFERROR(RiskRegister[[#This Row],[Residual Impact Rating]]*RiskRegister[[#This Row],[Residual Likelihood Rating]],"-- Error --")</f>
        <v>-- Error --</v>
      </c>
      <c r="Z491" s="16" t="s">
        <v>100</v>
      </c>
      <c r="AB491" s="39"/>
      <c r="AD491" s="20"/>
    </row>
    <row r="492" spans="1:30" s="16" customFormat="1" hidden="1" x14ac:dyDescent="0.25">
      <c r="A492" s="16">
        <v>489</v>
      </c>
      <c r="G492" s="16" t="s">
        <v>77</v>
      </c>
      <c r="I492" s="16" t="s">
        <v>75</v>
      </c>
      <c r="L492" s="105" t="s">
        <v>99</v>
      </c>
      <c r="M492" s="17" t="str">
        <f>VLOOKUP(RiskRegister[[#This Row],[Inherent Impact LevelL3:L1020D1007L3:L1019]],'Rating factors'!$F$4:$G$9,2,FALSE)</f>
        <v>--- Error ---</v>
      </c>
      <c r="N492" s="16" t="s">
        <v>79</v>
      </c>
      <c r="O492" s="17" t="str">
        <f>VLOOKUP(RiskRegister[[#This Row],[Inherent Likelihood Level]],'Rating factors'!$F$16:$G$21,2,FALSE)</f>
        <v>--- Error ---</v>
      </c>
      <c r="P492" s="17" t="str">
        <f>IFERROR(VLOOKUP(RiskRegister[[#This Row],[Inherent Risk Rating]],'Rating factors'!$F$30:$G$44,2,FALSE),"-- Error --")</f>
        <v>-- Error --</v>
      </c>
      <c r="Q492" s="17" t="str">
        <f>IFERROR(RiskRegister[[#This Row],[Inherent Impact Rating]]*RiskRegister[[#This Row],[Inherent Likelihood Rating]],"-- Error --")</f>
        <v>-- Error --</v>
      </c>
      <c r="R492" s="16" t="s">
        <v>98</v>
      </c>
      <c r="T492" s="16" t="s">
        <v>99</v>
      </c>
      <c r="U492" s="17" t="e" cm="1">
        <f t="array" aca="1" ref="U492" ca="1">+U492:Y1019VLOOKUP(RiskRegister[[#This Row],[Residual Impact Level]],'Rating factors'!$F$4:$G$9,2,FALSE)</f>
        <v>#NAME?</v>
      </c>
      <c r="V492" s="16" t="s">
        <v>79</v>
      </c>
      <c r="W492" s="17" t="str">
        <f>VLOOKUP(RiskRegister[[#This Row],[Residual Likelihood Level]],'Rating factors'!$F$16:$G$21,2,FALSE)</f>
        <v>--- Error ---</v>
      </c>
      <c r="X492" s="17" t="str">
        <f ca="1">IFERROR(VLOOKUP(RiskRegister[[#This Row],[Residual Risk Rating]],'Rating factors'!$F$30:$G$44,2,FALSE),"-- Error --")</f>
        <v>-- Error --</v>
      </c>
      <c r="Y492" s="17" t="str">
        <f ca="1">IFERROR(RiskRegister[[#This Row],[Residual Impact Rating]]*RiskRegister[[#This Row],[Residual Likelihood Rating]],"-- Error --")</f>
        <v>-- Error --</v>
      </c>
      <c r="Z492" s="16" t="s">
        <v>100</v>
      </c>
      <c r="AB492" s="39"/>
      <c r="AD492" s="20"/>
    </row>
    <row r="493" spans="1:30" s="16" customFormat="1" hidden="1" x14ac:dyDescent="0.25">
      <c r="A493" s="16">
        <v>490</v>
      </c>
      <c r="G493" s="16" t="s">
        <v>77</v>
      </c>
      <c r="I493" s="16" t="s">
        <v>75</v>
      </c>
      <c r="L493" s="105" t="s">
        <v>99</v>
      </c>
      <c r="M493" s="17" t="str">
        <f>VLOOKUP(RiskRegister[[#This Row],[Inherent Impact LevelL3:L1020D1007L3:L1019]],'Rating factors'!$F$4:$G$9,2,FALSE)</f>
        <v>--- Error ---</v>
      </c>
      <c r="N493" s="16" t="s">
        <v>79</v>
      </c>
      <c r="O493" s="17" t="str">
        <f>VLOOKUP(RiskRegister[[#This Row],[Inherent Likelihood Level]],'Rating factors'!$F$16:$G$21,2,FALSE)</f>
        <v>--- Error ---</v>
      </c>
      <c r="P493" s="17" t="str">
        <f>IFERROR(VLOOKUP(RiskRegister[[#This Row],[Inherent Risk Rating]],'Rating factors'!$F$30:$G$44,2,FALSE),"-- Error --")</f>
        <v>-- Error --</v>
      </c>
      <c r="Q493" s="17" t="str">
        <f>IFERROR(RiskRegister[[#This Row],[Inherent Impact Rating]]*RiskRegister[[#This Row],[Inherent Likelihood Rating]],"-- Error --")</f>
        <v>-- Error --</v>
      </c>
      <c r="R493" s="16" t="s">
        <v>98</v>
      </c>
      <c r="T493" s="16" t="s">
        <v>99</v>
      </c>
      <c r="U493" s="17" t="e" cm="1">
        <f t="array" aca="1" ref="U493" ca="1">+U493:Y1019VLOOKUP(RiskRegister[[#This Row],[Residual Impact Level]],'Rating factors'!$F$4:$G$9,2,FALSE)</f>
        <v>#NAME?</v>
      </c>
      <c r="V493" s="16" t="s">
        <v>79</v>
      </c>
      <c r="W493" s="17" t="str">
        <f>VLOOKUP(RiskRegister[[#This Row],[Residual Likelihood Level]],'Rating factors'!$F$16:$G$21,2,FALSE)</f>
        <v>--- Error ---</v>
      </c>
      <c r="X493" s="17" t="str">
        <f ca="1">IFERROR(VLOOKUP(RiskRegister[[#This Row],[Residual Risk Rating]],'Rating factors'!$F$30:$G$44,2,FALSE),"-- Error --")</f>
        <v>-- Error --</v>
      </c>
      <c r="Y493" s="17" t="str">
        <f ca="1">IFERROR(RiskRegister[[#This Row],[Residual Impact Rating]]*RiskRegister[[#This Row],[Residual Likelihood Rating]],"-- Error --")</f>
        <v>-- Error --</v>
      </c>
      <c r="Z493" s="16" t="s">
        <v>100</v>
      </c>
      <c r="AB493" s="39"/>
      <c r="AD493" s="20"/>
    </row>
    <row r="494" spans="1:30" s="16" customFormat="1" hidden="1" x14ac:dyDescent="0.25">
      <c r="A494" s="16">
        <v>491</v>
      </c>
      <c r="G494" s="16" t="s">
        <v>77</v>
      </c>
      <c r="I494" s="16" t="s">
        <v>75</v>
      </c>
      <c r="L494" s="105" t="s">
        <v>99</v>
      </c>
      <c r="M494" s="17" t="str">
        <f>VLOOKUP(RiskRegister[[#This Row],[Inherent Impact LevelL3:L1020D1007L3:L1019]],'Rating factors'!$F$4:$G$9,2,FALSE)</f>
        <v>--- Error ---</v>
      </c>
      <c r="N494" s="16" t="s">
        <v>79</v>
      </c>
      <c r="O494" s="17" t="str">
        <f>VLOOKUP(RiskRegister[[#This Row],[Inherent Likelihood Level]],'Rating factors'!$F$16:$G$21,2,FALSE)</f>
        <v>--- Error ---</v>
      </c>
      <c r="P494" s="17" t="str">
        <f>IFERROR(VLOOKUP(RiskRegister[[#This Row],[Inherent Risk Rating]],'Rating factors'!$F$30:$G$44,2,FALSE),"-- Error --")</f>
        <v>-- Error --</v>
      </c>
      <c r="Q494" s="17" t="str">
        <f>IFERROR(RiskRegister[[#This Row],[Inherent Impact Rating]]*RiskRegister[[#This Row],[Inherent Likelihood Rating]],"-- Error --")</f>
        <v>-- Error --</v>
      </c>
      <c r="R494" s="16" t="s">
        <v>98</v>
      </c>
      <c r="T494" s="16" t="s">
        <v>99</v>
      </c>
      <c r="U494" s="17" t="e" cm="1">
        <f t="array" aca="1" ref="U494" ca="1">+U494:Y1019VLOOKUP(RiskRegister[[#This Row],[Residual Impact Level]],'Rating factors'!$F$4:$G$9,2,FALSE)</f>
        <v>#NAME?</v>
      </c>
      <c r="V494" s="16" t="s">
        <v>79</v>
      </c>
      <c r="W494" s="17" t="str">
        <f>VLOOKUP(RiskRegister[[#This Row],[Residual Likelihood Level]],'Rating factors'!$F$16:$G$21,2,FALSE)</f>
        <v>--- Error ---</v>
      </c>
      <c r="X494" s="17" t="str">
        <f ca="1">IFERROR(VLOOKUP(RiskRegister[[#This Row],[Residual Risk Rating]],'Rating factors'!$F$30:$G$44,2,FALSE),"-- Error --")</f>
        <v>-- Error --</v>
      </c>
      <c r="Y494" s="17" t="str">
        <f ca="1">IFERROR(RiskRegister[[#This Row],[Residual Impact Rating]]*RiskRegister[[#This Row],[Residual Likelihood Rating]],"-- Error --")</f>
        <v>-- Error --</v>
      </c>
      <c r="Z494" s="16" t="s">
        <v>100</v>
      </c>
      <c r="AB494" s="39"/>
      <c r="AD494" s="20"/>
    </row>
    <row r="495" spans="1:30" s="16" customFormat="1" hidden="1" x14ac:dyDescent="0.25">
      <c r="A495" s="16">
        <v>492</v>
      </c>
      <c r="G495" s="16" t="s">
        <v>77</v>
      </c>
      <c r="I495" s="16" t="s">
        <v>75</v>
      </c>
      <c r="L495" s="105" t="s">
        <v>99</v>
      </c>
      <c r="M495" s="17" t="str">
        <f>VLOOKUP(RiskRegister[[#This Row],[Inherent Impact LevelL3:L1020D1007L3:L1019]],'Rating factors'!$F$4:$G$9,2,FALSE)</f>
        <v>--- Error ---</v>
      </c>
      <c r="N495" s="16" t="s">
        <v>79</v>
      </c>
      <c r="O495" s="17" t="str">
        <f>VLOOKUP(RiskRegister[[#This Row],[Inherent Likelihood Level]],'Rating factors'!$F$16:$G$21,2,FALSE)</f>
        <v>--- Error ---</v>
      </c>
      <c r="P495" s="17" t="str">
        <f>IFERROR(VLOOKUP(RiskRegister[[#This Row],[Inherent Risk Rating]],'Rating factors'!$F$30:$G$44,2,FALSE),"-- Error --")</f>
        <v>-- Error --</v>
      </c>
      <c r="Q495" s="17" t="str">
        <f>IFERROR(RiskRegister[[#This Row],[Inherent Impact Rating]]*RiskRegister[[#This Row],[Inherent Likelihood Rating]],"-- Error --")</f>
        <v>-- Error --</v>
      </c>
      <c r="R495" s="16" t="s">
        <v>98</v>
      </c>
      <c r="T495" s="16" t="s">
        <v>99</v>
      </c>
      <c r="U495" s="17" t="e" cm="1">
        <f t="array" aca="1" ref="U495" ca="1">+U495:Y1019VLOOKUP(RiskRegister[[#This Row],[Residual Impact Level]],'Rating factors'!$F$4:$G$9,2,FALSE)</f>
        <v>#NAME?</v>
      </c>
      <c r="V495" s="16" t="s">
        <v>79</v>
      </c>
      <c r="W495" s="17" t="str">
        <f>VLOOKUP(RiskRegister[[#This Row],[Residual Likelihood Level]],'Rating factors'!$F$16:$G$21,2,FALSE)</f>
        <v>--- Error ---</v>
      </c>
      <c r="X495" s="17" t="str">
        <f ca="1">IFERROR(VLOOKUP(RiskRegister[[#This Row],[Residual Risk Rating]],'Rating factors'!$F$30:$G$44,2,FALSE),"-- Error --")</f>
        <v>-- Error --</v>
      </c>
      <c r="Y495" s="17" t="str">
        <f ca="1">IFERROR(RiskRegister[[#This Row],[Residual Impact Rating]]*RiskRegister[[#This Row],[Residual Likelihood Rating]],"-- Error --")</f>
        <v>-- Error --</v>
      </c>
      <c r="Z495" s="16" t="s">
        <v>100</v>
      </c>
      <c r="AB495" s="39"/>
      <c r="AD495" s="20"/>
    </row>
    <row r="496" spans="1:30" s="16" customFormat="1" hidden="1" x14ac:dyDescent="0.25">
      <c r="A496" s="16">
        <v>493</v>
      </c>
      <c r="G496" s="16" t="s">
        <v>77</v>
      </c>
      <c r="I496" s="16" t="s">
        <v>75</v>
      </c>
      <c r="L496" s="105" t="s">
        <v>99</v>
      </c>
      <c r="M496" s="17" t="str">
        <f>VLOOKUP(RiskRegister[[#This Row],[Inherent Impact LevelL3:L1020D1007L3:L1019]],'Rating factors'!$F$4:$G$9,2,FALSE)</f>
        <v>--- Error ---</v>
      </c>
      <c r="N496" s="16" t="s">
        <v>79</v>
      </c>
      <c r="O496" s="17" t="str">
        <f>VLOOKUP(RiskRegister[[#This Row],[Inherent Likelihood Level]],'Rating factors'!$F$16:$G$21,2,FALSE)</f>
        <v>--- Error ---</v>
      </c>
      <c r="P496" s="17" t="str">
        <f>IFERROR(VLOOKUP(RiskRegister[[#This Row],[Inherent Risk Rating]],'Rating factors'!$F$30:$G$44,2,FALSE),"-- Error --")</f>
        <v>-- Error --</v>
      </c>
      <c r="Q496" s="17" t="str">
        <f>IFERROR(RiskRegister[[#This Row],[Inherent Impact Rating]]*RiskRegister[[#This Row],[Inherent Likelihood Rating]],"-- Error --")</f>
        <v>-- Error --</v>
      </c>
      <c r="R496" s="16" t="s">
        <v>98</v>
      </c>
      <c r="T496" s="16" t="s">
        <v>99</v>
      </c>
      <c r="U496" s="17" t="e" cm="1">
        <f t="array" aca="1" ref="U496" ca="1">+U496:Y1019VLOOKUP(RiskRegister[[#This Row],[Residual Impact Level]],'Rating factors'!$F$4:$G$9,2,FALSE)</f>
        <v>#NAME?</v>
      </c>
      <c r="V496" s="16" t="s">
        <v>79</v>
      </c>
      <c r="W496" s="17" t="str">
        <f>VLOOKUP(RiskRegister[[#This Row],[Residual Likelihood Level]],'Rating factors'!$F$16:$G$21,2,FALSE)</f>
        <v>--- Error ---</v>
      </c>
      <c r="X496" s="17" t="str">
        <f ca="1">IFERROR(VLOOKUP(RiskRegister[[#This Row],[Residual Risk Rating]],'Rating factors'!$F$30:$G$44,2,FALSE),"-- Error --")</f>
        <v>-- Error --</v>
      </c>
      <c r="Y496" s="17" t="str">
        <f ca="1">IFERROR(RiskRegister[[#This Row],[Residual Impact Rating]]*RiskRegister[[#This Row],[Residual Likelihood Rating]],"-- Error --")</f>
        <v>-- Error --</v>
      </c>
      <c r="Z496" s="16" t="s">
        <v>100</v>
      </c>
      <c r="AB496" s="39"/>
      <c r="AD496" s="20"/>
    </row>
    <row r="497" spans="1:30" s="16" customFormat="1" hidden="1" x14ac:dyDescent="0.25">
      <c r="A497" s="16">
        <v>494</v>
      </c>
      <c r="G497" s="16" t="s">
        <v>77</v>
      </c>
      <c r="I497" s="16" t="s">
        <v>75</v>
      </c>
      <c r="L497" s="105" t="s">
        <v>99</v>
      </c>
      <c r="M497" s="17" t="str">
        <f>VLOOKUP(RiskRegister[[#This Row],[Inherent Impact LevelL3:L1020D1007L3:L1019]],'Rating factors'!$F$4:$G$9,2,FALSE)</f>
        <v>--- Error ---</v>
      </c>
      <c r="N497" s="16" t="s">
        <v>79</v>
      </c>
      <c r="O497" s="17" t="str">
        <f>VLOOKUP(RiskRegister[[#This Row],[Inherent Likelihood Level]],'Rating factors'!$F$16:$G$21,2,FALSE)</f>
        <v>--- Error ---</v>
      </c>
      <c r="P497" s="17" t="str">
        <f>IFERROR(VLOOKUP(RiskRegister[[#This Row],[Inherent Risk Rating]],'Rating factors'!$F$30:$G$44,2,FALSE),"-- Error --")</f>
        <v>-- Error --</v>
      </c>
      <c r="Q497" s="17" t="str">
        <f>IFERROR(RiskRegister[[#This Row],[Inherent Impact Rating]]*RiskRegister[[#This Row],[Inherent Likelihood Rating]],"-- Error --")</f>
        <v>-- Error --</v>
      </c>
      <c r="R497" s="16" t="s">
        <v>98</v>
      </c>
      <c r="T497" s="16" t="s">
        <v>99</v>
      </c>
      <c r="U497" s="17" t="e" cm="1">
        <f t="array" aca="1" ref="U497" ca="1">+U497:Y1019VLOOKUP(RiskRegister[[#This Row],[Residual Impact Level]],'Rating factors'!$F$4:$G$9,2,FALSE)</f>
        <v>#NAME?</v>
      </c>
      <c r="V497" s="16" t="s">
        <v>79</v>
      </c>
      <c r="W497" s="17" t="str">
        <f>VLOOKUP(RiskRegister[[#This Row],[Residual Likelihood Level]],'Rating factors'!$F$16:$G$21,2,FALSE)</f>
        <v>--- Error ---</v>
      </c>
      <c r="X497" s="17" t="str">
        <f ca="1">IFERROR(VLOOKUP(RiskRegister[[#This Row],[Residual Risk Rating]],'Rating factors'!$F$30:$G$44,2,FALSE),"-- Error --")</f>
        <v>-- Error --</v>
      </c>
      <c r="Y497" s="17" t="str">
        <f ca="1">IFERROR(RiskRegister[[#This Row],[Residual Impact Rating]]*RiskRegister[[#This Row],[Residual Likelihood Rating]],"-- Error --")</f>
        <v>-- Error --</v>
      </c>
      <c r="Z497" s="16" t="s">
        <v>100</v>
      </c>
      <c r="AB497" s="39"/>
      <c r="AD497" s="20"/>
    </row>
    <row r="498" spans="1:30" s="16" customFormat="1" hidden="1" x14ac:dyDescent="0.25">
      <c r="A498" s="16">
        <v>495</v>
      </c>
      <c r="G498" s="16" t="s">
        <v>77</v>
      </c>
      <c r="I498" s="16" t="s">
        <v>75</v>
      </c>
      <c r="L498" s="105" t="s">
        <v>99</v>
      </c>
      <c r="M498" s="17" t="str">
        <f>VLOOKUP(RiskRegister[[#This Row],[Inherent Impact LevelL3:L1020D1007L3:L1019]],'Rating factors'!$F$4:$G$9,2,FALSE)</f>
        <v>--- Error ---</v>
      </c>
      <c r="N498" s="16" t="s">
        <v>79</v>
      </c>
      <c r="O498" s="17" t="str">
        <f>VLOOKUP(RiskRegister[[#This Row],[Inherent Likelihood Level]],'Rating factors'!$F$16:$G$21,2,FALSE)</f>
        <v>--- Error ---</v>
      </c>
      <c r="P498" s="17" t="str">
        <f>IFERROR(VLOOKUP(RiskRegister[[#This Row],[Inherent Risk Rating]],'Rating factors'!$F$30:$G$44,2,FALSE),"-- Error --")</f>
        <v>-- Error --</v>
      </c>
      <c r="Q498" s="17" t="str">
        <f>IFERROR(RiskRegister[[#This Row],[Inherent Impact Rating]]*RiskRegister[[#This Row],[Inherent Likelihood Rating]],"-- Error --")</f>
        <v>-- Error --</v>
      </c>
      <c r="R498" s="16" t="s">
        <v>98</v>
      </c>
      <c r="T498" s="16" t="s">
        <v>99</v>
      </c>
      <c r="U498" s="17" t="e" cm="1">
        <f t="array" aca="1" ref="U498" ca="1">+U498:Y1019VLOOKUP(RiskRegister[[#This Row],[Residual Impact Level]],'Rating factors'!$F$4:$G$9,2,FALSE)</f>
        <v>#NAME?</v>
      </c>
      <c r="V498" s="16" t="s">
        <v>79</v>
      </c>
      <c r="W498" s="17" t="str">
        <f>VLOOKUP(RiskRegister[[#This Row],[Residual Likelihood Level]],'Rating factors'!$F$16:$G$21,2,FALSE)</f>
        <v>--- Error ---</v>
      </c>
      <c r="X498" s="17" t="str">
        <f ca="1">IFERROR(VLOOKUP(RiskRegister[[#This Row],[Residual Risk Rating]],'Rating factors'!$F$30:$G$44,2,FALSE),"-- Error --")</f>
        <v>-- Error --</v>
      </c>
      <c r="Y498" s="17" t="str">
        <f ca="1">IFERROR(RiskRegister[[#This Row],[Residual Impact Rating]]*RiskRegister[[#This Row],[Residual Likelihood Rating]],"-- Error --")</f>
        <v>-- Error --</v>
      </c>
      <c r="Z498" s="16" t="s">
        <v>100</v>
      </c>
      <c r="AB498" s="39"/>
      <c r="AD498" s="20"/>
    </row>
    <row r="499" spans="1:30" s="16" customFormat="1" hidden="1" x14ac:dyDescent="0.25">
      <c r="A499" s="16">
        <v>496</v>
      </c>
      <c r="G499" s="16" t="s">
        <v>77</v>
      </c>
      <c r="I499" s="16" t="s">
        <v>75</v>
      </c>
      <c r="L499" s="105" t="s">
        <v>99</v>
      </c>
      <c r="M499" s="17" t="str">
        <f>VLOOKUP(RiskRegister[[#This Row],[Inherent Impact LevelL3:L1020D1007L3:L1019]],'Rating factors'!$F$4:$G$9,2,FALSE)</f>
        <v>--- Error ---</v>
      </c>
      <c r="N499" s="16" t="s">
        <v>79</v>
      </c>
      <c r="O499" s="17" t="str">
        <f>VLOOKUP(RiskRegister[[#This Row],[Inherent Likelihood Level]],'Rating factors'!$F$16:$G$21,2,FALSE)</f>
        <v>--- Error ---</v>
      </c>
      <c r="P499" s="17" t="str">
        <f>IFERROR(VLOOKUP(RiskRegister[[#This Row],[Inherent Risk Rating]],'Rating factors'!$F$30:$G$44,2,FALSE),"-- Error --")</f>
        <v>-- Error --</v>
      </c>
      <c r="Q499" s="17" t="str">
        <f>IFERROR(RiskRegister[[#This Row],[Inherent Impact Rating]]*RiskRegister[[#This Row],[Inherent Likelihood Rating]],"-- Error --")</f>
        <v>-- Error --</v>
      </c>
      <c r="R499" s="16" t="s">
        <v>98</v>
      </c>
      <c r="T499" s="16" t="s">
        <v>99</v>
      </c>
      <c r="U499" s="17" t="e" cm="1">
        <f t="array" aca="1" ref="U499" ca="1">+U499:Y1019VLOOKUP(RiskRegister[[#This Row],[Residual Impact Level]],'Rating factors'!$F$4:$G$9,2,FALSE)</f>
        <v>#NAME?</v>
      </c>
      <c r="V499" s="16" t="s">
        <v>79</v>
      </c>
      <c r="W499" s="17" t="str">
        <f>VLOOKUP(RiskRegister[[#This Row],[Residual Likelihood Level]],'Rating factors'!$F$16:$G$21,2,FALSE)</f>
        <v>--- Error ---</v>
      </c>
      <c r="X499" s="17" t="str">
        <f ca="1">IFERROR(VLOOKUP(RiskRegister[[#This Row],[Residual Risk Rating]],'Rating factors'!$F$30:$G$44,2,FALSE),"-- Error --")</f>
        <v>-- Error --</v>
      </c>
      <c r="Y499" s="17" t="str">
        <f ca="1">IFERROR(RiskRegister[[#This Row],[Residual Impact Rating]]*RiskRegister[[#This Row],[Residual Likelihood Rating]],"-- Error --")</f>
        <v>-- Error --</v>
      </c>
      <c r="Z499" s="16" t="s">
        <v>100</v>
      </c>
      <c r="AB499" s="39"/>
      <c r="AD499" s="20"/>
    </row>
    <row r="500" spans="1:30" s="16" customFormat="1" hidden="1" x14ac:dyDescent="0.25">
      <c r="A500" s="16">
        <v>497</v>
      </c>
      <c r="G500" s="16" t="s">
        <v>77</v>
      </c>
      <c r="I500" s="16" t="s">
        <v>75</v>
      </c>
      <c r="L500" s="105" t="s">
        <v>99</v>
      </c>
      <c r="M500" s="17" t="str">
        <f>VLOOKUP(RiskRegister[[#This Row],[Inherent Impact LevelL3:L1020D1007L3:L1019]],'Rating factors'!$F$4:$G$9,2,FALSE)</f>
        <v>--- Error ---</v>
      </c>
      <c r="N500" s="16" t="s">
        <v>79</v>
      </c>
      <c r="O500" s="17" t="str">
        <f>VLOOKUP(RiskRegister[[#This Row],[Inherent Likelihood Level]],'Rating factors'!$F$16:$G$21,2,FALSE)</f>
        <v>--- Error ---</v>
      </c>
      <c r="P500" s="17" t="str">
        <f>IFERROR(VLOOKUP(RiskRegister[[#This Row],[Inherent Risk Rating]],'Rating factors'!$F$30:$G$44,2,FALSE),"-- Error --")</f>
        <v>-- Error --</v>
      </c>
      <c r="Q500" s="17" t="str">
        <f>IFERROR(RiskRegister[[#This Row],[Inherent Impact Rating]]*RiskRegister[[#This Row],[Inherent Likelihood Rating]],"-- Error --")</f>
        <v>-- Error --</v>
      </c>
      <c r="R500" s="16" t="s">
        <v>98</v>
      </c>
      <c r="T500" s="16" t="s">
        <v>99</v>
      </c>
      <c r="U500" s="17" t="e" cm="1">
        <f t="array" aca="1" ref="U500" ca="1">+U500:Y1019VLOOKUP(RiskRegister[[#This Row],[Residual Impact Level]],'Rating factors'!$F$4:$G$9,2,FALSE)</f>
        <v>#NAME?</v>
      </c>
      <c r="V500" s="16" t="s">
        <v>79</v>
      </c>
      <c r="W500" s="17" t="str">
        <f>VLOOKUP(RiskRegister[[#This Row],[Residual Likelihood Level]],'Rating factors'!$F$16:$G$21,2,FALSE)</f>
        <v>--- Error ---</v>
      </c>
      <c r="X500" s="17" t="str">
        <f ca="1">IFERROR(VLOOKUP(RiskRegister[[#This Row],[Residual Risk Rating]],'Rating factors'!$F$30:$G$44,2,FALSE),"-- Error --")</f>
        <v>-- Error --</v>
      </c>
      <c r="Y500" s="17" t="str">
        <f ca="1">IFERROR(RiskRegister[[#This Row],[Residual Impact Rating]]*RiskRegister[[#This Row],[Residual Likelihood Rating]],"-- Error --")</f>
        <v>-- Error --</v>
      </c>
      <c r="Z500" s="16" t="s">
        <v>100</v>
      </c>
      <c r="AB500" s="39"/>
      <c r="AD500" s="20"/>
    </row>
    <row r="501" spans="1:30" s="16" customFormat="1" hidden="1" x14ac:dyDescent="0.25">
      <c r="A501" s="16">
        <v>498</v>
      </c>
      <c r="G501" s="16" t="s">
        <v>77</v>
      </c>
      <c r="I501" s="16" t="s">
        <v>75</v>
      </c>
      <c r="L501" s="105" t="s">
        <v>99</v>
      </c>
      <c r="M501" s="17" t="str">
        <f>VLOOKUP(RiskRegister[[#This Row],[Inherent Impact LevelL3:L1020D1007L3:L1019]],'Rating factors'!$F$4:$G$9,2,FALSE)</f>
        <v>--- Error ---</v>
      </c>
      <c r="N501" s="16" t="s">
        <v>79</v>
      </c>
      <c r="O501" s="17" t="str">
        <f>VLOOKUP(RiskRegister[[#This Row],[Inherent Likelihood Level]],'Rating factors'!$F$16:$G$21,2,FALSE)</f>
        <v>--- Error ---</v>
      </c>
      <c r="P501" s="17" t="str">
        <f>IFERROR(VLOOKUP(RiskRegister[[#This Row],[Inherent Risk Rating]],'Rating factors'!$F$30:$G$44,2,FALSE),"-- Error --")</f>
        <v>-- Error --</v>
      </c>
      <c r="Q501" s="17" t="str">
        <f>IFERROR(RiskRegister[[#This Row],[Inherent Impact Rating]]*RiskRegister[[#This Row],[Inherent Likelihood Rating]],"-- Error --")</f>
        <v>-- Error --</v>
      </c>
      <c r="R501" s="16" t="s">
        <v>98</v>
      </c>
      <c r="T501" s="16" t="s">
        <v>99</v>
      </c>
      <c r="U501" s="17" t="e" cm="1">
        <f t="array" aca="1" ref="U501" ca="1">+U501:Y1019VLOOKUP(RiskRegister[[#This Row],[Residual Impact Level]],'Rating factors'!$F$4:$G$9,2,FALSE)</f>
        <v>#NAME?</v>
      </c>
      <c r="V501" s="16" t="s">
        <v>79</v>
      </c>
      <c r="W501" s="17" t="str">
        <f>VLOOKUP(RiskRegister[[#This Row],[Residual Likelihood Level]],'Rating factors'!$F$16:$G$21,2,FALSE)</f>
        <v>--- Error ---</v>
      </c>
      <c r="X501" s="17" t="str">
        <f ca="1">IFERROR(VLOOKUP(RiskRegister[[#This Row],[Residual Risk Rating]],'Rating factors'!$F$30:$G$44,2,FALSE),"-- Error --")</f>
        <v>-- Error --</v>
      </c>
      <c r="Y501" s="17" t="str">
        <f ca="1">IFERROR(RiskRegister[[#This Row],[Residual Impact Rating]]*RiskRegister[[#This Row],[Residual Likelihood Rating]],"-- Error --")</f>
        <v>-- Error --</v>
      </c>
      <c r="Z501" s="16" t="s">
        <v>100</v>
      </c>
      <c r="AB501" s="39"/>
      <c r="AD501" s="20"/>
    </row>
    <row r="502" spans="1:30" s="16" customFormat="1" hidden="1" x14ac:dyDescent="0.25">
      <c r="A502" s="16">
        <v>499</v>
      </c>
      <c r="G502" s="16" t="s">
        <v>77</v>
      </c>
      <c r="I502" s="16" t="s">
        <v>75</v>
      </c>
      <c r="L502" s="105" t="s">
        <v>99</v>
      </c>
      <c r="M502" s="17" t="str">
        <f>VLOOKUP(RiskRegister[[#This Row],[Inherent Impact LevelL3:L1020D1007L3:L1019]],'Rating factors'!$F$4:$G$9,2,FALSE)</f>
        <v>--- Error ---</v>
      </c>
      <c r="N502" s="16" t="s">
        <v>79</v>
      </c>
      <c r="O502" s="17" t="str">
        <f>VLOOKUP(RiskRegister[[#This Row],[Inherent Likelihood Level]],'Rating factors'!$F$16:$G$21,2,FALSE)</f>
        <v>--- Error ---</v>
      </c>
      <c r="P502" s="17" t="str">
        <f>IFERROR(VLOOKUP(RiskRegister[[#This Row],[Inherent Risk Rating]],'Rating factors'!$F$30:$G$44,2,FALSE),"-- Error --")</f>
        <v>-- Error --</v>
      </c>
      <c r="Q502" s="17" t="str">
        <f>IFERROR(RiskRegister[[#This Row],[Inherent Impact Rating]]*RiskRegister[[#This Row],[Inherent Likelihood Rating]],"-- Error --")</f>
        <v>-- Error --</v>
      </c>
      <c r="R502" s="16" t="s">
        <v>98</v>
      </c>
      <c r="T502" s="16" t="s">
        <v>99</v>
      </c>
      <c r="U502" s="17" t="e" cm="1">
        <f t="array" aca="1" ref="U502" ca="1">+U502:Y1019VLOOKUP(RiskRegister[[#This Row],[Residual Impact Level]],'Rating factors'!$F$4:$G$9,2,FALSE)</f>
        <v>#NAME?</v>
      </c>
      <c r="V502" s="16" t="s">
        <v>79</v>
      </c>
      <c r="W502" s="17" t="str">
        <f>VLOOKUP(RiskRegister[[#This Row],[Residual Likelihood Level]],'Rating factors'!$F$16:$G$21,2,FALSE)</f>
        <v>--- Error ---</v>
      </c>
      <c r="X502" s="17" t="str">
        <f ca="1">IFERROR(VLOOKUP(RiskRegister[[#This Row],[Residual Risk Rating]],'Rating factors'!$F$30:$G$44,2,FALSE),"-- Error --")</f>
        <v>-- Error --</v>
      </c>
      <c r="Y502" s="17" t="str">
        <f ca="1">IFERROR(RiskRegister[[#This Row],[Residual Impact Rating]]*RiskRegister[[#This Row],[Residual Likelihood Rating]],"-- Error --")</f>
        <v>-- Error --</v>
      </c>
      <c r="Z502" s="16" t="s">
        <v>100</v>
      </c>
      <c r="AB502" s="39"/>
      <c r="AD502" s="20"/>
    </row>
    <row r="503" spans="1:30" s="16" customFormat="1" hidden="1" x14ac:dyDescent="0.25">
      <c r="A503" s="16">
        <v>500</v>
      </c>
      <c r="G503" s="16" t="s">
        <v>77</v>
      </c>
      <c r="I503" s="16" t="s">
        <v>75</v>
      </c>
      <c r="L503" s="105" t="s">
        <v>99</v>
      </c>
      <c r="M503" s="17" t="str">
        <f>VLOOKUP(RiskRegister[[#This Row],[Inherent Impact LevelL3:L1020D1007L3:L1019]],'Rating factors'!$F$4:$G$9,2,FALSE)</f>
        <v>--- Error ---</v>
      </c>
      <c r="N503" s="16" t="s">
        <v>79</v>
      </c>
      <c r="O503" s="17" t="str">
        <f>VLOOKUP(RiskRegister[[#This Row],[Inherent Likelihood Level]],'Rating factors'!$F$16:$G$21,2,FALSE)</f>
        <v>--- Error ---</v>
      </c>
      <c r="P503" s="17" t="str">
        <f>IFERROR(VLOOKUP(RiskRegister[[#This Row],[Inherent Risk Rating]],'Rating factors'!$F$30:$G$44,2,FALSE),"-- Error --")</f>
        <v>-- Error --</v>
      </c>
      <c r="Q503" s="17" t="str">
        <f>IFERROR(RiskRegister[[#This Row],[Inherent Impact Rating]]*RiskRegister[[#This Row],[Inherent Likelihood Rating]],"-- Error --")</f>
        <v>-- Error --</v>
      </c>
      <c r="R503" s="16" t="s">
        <v>98</v>
      </c>
      <c r="T503" s="16" t="s">
        <v>99</v>
      </c>
      <c r="U503" s="17" t="e" cm="1">
        <f t="array" aca="1" ref="U503" ca="1">+U503:Y1019VLOOKUP(RiskRegister[[#This Row],[Residual Impact Level]],'Rating factors'!$F$4:$G$9,2,FALSE)</f>
        <v>#NAME?</v>
      </c>
      <c r="V503" s="16" t="s">
        <v>79</v>
      </c>
      <c r="W503" s="17" t="str">
        <f>VLOOKUP(RiskRegister[[#This Row],[Residual Likelihood Level]],'Rating factors'!$F$16:$G$21,2,FALSE)</f>
        <v>--- Error ---</v>
      </c>
      <c r="X503" s="17" t="str">
        <f ca="1">IFERROR(VLOOKUP(RiskRegister[[#This Row],[Residual Risk Rating]],'Rating factors'!$F$30:$G$44,2,FALSE),"-- Error --")</f>
        <v>-- Error --</v>
      </c>
      <c r="Y503" s="17" t="str">
        <f ca="1">IFERROR(RiskRegister[[#This Row],[Residual Impact Rating]]*RiskRegister[[#This Row],[Residual Likelihood Rating]],"-- Error --")</f>
        <v>-- Error --</v>
      </c>
      <c r="Z503" s="16" t="s">
        <v>100</v>
      </c>
      <c r="AB503" s="39"/>
      <c r="AD503" s="20"/>
    </row>
    <row r="504" spans="1:30" s="16" customFormat="1" hidden="1" x14ac:dyDescent="0.25">
      <c r="A504" s="16">
        <v>501</v>
      </c>
      <c r="G504" s="16" t="s">
        <v>77</v>
      </c>
      <c r="I504" s="16" t="s">
        <v>75</v>
      </c>
      <c r="L504" s="105" t="s">
        <v>99</v>
      </c>
      <c r="M504" s="17" t="str">
        <f>VLOOKUP(RiskRegister[[#This Row],[Inherent Impact LevelL3:L1020D1007L3:L1019]],'Rating factors'!$F$4:$G$9,2,FALSE)</f>
        <v>--- Error ---</v>
      </c>
      <c r="N504" s="16" t="s">
        <v>79</v>
      </c>
      <c r="O504" s="17" t="str">
        <f>VLOOKUP(RiskRegister[[#This Row],[Inherent Likelihood Level]],'Rating factors'!$F$16:$G$21,2,FALSE)</f>
        <v>--- Error ---</v>
      </c>
      <c r="P504" s="17" t="str">
        <f>IFERROR(VLOOKUP(RiskRegister[[#This Row],[Inherent Risk Rating]],'Rating factors'!$F$30:$G$44,2,FALSE),"-- Error --")</f>
        <v>-- Error --</v>
      </c>
      <c r="Q504" s="17" t="str">
        <f>IFERROR(RiskRegister[[#This Row],[Inherent Impact Rating]]*RiskRegister[[#This Row],[Inherent Likelihood Rating]],"-- Error --")</f>
        <v>-- Error --</v>
      </c>
      <c r="R504" s="16" t="s">
        <v>98</v>
      </c>
      <c r="T504" s="16" t="s">
        <v>99</v>
      </c>
      <c r="U504" s="17" t="e" cm="1">
        <f t="array" aca="1" ref="U504" ca="1">+U504:Y1019VLOOKUP(RiskRegister[[#This Row],[Residual Impact Level]],'Rating factors'!$F$4:$G$9,2,FALSE)</f>
        <v>#NAME?</v>
      </c>
      <c r="V504" s="16" t="s">
        <v>79</v>
      </c>
      <c r="W504" s="17" t="str">
        <f>VLOOKUP(RiskRegister[[#This Row],[Residual Likelihood Level]],'Rating factors'!$F$16:$G$21,2,FALSE)</f>
        <v>--- Error ---</v>
      </c>
      <c r="X504" s="17" t="str">
        <f ca="1">IFERROR(VLOOKUP(RiskRegister[[#This Row],[Residual Risk Rating]],'Rating factors'!$F$30:$G$44,2,FALSE),"-- Error --")</f>
        <v>-- Error --</v>
      </c>
      <c r="Y504" s="17" t="str">
        <f ca="1">IFERROR(RiskRegister[[#This Row],[Residual Impact Rating]]*RiskRegister[[#This Row],[Residual Likelihood Rating]],"-- Error --")</f>
        <v>-- Error --</v>
      </c>
      <c r="Z504" s="16" t="s">
        <v>100</v>
      </c>
      <c r="AB504" s="39"/>
      <c r="AD504" s="20"/>
    </row>
    <row r="505" spans="1:30" s="16" customFormat="1" hidden="1" x14ac:dyDescent="0.25">
      <c r="A505" s="16">
        <v>502</v>
      </c>
      <c r="G505" s="16" t="s">
        <v>77</v>
      </c>
      <c r="I505" s="16" t="s">
        <v>75</v>
      </c>
      <c r="L505" s="105" t="s">
        <v>99</v>
      </c>
      <c r="M505" s="17" t="str">
        <f>VLOOKUP(RiskRegister[[#This Row],[Inherent Impact LevelL3:L1020D1007L3:L1019]],'Rating factors'!$F$4:$G$9,2,FALSE)</f>
        <v>--- Error ---</v>
      </c>
      <c r="N505" s="16" t="s">
        <v>79</v>
      </c>
      <c r="O505" s="17" t="str">
        <f>VLOOKUP(RiskRegister[[#This Row],[Inherent Likelihood Level]],'Rating factors'!$F$16:$G$21,2,FALSE)</f>
        <v>--- Error ---</v>
      </c>
      <c r="P505" s="17" t="str">
        <f>IFERROR(VLOOKUP(RiskRegister[[#This Row],[Inherent Risk Rating]],'Rating factors'!$F$30:$G$44,2,FALSE),"-- Error --")</f>
        <v>-- Error --</v>
      </c>
      <c r="Q505" s="17" t="str">
        <f>IFERROR(RiskRegister[[#This Row],[Inherent Impact Rating]]*RiskRegister[[#This Row],[Inherent Likelihood Rating]],"-- Error --")</f>
        <v>-- Error --</v>
      </c>
      <c r="R505" s="16" t="s">
        <v>98</v>
      </c>
      <c r="T505" s="16" t="s">
        <v>99</v>
      </c>
      <c r="U505" s="17" t="e" cm="1">
        <f t="array" aca="1" ref="U505" ca="1">+U505:Y1019VLOOKUP(RiskRegister[[#This Row],[Residual Impact Level]],'Rating factors'!$F$4:$G$9,2,FALSE)</f>
        <v>#NAME?</v>
      </c>
      <c r="V505" s="16" t="s">
        <v>79</v>
      </c>
      <c r="W505" s="17" t="str">
        <f>VLOOKUP(RiskRegister[[#This Row],[Residual Likelihood Level]],'Rating factors'!$F$16:$G$21,2,FALSE)</f>
        <v>--- Error ---</v>
      </c>
      <c r="X505" s="17" t="str">
        <f ca="1">IFERROR(VLOOKUP(RiskRegister[[#This Row],[Residual Risk Rating]],'Rating factors'!$F$30:$G$44,2,FALSE),"-- Error --")</f>
        <v>-- Error --</v>
      </c>
      <c r="Y505" s="17" t="str">
        <f ca="1">IFERROR(RiskRegister[[#This Row],[Residual Impact Rating]]*RiskRegister[[#This Row],[Residual Likelihood Rating]],"-- Error --")</f>
        <v>-- Error --</v>
      </c>
      <c r="Z505" s="16" t="s">
        <v>100</v>
      </c>
      <c r="AB505" s="39"/>
      <c r="AD505" s="20"/>
    </row>
    <row r="506" spans="1:30" s="16" customFormat="1" hidden="1" x14ac:dyDescent="0.25">
      <c r="A506" s="16">
        <v>503</v>
      </c>
      <c r="G506" s="16" t="s">
        <v>77</v>
      </c>
      <c r="I506" s="16" t="s">
        <v>75</v>
      </c>
      <c r="L506" s="105" t="s">
        <v>99</v>
      </c>
      <c r="M506" s="17" t="str">
        <f>VLOOKUP(RiskRegister[[#This Row],[Inherent Impact LevelL3:L1020D1007L3:L1019]],'Rating factors'!$F$4:$G$9,2,FALSE)</f>
        <v>--- Error ---</v>
      </c>
      <c r="N506" s="16" t="s">
        <v>79</v>
      </c>
      <c r="O506" s="17" t="str">
        <f>VLOOKUP(RiskRegister[[#This Row],[Inherent Likelihood Level]],'Rating factors'!$F$16:$G$21,2,FALSE)</f>
        <v>--- Error ---</v>
      </c>
      <c r="P506" s="17" t="str">
        <f>IFERROR(VLOOKUP(RiskRegister[[#This Row],[Inherent Risk Rating]],'Rating factors'!$F$30:$G$44,2,FALSE),"-- Error --")</f>
        <v>-- Error --</v>
      </c>
      <c r="Q506" s="17" t="str">
        <f>IFERROR(RiskRegister[[#This Row],[Inherent Impact Rating]]*RiskRegister[[#This Row],[Inherent Likelihood Rating]],"-- Error --")</f>
        <v>-- Error --</v>
      </c>
      <c r="R506" s="16" t="s">
        <v>98</v>
      </c>
      <c r="T506" s="16" t="s">
        <v>99</v>
      </c>
      <c r="U506" s="17" t="e" cm="1">
        <f t="array" aca="1" ref="U506" ca="1">+U506:Y1019VLOOKUP(RiskRegister[[#This Row],[Residual Impact Level]],'Rating factors'!$F$4:$G$9,2,FALSE)</f>
        <v>#NAME?</v>
      </c>
      <c r="V506" s="16" t="s">
        <v>79</v>
      </c>
      <c r="W506" s="17" t="str">
        <f>VLOOKUP(RiskRegister[[#This Row],[Residual Likelihood Level]],'Rating factors'!$F$16:$G$21,2,FALSE)</f>
        <v>--- Error ---</v>
      </c>
      <c r="X506" s="17" t="str">
        <f ca="1">IFERROR(VLOOKUP(RiskRegister[[#This Row],[Residual Risk Rating]],'Rating factors'!$F$30:$G$44,2,FALSE),"-- Error --")</f>
        <v>-- Error --</v>
      </c>
      <c r="Y506" s="17" t="str">
        <f ca="1">IFERROR(RiskRegister[[#This Row],[Residual Impact Rating]]*RiskRegister[[#This Row],[Residual Likelihood Rating]],"-- Error --")</f>
        <v>-- Error --</v>
      </c>
      <c r="Z506" s="16" t="s">
        <v>100</v>
      </c>
      <c r="AB506" s="39"/>
      <c r="AD506" s="20"/>
    </row>
    <row r="507" spans="1:30" s="16" customFormat="1" hidden="1" x14ac:dyDescent="0.25">
      <c r="A507" s="16">
        <v>504</v>
      </c>
      <c r="G507" s="16" t="s">
        <v>77</v>
      </c>
      <c r="I507" s="16" t="s">
        <v>75</v>
      </c>
      <c r="L507" s="105" t="s">
        <v>99</v>
      </c>
      <c r="M507" s="17" t="str">
        <f>VLOOKUP(RiskRegister[[#This Row],[Inherent Impact LevelL3:L1020D1007L3:L1019]],'Rating factors'!$F$4:$G$9,2,FALSE)</f>
        <v>--- Error ---</v>
      </c>
      <c r="N507" s="16" t="s">
        <v>79</v>
      </c>
      <c r="O507" s="17" t="str">
        <f>VLOOKUP(RiskRegister[[#This Row],[Inherent Likelihood Level]],'Rating factors'!$F$16:$G$21,2,FALSE)</f>
        <v>--- Error ---</v>
      </c>
      <c r="P507" s="17" t="str">
        <f>IFERROR(VLOOKUP(RiskRegister[[#This Row],[Inherent Risk Rating]],'Rating factors'!$F$30:$G$44,2,FALSE),"-- Error --")</f>
        <v>-- Error --</v>
      </c>
      <c r="Q507" s="17" t="str">
        <f>IFERROR(RiskRegister[[#This Row],[Inherent Impact Rating]]*RiskRegister[[#This Row],[Inherent Likelihood Rating]],"-- Error --")</f>
        <v>-- Error --</v>
      </c>
      <c r="R507" s="16" t="s">
        <v>98</v>
      </c>
      <c r="T507" s="16" t="s">
        <v>99</v>
      </c>
      <c r="U507" s="17" t="e" cm="1">
        <f t="array" aca="1" ref="U507" ca="1">+U507:Y1019VLOOKUP(RiskRegister[[#This Row],[Residual Impact Level]],'Rating factors'!$F$4:$G$9,2,FALSE)</f>
        <v>#NAME?</v>
      </c>
      <c r="V507" s="16" t="s">
        <v>79</v>
      </c>
      <c r="W507" s="17" t="str">
        <f>VLOOKUP(RiskRegister[[#This Row],[Residual Likelihood Level]],'Rating factors'!$F$16:$G$21,2,FALSE)</f>
        <v>--- Error ---</v>
      </c>
      <c r="X507" s="17" t="str">
        <f ca="1">IFERROR(VLOOKUP(RiskRegister[[#This Row],[Residual Risk Rating]],'Rating factors'!$F$30:$G$44,2,FALSE),"-- Error --")</f>
        <v>-- Error --</v>
      </c>
      <c r="Y507" s="17" t="str">
        <f ca="1">IFERROR(RiskRegister[[#This Row],[Residual Impact Rating]]*RiskRegister[[#This Row],[Residual Likelihood Rating]],"-- Error --")</f>
        <v>-- Error --</v>
      </c>
      <c r="Z507" s="16" t="s">
        <v>100</v>
      </c>
      <c r="AB507" s="39"/>
      <c r="AD507" s="20"/>
    </row>
    <row r="508" spans="1:30" s="16" customFormat="1" hidden="1" x14ac:dyDescent="0.25">
      <c r="A508" s="16">
        <v>505</v>
      </c>
      <c r="G508" s="16" t="s">
        <v>77</v>
      </c>
      <c r="I508" s="16" t="s">
        <v>75</v>
      </c>
      <c r="L508" s="105" t="s">
        <v>99</v>
      </c>
      <c r="M508" s="17" t="str">
        <f>VLOOKUP(RiskRegister[[#This Row],[Inherent Impact LevelL3:L1020D1007L3:L1019]],'Rating factors'!$F$4:$G$9,2,FALSE)</f>
        <v>--- Error ---</v>
      </c>
      <c r="N508" s="16" t="s">
        <v>79</v>
      </c>
      <c r="O508" s="17" t="str">
        <f>VLOOKUP(RiskRegister[[#This Row],[Inherent Likelihood Level]],'Rating factors'!$F$16:$G$21,2,FALSE)</f>
        <v>--- Error ---</v>
      </c>
      <c r="P508" s="17" t="str">
        <f>IFERROR(VLOOKUP(RiskRegister[[#This Row],[Inherent Risk Rating]],'Rating factors'!$F$30:$G$44,2,FALSE),"-- Error --")</f>
        <v>-- Error --</v>
      </c>
      <c r="Q508" s="17" t="str">
        <f>IFERROR(RiskRegister[[#This Row],[Inherent Impact Rating]]*RiskRegister[[#This Row],[Inherent Likelihood Rating]],"-- Error --")</f>
        <v>-- Error --</v>
      </c>
      <c r="R508" s="16" t="s">
        <v>98</v>
      </c>
      <c r="T508" s="16" t="s">
        <v>99</v>
      </c>
      <c r="U508" s="17" t="e" cm="1">
        <f t="array" aca="1" ref="U508" ca="1">+U508:Y1019VLOOKUP(RiskRegister[[#This Row],[Residual Impact Level]],'Rating factors'!$F$4:$G$9,2,FALSE)</f>
        <v>#NAME?</v>
      </c>
      <c r="V508" s="16" t="s">
        <v>79</v>
      </c>
      <c r="W508" s="17" t="str">
        <f>VLOOKUP(RiskRegister[[#This Row],[Residual Likelihood Level]],'Rating factors'!$F$16:$G$21,2,FALSE)</f>
        <v>--- Error ---</v>
      </c>
      <c r="X508" s="17" t="str">
        <f ca="1">IFERROR(VLOOKUP(RiskRegister[[#This Row],[Residual Risk Rating]],'Rating factors'!$F$30:$G$44,2,FALSE),"-- Error --")</f>
        <v>-- Error --</v>
      </c>
      <c r="Y508" s="17" t="str">
        <f ca="1">IFERROR(RiskRegister[[#This Row],[Residual Impact Rating]]*RiskRegister[[#This Row],[Residual Likelihood Rating]],"-- Error --")</f>
        <v>-- Error --</v>
      </c>
      <c r="Z508" s="16" t="s">
        <v>100</v>
      </c>
      <c r="AB508" s="39"/>
      <c r="AD508" s="20"/>
    </row>
    <row r="509" spans="1:30" s="16" customFormat="1" hidden="1" x14ac:dyDescent="0.25">
      <c r="A509" s="16">
        <v>506</v>
      </c>
      <c r="G509" s="16" t="s">
        <v>77</v>
      </c>
      <c r="I509" s="16" t="s">
        <v>75</v>
      </c>
      <c r="L509" s="105" t="s">
        <v>99</v>
      </c>
      <c r="M509" s="17" t="str">
        <f>VLOOKUP(RiskRegister[[#This Row],[Inherent Impact LevelL3:L1020D1007L3:L1019]],'Rating factors'!$F$4:$G$9,2,FALSE)</f>
        <v>--- Error ---</v>
      </c>
      <c r="N509" s="16" t="s">
        <v>79</v>
      </c>
      <c r="O509" s="17" t="str">
        <f>VLOOKUP(RiskRegister[[#This Row],[Inherent Likelihood Level]],'Rating factors'!$F$16:$G$21,2,FALSE)</f>
        <v>--- Error ---</v>
      </c>
      <c r="P509" s="17" t="str">
        <f>IFERROR(VLOOKUP(RiskRegister[[#This Row],[Inherent Risk Rating]],'Rating factors'!$F$30:$G$44,2,FALSE),"-- Error --")</f>
        <v>-- Error --</v>
      </c>
      <c r="Q509" s="17" t="str">
        <f>IFERROR(RiskRegister[[#This Row],[Inherent Impact Rating]]*RiskRegister[[#This Row],[Inherent Likelihood Rating]],"-- Error --")</f>
        <v>-- Error --</v>
      </c>
      <c r="R509" s="16" t="s">
        <v>98</v>
      </c>
      <c r="T509" s="16" t="s">
        <v>99</v>
      </c>
      <c r="U509" s="17" t="e" cm="1">
        <f t="array" aca="1" ref="U509" ca="1">+U509:Y1019VLOOKUP(RiskRegister[[#This Row],[Residual Impact Level]],'Rating factors'!$F$4:$G$9,2,FALSE)</f>
        <v>#NAME?</v>
      </c>
      <c r="V509" s="16" t="s">
        <v>79</v>
      </c>
      <c r="W509" s="17" t="str">
        <f>VLOOKUP(RiskRegister[[#This Row],[Residual Likelihood Level]],'Rating factors'!$F$16:$G$21,2,FALSE)</f>
        <v>--- Error ---</v>
      </c>
      <c r="X509" s="17" t="str">
        <f ca="1">IFERROR(VLOOKUP(RiskRegister[[#This Row],[Residual Risk Rating]],'Rating factors'!$F$30:$G$44,2,FALSE),"-- Error --")</f>
        <v>-- Error --</v>
      </c>
      <c r="Y509" s="17" t="str">
        <f ca="1">IFERROR(RiskRegister[[#This Row],[Residual Impact Rating]]*RiskRegister[[#This Row],[Residual Likelihood Rating]],"-- Error --")</f>
        <v>-- Error --</v>
      </c>
      <c r="Z509" s="16" t="s">
        <v>100</v>
      </c>
      <c r="AB509" s="39"/>
      <c r="AD509" s="20"/>
    </row>
    <row r="510" spans="1:30" s="16" customFormat="1" hidden="1" x14ac:dyDescent="0.25">
      <c r="A510" s="16">
        <v>507</v>
      </c>
      <c r="G510" s="16" t="s">
        <v>77</v>
      </c>
      <c r="I510" s="16" t="s">
        <v>75</v>
      </c>
      <c r="L510" s="105" t="s">
        <v>99</v>
      </c>
      <c r="M510" s="17" t="str">
        <f>VLOOKUP(RiskRegister[[#This Row],[Inherent Impact LevelL3:L1020D1007L3:L1019]],'Rating factors'!$F$4:$G$9,2,FALSE)</f>
        <v>--- Error ---</v>
      </c>
      <c r="N510" s="16" t="s">
        <v>79</v>
      </c>
      <c r="O510" s="17" t="str">
        <f>VLOOKUP(RiskRegister[[#This Row],[Inherent Likelihood Level]],'Rating factors'!$F$16:$G$21,2,FALSE)</f>
        <v>--- Error ---</v>
      </c>
      <c r="P510" s="17" t="str">
        <f>IFERROR(VLOOKUP(RiskRegister[[#This Row],[Inherent Risk Rating]],'Rating factors'!$F$30:$G$44,2,FALSE),"-- Error --")</f>
        <v>-- Error --</v>
      </c>
      <c r="Q510" s="17" t="str">
        <f>IFERROR(RiskRegister[[#This Row],[Inherent Impact Rating]]*RiskRegister[[#This Row],[Inherent Likelihood Rating]],"-- Error --")</f>
        <v>-- Error --</v>
      </c>
      <c r="R510" s="16" t="s">
        <v>98</v>
      </c>
      <c r="T510" s="16" t="s">
        <v>99</v>
      </c>
      <c r="U510" s="17" t="e" cm="1">
        <f t="array" aca="1" ref="U510" ca="1">+U510:Y1019VLOOKUP(RiskRegister[[#This Row],[Residual Impact Level]],'Rating factors'!$F$4:$G$9,2,FALSE)</f>
        <v>#NAME?</v>
      </c>
      <c r="V510" s="16" t="s">
        <v>79</v>
      </c>
      <c r="W510" s="17" t="str">
        <f>VLOOKUP(RiskRegister[[#This Row],[Residual Likelihood Level]],'Rating factors'!$F$16:$G$21,2,FALSE)</f>
        <v>--- Error ---</v>
      </c>
      <c r="X510" s="17" t="str">
        <f ca="1">IFERROR(VLOOKUP(RiskRegister[[#This Row],[Residual Risk Rating]],'Rating factors'!$F$30:$G$44,2,FALSE),"-- Error --")</f>
        <v>-- Error --</v>
      </c>
      <c r="Y510" s="17" t="str">
        <f ca="1">IFERROR(RiskRegister[[#This Row],[Residual Impact Rating]]*RiskRegister[[#This Row],[Residual Likelihood Rating]],"-- Error --")</f>
        <v>-- Error --</v>
      </c>
      <c r="Z510" s="16" t="s">
        <v>100</v>
      </c>
      <c r="AB510" s="39"/>
      <c r="AD510" s="20"/>
    </row>
    <row r="511" spans="1:30" s="16" customFormat="1" hidden="1" x14ac:dyDescent="0.25">
      <c r="A511" s="16">
        <v>508</v>
      </c>
      <c r="G511" s="16" t="s">
        <v>77</v>
      </c>
      <c r="I511" s="16" t="s">
        <v>75</v>
      </c>
      <c r="L511" s="105" t="s">
        <v>99</v>
      </c>
      <c r="M511" s="17" t="str">
        <f>VLOOKUP(RiskRegister[[#This Row],[Inherent Impact LevelL3:L1020D1007L3:L1019]],'Rating factors'!$F$4:$G$9,2,FALSE)</f>
        <v>--- Error ---</v>
      </c>
      <c r="N511" s="16" t="s">
        <v>79</v>
      </c>
      <c r="O511" s="17" t="str">
        <f>VLOOKUP(RiskRegister[[#This Row],[Inherent Likelihood Level]],'Rating factors'!$F$16:$G$21,2,FALSE)</f>
        <v>--- Error ---</v>
      </c>
      <c r="P511" s="17" t="str">
        <f>IFERROR(VLOOKUP(RiskRegister[[#This Row],[Inherent Risk Rating]],'Rating factors'!$F$30:$G$44,2,FALSE),"-- Error --")</f>
        <v>-- Error --</v>
      </c>
      <c r="Q511" s="17" t="str">
        <f>IFERROR(RiskRegister[[#This Row],[Inherent Impact Rating]]*RiskRegister[[#This Row],[Inherent Likelihood Rating]],"-- Error --")</f>
        <v>-- Error --</v>
      </c>
      <c r="R511" s="16" t="s">
        <v>98</v>
      </c>
      <c r="T511" s="16" t="s">
        <v>99</v>
      </c>
      <c r="U511" s="17" t="e" cm="1">
        <f t="array" aca="1" ref="U511" ca="1">+U511:Y1019VLOOKUP(RiskRegister[[#This Row],[Residual Impact Level]],'Rating factors'!$F$4:$G$9,2,FALSE)</f>
        <v>#NAME?</v>
      </c>
      <c r="V511" s="16" t="s">
        <v>79</v>
      </c>
      <c r="W511" s="17" t="str">
        <f>VLOOKUP(RiskRegister[[#This Row],[Residual Likelihood Level]],'Rating factors'!$F$16:$G$21,2,FALSE)</f>
        <v>--- Error ---</v>
      </c>
      <c r="X511" s="17" t="str">
        <f ca="1">IFERROR(VLOOKUP(RiskRegister[[#This Row],[Residual Risk Rating]],'Rating factors'!$F$30:$G$44,2,FALSE),"-- Error --")</f>
        <v>-- Error --</v>
      </c>
      <c r="Y511" s="17" t="str">
        <f ca="1">IFERROR(RiskRegister[[#This Row],[Residual Impact Rating]]*RiskRegister[[#This Row],[Residual Likelihood Rating]],"-- Error --")</f>
        <v>-- Error --</v>
      </c>
      <c r="Z511" s="16" t="s">
        <v>100</v>
      </c>
      <c r="AB511" s="39"/>
      <c r="AD511" s="20"/>
    </row>
    <row r="512" spans="1:30" s="16" customFormat="1" hidden="1" x14ac:dyDescent="0.25">
      <c r="A512" s="16">
        <v>509</v>
      </c>
      <c r="G512" s="16" t="s">
        <v>77</v>
      </c>
      <c r="I512" s="16" t="s">
        <v>75</v>
      </c>
      <c r="L512" s="105" t="s">
        <v>99</v>
      </c>
      <c r="M512" s="17" t="str">
        <f>VLOOKUP(RiskRegister[[#This Row],[Inherent Impact LevelL3:L1020D1007L3:L1019]],'Rating factors'!$F$4:$G$9,2,FALSE)</f>
        <v>--- Error ---</v>
      </c>
      <c r="N512" s="16" t="s">
        <v>79</v>
      </c>
      <c r="O512" s="17" t="str">
        <f>VLOOKUP(RiskRegister[[#This Row],[Inherent Likelihood Level]],'Rating factors'!$F$16:$G$21,2,FALSE)</f>
        <v>--- Error ---</v>
      </c>
      <c r="P512" s="17" t="str">
        <f>IFERROR(VLOOKUP(RiskRegister[[#This Row],[Inherent Risk Rating]],'Rating factors'!$F$30:$G$44,2,FALSE),"-- Error --")</f>
        <v>-- Error --</v>
      </c>
      <c r="Q512" s="17" t="str">
        <f>IFERROR(RiskRegister[[#This Row],[Inherent Impact Rating]]*RiskRegister[[#This Row],[Inherent Likelihood Rating]],"-- Error --")</f>
        <v>-- Error --</v>
      </c>
      <c r="R512" s="16" t="s">
        <v>98</v>
      </c>
      <c r="T512" s="16" t="s">
        <v>99</v>
      </c>
      <c r="U512" s="17" t="e" cm="1">
        <f t="array" aca="1" ref="U512" ca="1">+U512:Y1019VLOOKUP(RiskRegister[[#This Row],[Residual Impact Level]],'Rating factors'!$F$4:$G$9,2,FALSE)</f>
        <v>#NAME?</v>
      </c>
      <c r="V512" s="16" t="s">
        <v>79</v>
      </c>
      <c r="W512" s="17" t="str">
        <f>VLOOKUP(RiskRegister[[#This Row],[Residual Likelihood Level]],'Rating factors'!$F$16:$G$21,2,FALSE)</f>
        <v>--- Error ---</v>
      </c>
      <c r="X512" s="17" t="str">
        <f ca="1">IFERROR(VLOOKUP(RiskRegister[[#This Row],[Residual Risk Rating]],'Rating factors'!$F$30:$G$44,2,FALSE),"-- Error --")</f>
        <v>-- Error --</v>
      </c>
      <c r="Y512" s="17" t="str">
        <f ca="1">IFERROR(RiskRegister[[#This Row],[Residual Impact Rating]]*RiskRegister[[#This Row],[Residual Likelihood Rating]],"-- Error --")</f>
        <v>-- Error --</v>
      </c>
      <c r="Z512" s="16" t="s">
        <v>100</v>
      </c>
      <c r="AB512" s="39"/>
      <c r="AD512" s="20"/>
    </row>
    <row r="513" spans="1:30" s="16" customFormat="1" hidden="1" x14ac:dyDescent="0.25">
      <c r="A513" s="16">
        <v>510</v>
      </c>
      <c r="G513" s="16" t="s">
        <v>77</v>
      </c>
      <c r="I513" s="16" t="s">
        <v>75</v>
      </c>
      <c r="L513" s="105" t="s">
        <v>99</v>
      </c>
      <c r="M513" s="17" t="str">
        <f>VLOOKUP(RiskRegister[[#This Row],[Inherent Impact LevelL3:L1020D1007L3:L1019]],'Rating factors'!$F$4:$G$9,2,FALSE)</f>
        <v>--- Error ---</v>
      </c>
      <c r="N513" s="16" t="s">
        <v>79</v>
      </c>
      <c r="O513" s="17" t="str">
        <f>VLOOKUP(RiskRegister[[#This Row],[Inherent Likelihood Level]],'Rating factors'!$F$16:$G$21,2,FALSE)</f>
        <v>--- Error ---</v>
      </c>
      <c r="P513" s="17" t="str">
        <f>IFERROR(VLOOKUP(RiskRegister[[#This Row],[Inherent Risk Rating]],'Rating factors'!$F$30:$G$44,2,FALSE),"-- Error --")</f>
        <v>-- Error --</v>
      </c>
      <c r="Q513" s="17" t="str">
        <f>IFERROR(RiskRegister[[#This Row],[Inherent Impact Rating]]*RiskRegister[[#This Row],[Inherent Likelihood Rating]],"-- Error --")</f>
        <v>-- Error --</v>
      </c>
      <c r="R513" s="16" t="s">
        <v>98</v>
      </c>
      <c r="T513" s="16" t="s">
        <v>99</v>
      </c>
      <c r="U513" s="17" t="e" cm="1">
        <f t="array" aca="1" ref="U513" ca="1">+U513:Y1019VLOOKUP(RiskRegister[[#This Row],[Residual Impact Level]],'Rating factors'!$F$4:$G$9,2,FALSE)</f>
        <v>#NAME?</v>
      </c>
      <c r="V513" s="16" t="s">
        <v>79</v>
      </c>
      <c r="W513" s="17" t="str">
        <f>VLOOKUP(RiskRegister[[#This Row],[Residual Likelihood Level]],'Rating factors'!$F$16:$G$21,2,FALSE)</f>
        <v>--- Error ---</v>
      </c>
      <c r="X513" s="17" t="str">
        <f ca="1">IFERROR(VLOOKUP(RiskRegister[[#This Row],[Residual Risk Rating]],'Rating factors'!$F$30:$G$44,2,FALSE),"-- Error --")</f>
        <v>-- Error --</v>
      </c>
      <c r="Y513" s="17" t="str">
        <f ca="1">IFERROR(RiskRegister[[#This Row],[Residual Impact Rating]]*RiskRegister[[#This Row],[Residual Likelihood Rating]],"-- Error --")</f>
        <v>-- Error --</v>
      </c>
      <c r="Z513" s="16" t="s">
        <v>100</v>
      </c>
      <c r="AB513" s="39"/>
      <c r="AD513" s="20"/>
    </row>
    <row r="514" spans="1:30" s="16" customFormat="1" hidden="1" x14ac:dyDescent="0.25">
      <c r="A514" s="16">
        <v>511</v>
      </c>
      <c r="G514" s="16" t="s">
        <v>77</v>
      </c>
      <c r="I514" s="16" t="s">
        <v>75</v>
      </c>
      <c r="L514" s="105" t="s">
        <v>99</v>
      </c>
      <c r="M514" s="17" t="str">
        <f>VLOOKUP(RiskRegister[[#This Row],[Inherent Impact LevelL3:L1020D1007L3:L1019]],'Rating factors'!$F$4:$G$9,2,FALSE)</f>
        <v>--- Error ---</v>
      </c>
      <c r="N514" s="16" t="s">
        <v>79</v>
      </c>
      <c r="O514" s="17" t="str">
        <f>VLOOKUP(RiskRegister[[#This Row],[Inherent Likelihood Level]],'Rating factors'!$F$16:$G$21,2,FALSE)</f>
        <v>--- Error ---</v>
      </c>
      <c r="P514" s="17" t="str">
        <f>IFERROR(VLOOKUP(RiskRegister[[#This Row],[Inherent Risk Rating]],'Rating factors'!$F$30:$G$44,2,FALSE),"-- Error --")</f>
        <v>-- Error --</v>
      </c>
      <c r="Q514" s="17" t="str">
        <f>IFERROR(RiskRegister[[#This Row],[Inherent Impact Rating]]*RiskRegister[[#This Row],[Inherent Likelihood Rating]],"-- Error --")</f>
        <v>-- Error --</v>
      </c>
      <c r="R514" s="16" t="s">
        <v>98</v>
      </c>
      <c r="T514" s="16" t="s">
        <v>99</v>
      </c>
      <c r="U514" s="17" t="e" cm="1">
        <f t="array" aca="1" ref="U514" ca="1">+U514:Y1019VLOOKUP(RiskRegister[[#This Row],[Residual Impact Level]],'Rating factors'!$F$4:$G$9,2,FALSE)</f>
        <v>#NAME?</v>
      </c>
      <c r="V514" s="16" t="s">
        <v>79</v>
      </c>
      <c r="W514" s="17" t="str">
        <f>VLOOKUP(RiskRegister[[#This Row],[Residual Likelihood Level]],'Rating factors'!$F$16:$G$21,2,FALSE)</f>
        <v>--- Error ---</v>
      </c>
      <c r="X514" s="17" t="str">
        <f ca="1">IFERROR(VLOOKUP(RiskRegister[[#This Row],[Residual Risk Rating]],'Rating factors'!$F$30:$G$44,2,FALSE),"-- Error --")</f>
        <v>-- Error --</v>
      </c>
      <c r="Y514" s="17" t="str">
        <f ca="1">IFERROR(RiskRegister[[#This Row],[Residual Impact Rating]]*RiskRegister[[#This Row],[Residual Likelihood Rating]],"-- Error --")</f>
        <v>-- Error --</v>
      </c>
      <c r="Z514" s="16" t="s">
        <v>100</v>
      </c>
      <c r="AB514" s="39"/>
      <c r="AD514" s="20"/>
    </row>
    <row r="515" spans="1:30" s="16" customFormat="1" hidden="1" x14ac:dyDescent="0.25">
      <c r="A515" s="16">
        <v>512</v>
      </c>
      <c r="G515" s="16" t="s">
        <v>77</v>
      </c>
      <c r="I515" s="16" t="s">
        <v>75</v>
      </c>
      <c r="L515" s="105" t="s">
        <v>99</v>
      </c>
      <c r="M515" s="17" t="str">
        <f>VLOOKUP(RiskRegister[[#This Row],[Inherent Impact LevelL3:L1020D1007L3:L1019]],'Rating factors'!$F$4:$G$9,2,FALSE)</f>
        <v>--- Error ---</v>
      </c>
      <c r="N515" s="16" t="s">
        <v>79</v>
      </c>
      <c r="O515" s="17" t="str">
        <f>VLOOKUP(RiskRegister[[#This Row],[Inherent Likelihood Level]],'Rating factors'!$F$16:$G$21,2,FALSE)</f>
        <v>--- Error ---</v>
      </c>
      <c r="P515" s="17" t="str">
        <f>IFERROR(VLOOKUP(RiskRegister[[#This Row],[Inherent Risk Rating]],'Rating factors'!$F$30:$G$44,2,FALSE),"-- Error --")</f>
        <v>-- Error --</v>
      </c>
      <c r="Q515" s="17" t="str">
        <f>IFERROR(RiskRegister[[#This Row],[Inherent Impact Rating]]*RiskRegister[[#This Row],[Inherent Likelihood Rating]],"-- Error --")</f>
        <v>-- Error --</v>
      </c>
      <c r="R515" s="16" t="s">
        <v>98</v>
      </c>
      <c r="T515" s="16" t="s">
        <v>99</v>
      </c>
      <c r="U515" s="17" t="e" cm="1">
        <f t="array" aca="1" ref="U515" ca="1">+U515:Y1019VLOOKUP(RiskRegister[[#This Row],[Residual Impact Level]],'Rating factors'!$F$4:$G$9,2,FALSE)</f>
        <v>#NAME?</v>
      </c>
      <c r="V515" s="16" t="s">
        <v>79</v>
      </c>
      <c r="W515" s="17" t="str">
        <f>VLOOKUP(RiskRegister[[#This Row],[Residual Likelihood Level]],'Rating factors'!$F$16:$G$21,2,FALSE)</f>
        <v>--- Error ---</v>
      </c>
      <c r="X515" s="17" t="str">
        <f ca="1">IFERROR(VLOOKUP(RiskRegister[[#This Row],[Residual Risk Rating]],'Rating factors'!$F$30:$G$44,2,FALSE),"-- Error --")</f>
        <v>-- Error --</v>
      </c>
      <c r="Y515" s="17" t="str">
        <f ca="1">IFERROR(RiskRegister[[#This Row],[Residual Impact Rating]]*RiskRegister[[#This Row],[Residual Likelihood Rating]],"-- Error --")</f>
        <v>-- Error --</v>
      </c>
      <c r="Z515" s="16" t="s">
        <v>100</v>
      </c>
      <c r="AB515" s="39"/>
      <c r="AD515" s="20"/>
    </row>
    <row r="516" spans="1:30" s="16" customFormat="1" hidden="1" x14ac:dyDescent="0.25">
      <c r="A516" s="16">
        <v>513</v>
      </c>
      <c r="G516" s="16" t="s">
        <v>77</v>
      </c>
      <c r="I516" s="16" t="s">
        <v>75</v>
      </c>
      <c r="L516" s="105" t="s">
        <v>99</v>
      </c>
      <c r="M516" s="17" t="str">
        <f>VLOOKUP(RiskRegister[[#This Row],[Inherent Impact LevelL3:L1020D1007L3:L1019]],'Rating factors'!$F$4:$G$9,2,FALSE)</f>
        <v>--- Error ---</v>
      </c>
      <c r="N516" s="16" t="s">
        <v>79</v>
      </c>
      <c r="O516" s="17" t="str">
        <f>VLOOKUP(RiskRegister[[#This Row],[Inherent Likelihood Level]],'Rating factors'!$F$16:$G$21,2,FALSE)</f>
        <v>--- Error ---</v>
      </c>
      <c r="P516" s="17" t="str">
        <f>IFERROR(VLOOKUP(RiskRegister[[#This Row],[Inherent Risk Rating]],'Rating factors'!$F$30:$G$44,2,FALSE),"-- Error --")</f>
        <v>-- Error --</v>
      </c>
      <c r="Q516" s="17" t="str">
        <f>IFERROR(RiskRegister[[#This Row],[Inherent Impact Rating]]*RiskRegister[[#This Row],[Inherent Likelihood Rating]],"-- Error --")</f>
        <v>-- Error --</v>
      </c>
      <c r="R516" s="16" t="s">
        <v>98</v>
      </c>
      <c r="T516" s="16" t="s">
        <v>99</v>
      </c>
      <c r="U516" s="17" t="e" cm="1">
        <f t="array" aca="1" ref="U516" ca="1">+U516:Y1019VLOOKUP(RiskRegister[[#This Row],[Residual Impact Level]],'Rating factors'!$F$4:$G$9,2,FALSE)</f>
        <v>#NAME?</v>
      </c>
      <c r="V516" s="16" t="s">
        <v>79</v>
      </c>
      <c r="W516" s="17" t="str">
        <f>VLOOKUP(RiskRegister[[#This Row],[Residual Likelihood Level]],'Rating factors'!$F$16:$G$21,2,FALSE)</f>
        <v>--- Error ---</v>
      </c>
      <c r="X516" s="17" t="str">
        <f ca="1">IFERROR(VLOOKUP(RiskRegister[[#This Row],[Residual Risk Rating]],'Rating factors'!$F$30:$G$44,2,FALSE),"-- Error --")</f>
        <v>-- Error --</v>
      </c>
      <c r="Y516" s="17" t="str">
        <f ca="1">IFERROR(RiskRegister[[#This Row],[Residual Impact Rating]]*RiskRegister[[#This Row],[Residual Likelihood Rating]],"-- Error --")</f>
        <v>-- Error --</v>
      </c>
      <c r="Z516" s="16" t="s">
        <v>100</v>
      </c>
      <c r="AB516" s="39"/>
      <c r="AD516" s="20"/>
    </row>
    <row r="517" spans="1:30" s="16" customFormat="1" hidden="1" x14ac:dyDescent="0.25">
      <c r="A517" s="16">
        <v>514</v>
      </c>
      <c r="G517" s="16" t="s">
        <v>77</v>
      </c>
      <c r="I517" s="16" t="s">
        <v>75</v>
      </c>
      <c r="L517" s="105" t="s">
        <v>99</v>
      </c>
      <c r="M517" s="17" t="str">
        <f>VLOOKUP(RiskRegister[[#This Row],[Inherent Impact LevelL3:L1020D1007L3:L1019]],'Rating factors'!$F$4:$G$9,2,FALSE)</f>
        <v>--- Error ---</v>
      </c>
      <c r="N517" s="16" t="s">
        <v>79</v>
      </c>
      <c r="O517" s="17" t="str">
        <f>VLOOKUP(RiskRegister[[#This Row],[Inherent Likelihood Level]],'Rating factors'!$F$16:$G$21,2,FALSE)</f>
        <v>--- Error ---</v>
      </c>
      <c r="P517" s="17" t="str">
        <f>IFERROR(VLOOKUP(RiskRegister[[#This Row],[Inherent Risk Rating]],'Rating factors'!$F$30:$G$44,2,FALSE),"-- Error --")</f>
        <v>-- Error --</v>
      </c>
      <c r="Q517" s="17" t="str">
        <f>IFERROR(RiskRegister[[#This Row],[Inherent Impact Rating]]*RiskRegister[[#This Row],[Inherent Likelihood Rating]],"-- Error --")</f>
        <v>-- Error --</v>
      </c>
      <c r="R517" s="16" t="s">
        <v>98</v>
      </c>
      <c r="T517" s="16" t="s">
        <v>99</v>
      </c>
      <c r="U517" s="17" t="e" cm="1">
        <f t="array" aca="1" ref="U517" ca="1">+U517:Y1019VLOOKUP(RiskRegister[[#This Row],[Residual Impact Level]],'Rating factors'!$F$4:$G$9,2,FALSE)</f>
        <v>#NAME?</v>
      </c>
      <c r="V517" s="16" t="s">
        <v>79</v>
      </c>
      <c r="W517" s="17" t="str">
        <f>VLOOKUP(RiskRegister[[#This Row],[Residual Likelihood Level]],'Rating factors'!$F$16:$G$21,2,FALSE)</f>
        <v>--- Error ---</v>
      </c>
      <c r="X517" s="17" t="str">
        <f ca="1">IFERROR(VLOOKUP(RiskRegister[[#This Row],[Residual Risk Rating]],'Rating factors'!$F$30:$G$44,2,FALSE),"-- Error --")</f>
        <v>-- Error --</v>
      </c>
      <c r="Y517" s="17" t="str">
        <f ca="1">IFERROR(RiskRegister[[#This Row],[Residual Impact Rating]]*RiskRegister[[#This Row],[Residual Likelihood Rating]],"-- Error --")</f>
        <v>-- Error --</v>
      </c>
      <c r="Z517" s="16" t="s">
        <v>100</v>
      </c>
      <c r="AB517" s="39"/>
      <c r="AD517" s="20"/>
    </row>
    <row r="518" spans="1:30" s="16" customFormat="1" hidden="1" x14ac:dyDescent="0.25">
      <c r="A518" s="16">
        <v>515</v>
      </c>
      <c r="G518" s="16" t="s">
        <v>77</v>
      </c>
      <c r="I518" s="16" t="s">
        <v>75</v>
      </c>
      <c r="L518" s="105" t="s">
        <v>99</v>
      </c>
      <c r="M518" s="17" t="str">
        <f>VLOOKUP(RiskRegister[[#This Row],[Inherent Impact LevelL3:L1020D1007L3:L1019]],'Rating factors'!$F$4:$G$9,2,FALSE)</f>
        <v>--- Error ---</v>
      </c>
      <c r="N518" s="16" t="s">
        <v>79</v>
      </c>
      <c r="O518" s="17" t="str">
        <f>VLOOKUP(RiskRegister[[#This Row],[Inherent Likelihood Level]],'Rating factors'!$F$16:$G$21,2,FALSE)</f>
        <v>--- Error ---</v>
      </c>
      <c r="P518" s="17" t="str">
        <f>IFERROR(VLOOKUP(RiskRegister[[#This Row],[Inherent Risk Rating]],'Rating factors'!$F$30:$G$44,2,FALSE),"-- Error --")</f>
        <v>-- Error --</v>
      </c>
      <c r="Q518" s="17" t="str">
        <f>IFERROR(RiskRegister[[#This Row],[Inherent Impact Rating]]*RiskRegister[[#This Row],[Inherent Likelihood Rating]],"-- Error --")</f>
        <v>-- Error --</v>
      </c>
      <c r="R518" s="16" t="s">
        <v>98</v>
      </c>
      <c r="T518" s="16" t="s">
        <v>99</v>
      </c>
      <c r="U518" s="17" t="e" cm="1">
        <f t="array" aca="1" ref="U518" ca="1">+U518:Y1019VLOOKUP(RiskRegister[[#This Row],[Residual Impact Level]],'Rating factors'!$F$4:$G$9,2,FALSE)</f>
        <v>#NAME?</v>
      </c>
      <c r="V518" s="16" t="s">
        <v>79</v>
      </c>
      <c r="W518" s="17" t="str">
        <f>VLOOKUP(RiskRegister[[#This Row],[Residual Likelihood Level]],'Rating factors'!$F$16:$G$21,2,FALSE)</f>
        <v>--- Error ---</v>
      </c>
      <c r="X518" s="17" t="str">
        <f ca="1">IFERROR(VLOOKUP(RiskRegister[[#This Row],[Residual Risk Rating]],'Rating factors'!$F$30:$G$44,2,FALSE),"-- Error --")</f>
        <v>-- Error --</v>
      </c>
      <c r="Y518" s="17" t="str">
        <f ca="1">IFERROR(RiskRegister[[#This Row],[Residual Impact Rating]]*RiskRegister[[#This Row],[Residual Likelihood Rating]],"-- Error --")</f>
        <v>-- Error --</v>
      </c>
      <c r="Z518" s="16" t="s">
        <v>100</v>
      </c>
      <c r="AB518" s="39"/>
      <c r="AD518" s="20"/>
    </row>
    <row r="519" spans="1:30" s="16" customFormat="1" hidden="1" x14ac:dyDescent="0.25">
      <c r="A519" s="16">
        <v>516</v>
      </c>
      <c r="G519" s="16" t="s">
        <v>77</v>
      </c>
      <c r="I519" s="16" t="s">
        <v>75</v>
      </c>
      <c r="L519" s="105" t="s">
        <v>99</v>
      </c>
      <c r="M519" s="17" t="str">
        <f>VLOOKUP(RiskRegister[[#This Row],[Inherent Impact LevelL3:L1020D1007L3:L1019]],'Rating factors'!$F$4:$G$9,2,FALSE)</f>
        <v>--- Error ---</v>
      </c>
      <c r="N519" s="16" t="s">
        <v>79</v>
      </c>
      <c r="O519" s="17" t="str">
        <f>VLOOKUP(RiskRegister[[#This Row],[Inherent Likelihood Level]],'Rating factors'!$F$16:$G$21,2,FALSE)</f>
        <v>--- Error ---</v>
      </c>
      <c r="P519" s="17" t="str">
        <f>IFERROR(VLOOKUP(RiskRegister[[#This Row],[Inherent Risk Rating]],'Rating factors'!$F$30:$G$44,2,FALSE),"-- Error --")</f>
        <v>-- Error --</v>
      </c>
      <c r="Q519" s="17" t="str">
        <f>IFERROR(RiskRegister[[#This Row],[Inherent Impact Rating]]*RiskRegister[[#This Row],[Inherent Likelihood Rating]],"-- Error --")</f>
        <v>-- Error --</v>
      </c>
      <c r="R519" s="16" t="s">
        <v>98</v>
      </c>
      <c r="T519" s="16" t="s">
        <v>99</v>
      </c>
      <c r="U519" s="17" t="e" cm="1">
        <f t="array" aca="1" ref="U519" ca="1">+U519:Y1019VLOOKUP(RiskRegister[[#This Row],[Residual Impact Level]],'Rating factors'!$F$4:$G$9,2,FALSE)</f>
        <v>#NAME?</v>
      </c>
      <c r="V519" s="16" t="s">
        <v>79</v>
      </c>
      <c r="W519" s="17" t="str">
        <f>VLOOKUP(RiskRegister[[#This Row],[Residual Likelihood Level]],'Rating factors'!$F$16:$G$21,2,FALSE)</f>
        <v>--- Error ---</v>
      </c>
      <c r="X519" s="17" t="str">
        <f ca="1">IFERROR(VLOOKUP(RiskRegister[[#This Row],[Residual Risk Rating]],'Rating factors'!$F$30:$G$44,2,FALSE),"-- Error --")</f>
        <v>-- Error --</v>
      </c>
      <c r="Y519" s="17" t="str">
        <f ca="1">IFERROR(RiskRegister[[#This Row],[Residual Impact Rating]]*RiskRegister[[#This Row],[Residual Likelihood Rating]],"-- Error --")</f>
        <v>-- Error --</v>
      </c>
      <c r="Z519" s="16" t="s">
        <v>100</v>
      </c>
      <c r="AB519" s="39"/>
      <c r="AD519" s="20"/>
    </row>
    <row r="520" spans="1:30" s="16" customFormat="1" hidden="1" x14ac:dyDescent="0.25">
      <c r="A520" s="16">
        <v>517</v>
      </c>
      <c r="G520" s="16" t="s">
        <v>77</v>
      </c>
      <c r="I520" s="16" t="s">
        <v>75</v>
      </c>
      <c r="L520" s="105" t="s">
        <v>99</v>
      </c>
      <c r="M520" s="17" t="str">
        <f>VLOOKUP(RiskRegister[[#This Row],[Inherent Impact LevelL3:L1020D1007L3:L1019]],'Rating factors'!$F$4:$G$9,2,FALSE)</f>
        <v>--- Error ---</v>
      </c>
      <c r="N520" s="16" t="s">
        <v>79</v>
      </c>
      <c r="O520" s="17" t="str">
        <f>VLOOKUP(RiskRegister[[#This Row],[Inherent Likelihood Level]],'Rating factors'!$F$16:$G$21,2,FALSE)</f>
        <v>--- Error ---</v>
      </c>
      <c r="P520" s="17" t="str">
        <f>IFERROR(VLOOKUP(RiskRegister[[#This Row],[Inherent Risk Rating]],'Rating factors'!$F$30:$G$44,2,FALSE),"-- Error --")</f>
        <v>-- Error --</v>
      </c>
      <c r="Q520" s="17" t="str">
        <f>IFERROR(RiskRegister[[#This Row],[Inherent Impact Rating]]*RiskRegister[[#This Row],[Inherent Likelihood Rating]],"-- Error --")</f>
        <v>-- Error --</v>
      </c>
      <c r="R520" s="16" t="s">
        <v>98</v>
      </c>
      <c r="T520" s="16" t="s">
        <v>99</v>
      </c>
      <c r="U520" s="17" t="e" cm="1">
        <f t="array" aca="1" ref="U520" ca="1">+U520:Y1019VLOOKUP(RiskRegister[[#This Row],[Residual Impact Level]],'Rating factors'!$F$4:$G$9,2,FALSE)</f>
        <v>#NAME?</v>
      </c>
      <c r="V520" s="16" t="s">
        <v>79</v>
      </c>
      <c r="W520" s="17" t="str">
        <f>VLOOKUP(RiskRegister[[#This Row],[Residual Likelihood Level]],'Rating factors'!$F$16:$G$21,2,FALSE)</f>
        <v>--- Error ---</v>
      </c>
      <c r="X520" s="17" t="str">
        <f ca="1">IFERROR(VLOOKUP(RiskRegister[[#This Row],[Residual Risk Rating]],'Rating factors'!$F$30:$G$44,2,FALSE),"-- Error --")</f>
        <v>-- Error --</v>
      </c>
      <c r="Y520" s="17" t="str">
        <f ca="1">IFERROR(RiskRegister[[#This Row],[Residual Impact Rating]]*RiskRegister[[#This Row],[Residual Likelihood Rating]],"-- Error --")</f>
        <v>-- Error --</v>
      </c>
      <c r="Z520" s="16" t="s">
        <v>100</v>
      </c>
      <c r="AB520" s="39"/>
      <c r="AD520" s="20"/>
    </row>
    <row r="521" spans="1:30" s="16" customFormat="1" hidden="1" x14ac:dyDescent="0.25">
      <c r="A521" s="16">
        <v>518</v>
      </c>
      <c r="G521" s="16" t="s">
        <v>77</v>
      </c>
      <c r="I521" s="16" t="s">
        <v>75</v>
      </c>
      <c r="L521" s="105" t="s">
        <v>99</v>
      </c>
      <c r="M521" s="17" t="str">
        <f>VLOOKUP(RiskRegister[[#This Row],[Inherent Impact LevelL3:L1020D1007L3:L1019]],'Rating factors'!$F$4:$G$9,2,FALSE)</f>
        <v>--- Error ---</v>
      </c>
      <c r="N521" s="16" t="s">
        <v>79</v>
      </c>
      <c r="O521" s="17" t="str">
        <f>VLOOKUP(RiskRegister[[#This Row],[Inherent Likelihood Level]],'Rating factors'!$F$16:$G$21,2,FALSE)</f>
        <v>--- Error ---</v>
      </c>
      <c r="P521" s="17" t="str">
        <f>IFERROR(VLOOKUP(RiskRegister[[#This Row],[Inherent Risk Rating]],'Rating factors'!$F$30:$G$44,2,FALSE),"-- Error --")</f>
        <v>-- Error --</v>
      </c>
      <c r="Q521" s="17" t="str">
        <f>IFERROR(RiskRegister[[#This Row],[Inherent Impact Rating]]*RiskRegister[[#This Row],[Inherent Likelihood Rating]],"-- Error --")</f>
        <v>-- Error --</v>
      </c>
      <c r="R521" s="16" t="s">
        <v>98</v>
      </c>
      <c r="T521" s="16" t="s">
        <v>99</v>
      </c>
      <c r="U521" s="17" t="e" cm="1">
        <f t="array" aca="1" ref="U521" ca="1">+U521:Y1019VLOOKUP(RiskRegister[[#This Row],[Residual Impact Level]],'Rating factors'!$F$4:$G$9,2,FALSE)</f>
        <v>#NAME?</v>
      </c>
      <c r="V521" s="16" t="s">
        <v>79</v>
      </c>
      <c r="W521" s="17" t="str">
        <f>VLOOKUP(RiskRegister[[#This Row],[Residual Likelihood Level]],'Rating factors'!$F$16:$G$21,2,FALSE)</f>
        <v>--- Error ---</v>
      </c>
      <c r="X521" s="17" t="str">
        <f ca="1">IFERROR(VLOOKUP(RiskRegister[[#This Row],[Residual Risk Rating]],'Rating factors'!$F$30:$G$44,2,FALSE),"-- Error --")</f>
        <v>-- Error --</v>
      </c>
      <c r="Y521" s="17" t="str">
        <f ca="1">IFERROR(RiskRegister[[#This Row],[Residual Impact Rating]]*RiskRegister[[#This Row],[Residual Likelihood Rating]],"-- Error --")</f>
        <v>-- Error --</v>
      </c>
      <c r="Z521" s="16" t="s">
        <v>100</v>
      </c>
      <c r="AB521" s="39"/>
      <c r="AD521" s="20"/>
    </row>
    <row r="522" spans="1:30" s="16" customFormat="1" hidden="1" x14ac:dyDescent="0.25">
      <c r="A522" s="16">
        <v>519</v>
      </c>
      <c r="G522" s="16" t="s">
        <v>77</v>
      </c>
      <c r="I522" s="16" t="s">
        <v>75</v>
      </c>
      <c r="L522" s="105" t="s">
        <v>99</v>
      </c>
      <c r="M522" s="17" t="str">
        <f>VLOOKUP(RiskRegister[[#This Row],[Inherent Impact LevelL3:L1020D1007L3:L1019]],'Rating factors'!$F$4:$G$9,2,FALSE)</f>
        <v>--- Error ---</v>
      </c>
      <c r="N522" s="16" t="s">
        <v>79</v>
      </c>
      <c r="O522" s="17" t="str">
        <f>VLOOKUP(RiskRegister[[#This Row],[Inherent Likelihood Level]],'Rating factors'!$F$16:$G$21,2,FALSE)</f>
        <v>--- Error ---</v>
      </c>
      <c r="P522" s="17" t="str">
        <f>IFERROR(VLOOKUP(RiskRegister[[#This Row],[Inherent Risk Rating]],'Rating factors'!$F$30:$G$44,2,FALSE),"-- Error --")</f>
        <v>-- Error --</v>
      </c>
      <c r="Q522" s="17" t="str">
        <f>IFERROR(RiskRegister[[#This Row],[Inherent Impact Rating]]*RiskRegister[[#This Row],[Inherent Likelihood Rating]],"-- Error --")</f>
        <v>-- Error --</v>
      </c>
      <c r="R522" s="16" t="s">
        <v>98</v>
      </c>
      <c r="T522" s="16" t="s">
        <v>99</v>
      </c>
      <c r="U522" s="17" t="e" cm="1">
        <f t="array" aca="1" ref="U522" ca="1">+U522:Y1019VLOOKUP(RiskRegister[[#This Row],[Residual Impact Level]],'Rating factors'!$F$4:$G$9,2,FALSE)</f>
        <v>#NAME?</v>
      </c>
      <c r="V522" s="16" t="s">
        <v>79</v>
      </c>
      <c r="W522" s="17" t="str">
        <f>VLOOKUP(RiskRegister[[#This Row],[Residual Likelihood Level]],'Rating factors'!$F$16:$G$21,2,FALSE)</f>
        <v>--- Error ---</v>
      </c>
      <c r="X522" s="17" t="str">
        <f ca="1">IFERROR(VLOOKUP(RiskRegister[[#This Row],[Residual Risk Rating]],'Rating factors'!$F$30:$G$44,2,FALSE),"-- Error --")</f>
        <v>-- Error --</v>
      </c>
      <c r="Y522" s="17" t="str">
        <f ca="1">IFERROR(RiskRegister[[#This Row],[Residual Impact Rating]]*RiskRegister[[#This Row],[Residual Likelihood Rating]],"-- Error --")</f>
        <v>-- Error --</v>
      </c>
      <c r="Z522" s="16" t="s">
        <v>100</v>
      </c>
      <c r="AB522" s="39"/>
      <c r="AD522" s="20"/>
    </row>
    <row r="523" spans="1:30" s="16" customFormat="1" hidden="1" x14ac:dyDescent="0.25">
      <c r="A523" s="16">
        <v>520</v>
      </c>
      <c r="G523" s="16" t="s">
        <v>77</v>
      </c>
      <c r="I523" s="16" t="s">
        <v>75</v>
      </c>
      <c r="L523" s="105" t="s">
        <v>99</v>
      </c>
      <c r="M523" s="17" t="str">
        <f>VLOOKUP(RiskRegister[[#This Row],[Inherent Impact LevelL3:L1020D1007L3:L1019]],'Rating factors'!$F$4:$G$9,2,FALSE)</f>
        <v>--- Error ---</v>
      </c>
      <c r="N523" s="16" t="s">
        <v>79</v>
      </c>
      <c r="O523" s="17" t="str">
        <f>VLOOKUP(RiskRegister[[#This Row],[Inherent Likelihood Level]],'Rating factors'!$F$16:$G$21,2,FALSE)</f>
        <v>--- Error ---</v>
      </c>
      <c r="P523" s="17" t="str">
        <f>IFERROR(VLOOKUP(RiskRegister[[#This Row],[Inherent Risk Rating]],'Rating factors'!$F$30:$G$44,2,FALSE),"-- Error --")</f>
        <v>-- Error --</v>
      </c>
      <c r="Q523" s="17" t="str">
        <f>IFERROR(RiskRegister[[#This Row],[Inherent Impact Rating]]*RiskRegister[[#This Row],[Inherent Likelihood Rating]],"-- Error --")</f>
        <v>-- Error --</v>
      </c>
      <c r="R523" s="16" t="s">
        <v>98</v>
      </c>
      <c r="T523" s="16" t="s">
        <v>99</v>
      </c>
      <c r="U523" s="17" t="e" cm="1">
        <f t="array" aca="1" ref="U523" ca="1">+U523:Y1019VLOOKUP(RiskRegister[[#This Row],[Residual Impact Level]],'Rating factors'!$F$4:$G$9,2,FALSE)</f>
        <v>#NAME?</v>
      </c>
      <c r="V523" s="16" t="s">
        <v>79</v>
      </c>
      <c r="W523" s="17" t="str">
        <f>VLOOKUP(RiskRegister[[#This Row],[Residual Likelihood Level]],'Rating factors'!$F$16:$G$21,2,FALSE)</f>
        <v>--- Error ---</v>
      </c>
      <c r="X523" s="17" t="str">
        <f ca="1">IFERROR(VLOOKUP(RiskRegister[[#This Row],[Residual Risk Rating]],'Rating factors'!$F$30:$G$44,2,FALSE),"-- Error --")</f>
        <v>-- Error --</v>
      </c>
      <c r="Y523" s="17" t="str">
        <f ca="1">IFERROR(RiskRegister[[#This Row],[Residual Impact Rating]]*RiskRegister[[#This Row],[Residual Likelihood Rating]],"-- Error --")</f>
        <v>-- Error --</v>
      </c>
      <c r="Z523" s="16" t="s">
        <v>100</v>
      </c>
      <c r="AB523" s="39"/>
      <c r="AD523" s="20"/>
    </row>
    <row r="524" spans="1:30" s="16" customFormat="1" hidden="1" x14ac:dyDescent="0.25">
      <c r="A524" s="16">
        <v>521</v>
      </c>
      <c r="G524" s="16" t="s">
        <v>77</v>
      </c>
      <c r="I524" s="16" t="s">
        <v>75</v>
      </c>
      <c r="L524" s="105" t="s">
        <v>99</v>
      </c>
      <c r="M524" s="17" t="str">
        <f>VLOOKUP(RiskRegister[[#This Row],[Inherent Impact LevelL3:L1020D1007L3:L1019]],'Rating factors'!$F$4:$G$9,2,FALSE)</f>
        <v>--- Error ---</v>
      </c>
      <c r="N524" s="16" t="s">
        <v>79</v>
      </c>
      <c r="O524" s="17" t="str">
        <f>VLOOKUP(RiskRegister[[#This Row],[Inherent Likelihood Level]],'Rating factors'!$F$16:$G$21,2,FALSE)</f>
        <v>--- Error ---</v>
      </c>
      <c r="P524" s="17" t="str">
        <f>IFERROR(VLOOKUP(RiskRegister[[#This Row],[Inherent Risk Rating]],'Rating factors'!$F$30:$G$44,2,FALSE),"-- Error --")</f>
        <v>-- Error --</v>
      </c>
      <c r="Q524" s="17" t="str">
        <f>IFERROR(RiskRegister[[#This Row],[Inherent Impact Rating]]*RiskRegister[[#This Row],[Inherent Likelihood Rating]],"-- Error --")</f>
        <v>-- Error --</v>
      </c>
      <c r="R524" s="16" t="s">
        <v>98</v>
      </c>
      <c r="T524" s="16" t="s">
        <v>99</v>
      </c>
      <c r="U524" s="17" t="e" cm="1">
        <f t="array" aca="1" ref="U524" ca="1">+U524:Y1019VLOOKUP(RiskRegister[[#This Row],[Residual Impact Level]],'Rating factors'!$F$4:$G$9,2,FALSE)</f>
        <v>#NAME?</v>
      </c>
      <c r="V524" s="16" t="s">
        <v>79</v>
      </c>
      <c r="W524" s="17" t="str">
        <f>VLOOKUP(RiskRegister[[#This Row],[Residual Likelihood Level]],'Rating factors'!$F$16:$G$21,2,FALSE)</f>
        <v>--- Error ---</v>
      </c>
      <c r="X524" s="17" t="str">
        <f ca="1">IFERROR(VLOOKUP(RiskRegister[[#This Row],[Residual Risk Rating]],'Rating factors'!$F$30:$G$44,2,FALSE),"-- Error --")</f>
        <v>-- Error --</v>
      </c>
      <c r="Y524" s="17" t="str">
        <f ca="1">IFERROR(RiskRegister[[#This Row],[Residual Impact Rating]]*RiskRegister[[#This Row],[Residual Likelihood Rating]],"-- Error --")</f>
        <v>-- Error --</v>
      </c>
      <c r="Z524" s="16" t="s">
        <v>100</v>
      </c>
      <c r="AB524" s="39"/>
      <c r="AD524" s="20"/>
    </row>
    <row r="525" spans="1:30" s="16" customFormat="1" hidden="1" x14ac:dyDescent="0.25">
      <c r="A525" s="16">
        <v>522</v>
      </c>
      <c r="G525" s="16" t="s">
        <v>77</v>
      </c>
      <c r="I525" s="16" t="s">
        <v>75</v>
      </c>
      <c r="L525" s="105" t="s">
        <v>99</v>
      </c>
      <c r="M525" s="17" t="str">
        <f>VLOOKUP(RiskRegister[[#This Row],[Inherent Impact LevelL3:L1020D1007L3:L1019]],'Rating factors'!$F$4:$G$9,2,FALSE)</f>
        <v>--- Error ---</v>
      </c>
      <c r="N525" s="16" t="s">
        <v>79</v>
      </c>
      <c r="O525" s="17" t="str">
        <f>VLOOKUP(RiskRegister[[#This Row],[Inherent Likelihood Level]],'Rating factors'!$F$16:$G$21,2,FALSE)</f>
        <v>--- Error ---</v>
      </c>
      <c r="P525" s="17" t="str">
        <f>IFERROR(VLOOKUP(RiskRegister[[#This Row],[Inherent Risk Rating]],'Rating factors'!$F$30:$G$44,2,FALSE),"-- Error --")</f>
        <v>-- Error --</v>
      </c>
      <c r="Q525" s="17" t="str">
        <f>IFERROR(RiskRegister[[#This Row],[Inherent Impact Rating]]*RiskRegister[[#This Row],[Inherent Likelihood Rating]],"-- Error --")</f>
        <v>-- Error --</v>
      </c>
      <c r="R525" s="16" t="s">
        <v>98</v>
      </c>
      <c r="T525" s="16" t="s">
        <v>99</v>
      </c>
      <c r="U525" s="17" t="e" cm="1">
        <f t="array" aca="1" ref="U525" ca="1">+U525:Y1019VLOOKUP(RiskRegister[[#This Row],[Residual Impact Level]],'Rating factors'!$F$4:$G$9,2,FALSE)</f>
        <v>#NAME?</v>
      </c>
      <c r="V525" s="16" t="s">
        <v>79</v>
      </c>
      <c r="W525" s="17" t="str">
        <f>VLOOKUP(RiskRegister[[#This Row],[Residual Likelihood Level]],'Rating factors'!$F$16:$G$21,2,FALSE)</f>
        <v>--- Error ---</v>
      </c>
      <c r="X525" s="17" t="str">
        <f ca="1">IFERROR(VLOOKUP(RiskRegister[[#This Row],[Residual Risk Rating]],'Rating factors'!$F$30:$G$44,2,FALSE),"-- Error --")</f>
        <v>-- Error --</v>
      </c>
      <c r="Y525" s="17" t="str">
        <f ca="1">IFERROR(RiskRegister[[#This Row],[Residual Impact Rating]]*RiskRegister[[#This Row],[Residual Likelihood Rating]],"-- Error --")</f>
        <v>-- Error --</v>
      </c>
      <c r="Z525" s="16" t="s">
        <v>100</v>
      </c>
      <c r="AB525" s="39"/>
      <c r="AD525" s="20"/>
    </row>
    <row r="526" spans="1:30" s="16" customFormat="1" hidden="1" x14ac:dyDescent="0.25">
      <c r="A526" s="16">
        <v>523</v>
      </c>
      <c r="G526" s="16" t="s">
        <v>77</v>
      </c>
      <c r="I526" s="16" t="s">
        <v>75</v>
      </c>
      <c r="L526" s="105" t="s">
        <v>99</v>
      </c>
      <c r="M526" s="17" t="str">
        <f>VLOOKUP(RiskRegister[[#This Row],[Inherent Impact LevelL3:L1020D1007L3:L1019]],'Rating factors'!$F$4:$G$9,2,FALSE)</f>
        <v>--- Error ---</v>
      </c>
      <c r="N526" s="16" t="s">
        <v>79</v>
      </c>
      <c r="O526" s="17" t="str">
        <f>VLOOKUP(RiskRegister[[#This Row],[Inherent Likelihood Level]],'Rating factors'!$F$16:$G$21,2,FALSE)</f>
        <v>--- Error ---</v>
      </c>
      <c r="P526" s="17" t="str">
        <f>IFERROR(VLOOKUP(RiskRegister[[#This Row],[Inherent Risk Rating]],'Rating factors'!$F$30:$G$44,2,FALSE),"-- Error --")</f>
        <v>-- Error --</v>
      </c>
      <c r="Q526" s="17" t="str">
        <f>IFERROR(RiskRegister[[#This Row],[Inherent Impact Rating]]*RiskRegister[[#This Row],[Inherent Likelihood Rating]],"-- Error --")</f>
        <v>-- Error --</v>
      </c>
      <c r="R526" s="16" t="s">
        <v>98</v>
      </c>
      <c r="T526" s="16" t="s">
        <v>99</v>
      </c>
      <c r="U526" s="17" t="e" cm="1">
        <f t="array" aca="1" ref="U526" ca="1">+U526:Y1019VLOOKUP(RiskRegister[[#This Row],[Residual Impact Level]],'Rating factors'!$F$4:$G$9,2,FALSE)</f>
        <v>#NAME?</v>
      </c>
      <c r="V526" s="16" t="s">
        <v>79</v>
      </c>
      <c r="W526" s="17" t="str">
        <f>VLOOKUP(RiskRegister[[#This Row],[Residual Likelihood Level]],'Rating factors'!$F$16:$G$21,2,FALSE)</f>
        <v>--- Error ---</v>
      </c>
      <c r="X526" s="17" t="str">
        <f ca="1">IFERROR(VLOOKUP(RiskRegister[[#This Row],[Residual Risk Rating]],'Rating factors'!$F$30:$G$44,2,FALSE),"-- Error --")</f>
        <v>-- Error --</v>
      </c>
      <c r="Y526" s="17" t="str">
        <f ca="1">IFERROR(RiskRegister[[#This Row],[Residual Impact Rating]]*RiskRegister[[#This Row],[Residual Likelihood Rating]],"-- Error --")</f>
        <v>-- Error --</v>
      </c>
      <c r="Z526" s="16" t="s">
        <v>100</v>
      </c>
      <c r="AB526" s="39"/>
      <c r="AD526" s="20"/>
    </row>
    <row r="527" spans="1:30" s="16" customFormat="1" hidden="1" x14ac:dyDescent="0.25">
      <c r="A527" s="16">
        <v>524</v>
      </c>
      <c r="G527" s="16" t="s">
        <v>77</v>
      </c>
      <c r="I527" s="16" t="s">
        <v>75</v>
      </c>
      <c r="L527" s="105" t="s">
        <v>99</v>
      </c>
      <c r="M527" s="17" t="str">
        <f>VLOOKUP(RiskRegister[[#This Row],[Inherent Impact LevelL3:L1020D1007L3:L1019]],'Rating factors'!$F$4:$G$9,2,FALSE)</f>
        <v>--- Error ---</v>
      </c>
      <c r="N527" s="16" t="s">
        <v>79</v>
      </c>
      <c r="O527" s="17" t="str">
        <f>VLOOKUP(RiskRegister[[#This Row],[Inherent Likelihood Level]],'Rating factors'!$F$16:$G$21,2,FALSE)</f>
        <v>--- Error ---</v>
      </c>
      <c r="P527" s="17" t="str">
        <f>IFERROR(VLOOKUP(RiskRegister[[#This Row],[Inherent Risk Rating]],'Rating factors'!$F$30:$G$44,2,FALSE),"-- Error --")</f>
        <v>-- Error --</v>
      </c>
      <c r="Q527" s="17" t="str">
        <f>IFERROR(RiskRegister[[#This Row],[Inherent Impact Rating]]*RiskRegister[[#This Row],[Inherent Likelihood Rating]],"-- Error --")</f>
        <v>-- Error --</v>
      </c>
      <c r="R527" s="16" t="s">
        <v>98</v>
      </c>
      <c r="T527" s="16" t="s">
        <v>99</v>
      </c>
      <c r="U527" s="17" t="e" cm="1">
        <f t="array" aca="1" ref="U527" ca="1">+U527:Y1019VLOOKUP(RiskRegister[[#This Row],[Residual Impact Level]],'Rating factors'!$F$4:$G$9,2,FALSE)</f>
        <v>#NAME?</v>
      </c>
      <c r="V527" s="16" t="s">
        <v>79</v>
      </c>
      <c r="W527" s="17" t="str">
        <f>VLOOKUP(RiskRegister[[#This Row],[Residual Likelihood Level]],'Rating factors'!$F$16:$G$21,2,FALSE)</f>
        <v>--- Error ---</v>
      </c>
      <c r="X527" s="17" t="str">
        <f ca="1">IFERROR(VLOOKUP(RiskRegister[[#This Row],[Residual Risk Rating]],'Rating factors'!$F$30:$G$44,2,FALSE),"-- Error --")</f>
        <v>-- Error --</v>
      </c>
      <c r="Y527" s="17" t="str">
        <f ca="1">IFERROR(RiskRegister[[#This Row],[Residual Impact Rating]]*RiskRegister[[#This Row],[Residual Likelihood Rating]],"-- Error --")</f>
        <v>-- Error --</v>
      </c>
      <c r="Z527" s="16" t="s">
        <v>100</v>
      </c>
      <c r="AB527" s="39"/>
      <c r="AD527" s="20"/>
    </row>
    <row r="528" spans="1:30" s="16" customFormat="1" hidden="1" x14ac:dyDescent="0.25">
      <c r="A528" s="16">
        <v>525</v>
      </c>
      <c r="G528" s="16" t="s">
        <v>77</v>
      </c>
      <c r="I528" s="16" t="s">
        <v>75</v>
      </c>
      <c r="L528" s="105" t="s">
        <v>99</v>
      </c>
      <c r="M528" s="17" t="str">
        <f>VLOOKUP(RiskRegister[[#This Row],[Inherent Impact LevelL3:L1020D1007L3:L1019]],'Rating factors'!$F$4:$G$9,2,FALSE)</f>
        <v>--- Error ---</v>
      </c>
      <c r="N528" s="16" t="s">
        <v>79</v>
      </c>
      <c r="O528" s="17" t="str">
        <f>VLOOKUP(RiskRegister[[#This Row],[Inherent Likelihood Level]],'Rating factors'!$F$16:$G$21,2,FALSE)</f>
        <v>--- Error ---</v>
      </c>
      <c r="P528" s="17" t="str">
        <f>IFERROR(VLOOKUP(RiskRegister[[#This Row],[Inherent Risk Rating]],'Rating factors'!$F$30:$G$44,2,FALSE),"-- Error --")</f>
        <v>-- Error --</v>
      </c>
      <c r="Q528" s="17" t="str">
        <f>IFERROR(RiskRegister[[#This Row],[Inherent Impact Rating]]*RiskRegister[[#This Row],[Inherent Likelihood Rating]],"-- Error --")</f>
        <v>-- Error --</v>
      </c>
      <c r="R528" s="16" t="s">
        <v>98</v>
      </c>
      <c r="T528" s="16" t="s">
        <v>99</v>
      </c>
      <c r="U528" s="17" t="e" cm="1">
        <f t="array" aca="1" ref="U528" ca="1">+U528:Y1019VLOOKUP(RiskRegister[[#This Row],[Residual Impact Level]],'Rating factors'!$F$4:$G$9,2,FALSE)</f>
        <v>#NAME?</v>
      </c>
      <c r="V528" s="16" t="s">
        <v>79</v>
      </c>
      <c r="W528" s="17" t="str">
        <f>VLOOKUP(RiskRegister[[#This Row],[Residual Likelihood Level]],'Rating factors'!$F$16:$G$21,2,FALSE)</f>
        <v>--- Error ---</v>
      </c>
      <c r="X528" s="17" t="str">
        <f ca="1">IFERROR(VLOOKUP(RiskRegister[[#This Row],[Residual Risk Rating]],'Rating factors'!$F$30:$G$44,2,FALSE),"-- Error --")</f>
        <v>-- Error --</v>
      </c>
      <c r="Y528" s="17" t="str">
        <f ca="1">IFERROR(RiskRegister[[#This Row],[Residual Impact Rating]]*RiskRegister[[#This Row],[Residual Likelihood Rating]],"-- Error --")</f>
        <v>-- Error --</v>
      </c>
      <c r="Z528" s="16" t="s">
        <v>100</v>
      </c>
      <c r="AB528" s="39"/>
      <c r="AD528" s="20"/>
    </row>
    <row r="529" spans="1:30" s="16" customFormat="1" hidden="1" x14ac:dyDescent="0.25">
      <c r="A529" s="16">
        <v>526</v>
      </c>
      <c r="G529" s="16" t="s">
        <v>77</v>
      </c>
      <c r="I529" s="16" t="s">
        <v>75</v>
      </c>
      <c r="L529" s="105" t="s">
        <v>99</v>
      </c>
      <c r="M529" s="17" t="str">
        <f>VLOOKUP(RiskRegister[[#This Row],[Inherent Impact LevelL3:L1020D1007L3:L1019]],'Rating factors'!$F$4:$G$9,2,FALSE)</f>
        <v>--- Error ---</v>
      </c>
      <c r="N529" s="16" t="s">
        <v>79</v>
      </c>
      <c r="O529" s="17" t="str">
        <f>VLOOKUP(RiskRegister[[#This Row],[Inherent Likelihood Level]],'Rating factors'!$F$16:$G$21,2,FALSE)</f>
        <v>--- Error ---</v>
      </c>
      <c r="P529" s="17" t="str">
        <f>IFERROR(VLOOKUP(RiskRegister[[#This Row],[Inherent Risk Rating]],'Rating factors'!$F$30:$G$44,2,FALSE),"-- Error --")</f>
        <v>-- Error --</v>
      </c>
      <c r="Q529" s="17" t="str">
        <f>IFERROR(RiskRegister[[#This Row],[Inherent Impact Rating]]*RiskRegister[[#This Row],[Inherent Likelihood Rating]],"-- Error --")</f>
        <v>-- Error --</v>
      </c>
      <c r="R529" s="16" t="s">
        <v>98</v>
      </c>
      <c r="T529" s="16" t="s">
        <v>99</v>
      </c>
      <c r="U529" s="17" t="e" cm="1">
        <f t="array" aca="1" ref="U529" ca="1">+U529:Y1019VLOOKUP(RiskRegister[[#This Row],[Residual Impact Level]],'Rating factors'!$F$4:$G$9,2,FALSE)</f>
        <v>#NAME?</v>
      </c>
      <c r="V529" s="16" t="s">
        <v>79</v>
      </c>
      <c r="W529" s="17" t="str">
        <f>VLOOKUP(RiskRegister[[#This Row],[Residual Likelihood Level]],'Rating factors'!$F$16:$G$21,2,FALSE)</f>
        <v>--- Error ---</v>
      </c>
      <c r="X529" s="17" t="str">
        <f ca="1">IFERROR(VLOOKUP(RiskRegister[[#This Row],[Residual Risk Rating]],'Rating factors'!$F$30:$G$44,2,FALSE),"-- Error --")</f>
        <v>-- Error --</v>
      </c>
      <c r="Y529" s="17" t="str">
        <f ca="1">IFERROR(RiskRegister[[#This Row],[Residual Impact Rating]]*RiskRegister[[#This Row],[Residual Likelihood Rating]],"-- Error --")</f>
        <v>-- Error --</v>
      </c>
      <c r="Z529" s="16" t="s">
        <v>100</v>
      </c>
      <c r="AB529" s="39"/>
      <c r="AD529" s="20"/>
    </row>
    <row r="530" spans="1:30" s="16" customFormat="1" hidden="1" x14ac:dyDescent="0.25">
      <c r="A530" s="16">
        <v>527</v>
      </c>
      <c r="G530" s="16" t="s">
        <v>77</v>
      </c>
      <c r="I530" s="16" t="s">
        <v>75</v>
      </c>
      <c r="L530" s="105" t="s">
        <v>99</v>
      </c>
      <c r="M530" s="17" t="str">
        <f>VLOOKUP(RiskRegister[[#This Row],[Inherent Impact LevelL3:L1020D1007L3:L1019]],'Rating factors'!$F$4:$G$9,2,FALSE)</f>
        <v>--- Error ---</v>
      </c>
      <c r="N530" s="16" t="s">
        <v>79</v>
      </c>
      <c r="O530" s="17" t="str">
        <f>VLOOKUP(RiskRegister[[#This Row],[Inherent Likelihood Level]],'Rating factors'!$F$16:$G$21,2,FALSE)</f>
        <v>--- Error ---</v>
      </c>
      <c r="P530" s="17" t="str">
        <f>IFERROR(VLOOKUP(RiskRegister[[#This Row],[Inherent Risk Rating]],'Rating factors'!$F$30:$G$44,2,FALSE),"-- Error --")</f>
        <v>-- Error --</v>
      </c>
      <c r="Q530" s="17" t="str">
        <f>IFERROR(RiskRegister[[#This Row],[Inherent Impact Rating]]*RiskRegister[[#This Row],[Inherent Likelihood Rating]],"-- Error --")</f>
        <v>-- Error --</v>
      </c>
      <c r="R530" s="16" t="s">
        <v>98</v>
      </c>
      <c r="T530" s="16" t="s">
        <v>99</v>
      </c>
      <c r="U530" s="17" t="e" cm="1">
        <f t="array" aca="1" ref="U530" ca="1">+U530:Y1019VLOOKUP(RiskRegister[[#This Row],[Residual Impact Level]],'Rating factors'!$F$4:$G$9,2,FALSE)</f>
        <v>#NAME?</v>
      </c>
      <c r="V530" s="16" t="s">
        <v>79</v>
      </c>
      <c r="W530" s="17" t="str">
        <f>VLOOKUP(RiskRegister[[#This Row],[Residual Likelihood Level]],'Rating factors'!$F$16:$G$21,2,FALSE)</f>
        <v>--- Error ---</v>
      </c>
      <c r="X530" s="17" t="str">
        <f ca="1">IFERROR(VLOOKUP(RiskRegister[[#This Row],[Residual Risk Rating]],'Rating factors'!$F$30:$G$44,2,FALSE),"-- Error --")</f>
        <v>-- Error --</v>
      </c>
      <c r="Y530" s="17" t="str">
        <f ca="1">IFERROR(RiskRegister[[#This Row],[Residual Impact Rating]]*RiskRegister[[#This Row],[Residual Likelihood Rating]],"-- Error --")</f>
        <v>-- Error --</v>
      </c>
      <c r="Z530" s="16" t="s">
        <v>100</v>
      </c>
      <c r="AB530" s="39"/>
      <c r="AD530" s="20"/>
    </row>
    <row r="531" spans="1:30" s="16" customFormat="1" hidden="1" x14ac:dyDescent="0.25">
      <c r="A531" s="16">
        <v>528</v>
      </c>
      <c r="G531" s="16" t="s">
        <v>77</v>
      </c>
      <c r="I531" s="16" t="s">
        <v>75</v>
      </c>
      <c r="L531" s="105" t="s">
        <v>99</v>
      </c>
      <c r="M531" s="17" t="str">
        <f>VLOOKUP(RiskRegister[[#This Row],[Inherent Impact LevelL3:L1020D1007L3:L1019]],'Rating factors'!$F$4:$G$9,2,FALSE)</f>
        <v>--- Error ---</v>
      </c>
      <c r="N531" s="16" t="s">
        <v>79</v>
      </c>
      <c r="O531" s="17" t="str">
        <f>VLOOKUP(RiskRegister[[#This Row],[Inherent Likelihood Level]],'Rating factors'!$F$16:$G$21,2,FALSE)</f>
        <v>--- Error ---</v>
      </c>
      <c r="P531" s="17" t="str">
        <f>IFERROR(VLOOKUP(RiskRegister[[#This Row],[Inherent Risk Rating]],'Rating factors'!$F$30:$G$44,2,FALSE),"-- Error --")</f>
        <v>-- Error --</v>
      </c>
      <c r="Q531" s="17" t="str">
        <f>IFERROR(RiskRegister[[#This Row],[Inherent Impact Rating]]*RiskRegister[[#This Row],[Inherent Likelihood Rating]],"-- Error --")</f>
        <v>-- Error --</v>
      </c>
      <c r="R531" s="16" t="s">
        <v>98</v>
      </c>
      <c r="T531" s="16" t="s">
        <v>99</v>
      </c>
      <c r="U531" s="17" t="e" cm="1">
        <f t="array" aca="1" ref="U531" ca="1">+U531:Y1019VLOOKUP(RiskRegister[[#This Row],[Residual Impact Level]],'Rating factors'!$F$4:$G$9,2,FALSE)</f>
        <v>#NAME?</v>
      </c>
      <c r="V531" s="16" t="s">
        <v>79</v>
      </c>
      <c r="W531" s="17" t="str">
        <f>VLOOKUP(RiskRegister[[#This Row],[Residual Likelihood Level]],'Rating factors'!$F$16:$G$21,2,FALSE)</f>
        <v>--- Error ---</v>
      </c>
      <c r="X531" s="17" t="str">
        <f ca="1">IFERROR(VLOOKUP(RiskRegister[[#This Row],[Residual Risk Rating]],'Rating factors'!$F$30:$G$44,2,FALSE),"-- Error --")</f>
        <v>-- Error --</v>
      </c>
      <c r="Y531" s="17" t="str">
        <f ca="1">IFERROR(RiskRegister[[#This Row],[Residual Impact Rating]]*RiskRegister[[#This Row],[Residual Likelihood Rating]],"-- Error --")</f>
        <v>-- Error --</v>
      </c>
      <c r="Z531" s="16" t="s">
        <v>100</v>
      </c>
      <c r="AB531" s="39"/>
      <c r="AD531" s="20"/>
    </row>
    <row r="532" spans="1:30" s="16" customFormat="1" hidden="1" x14ac:dyDescent="0.25">
      <c r="A532" s="16">
        <v>529</v>
      </c>
      <c r="G532" s="16" t="s">
        <v>77</v>
      </c>
      <c r="I532" s="16" t="s">
        <v>75</v>
      </c>
      <c r="L532" s="105" t="s">
        <v>99</v>
      </c>
      <c r="M532" s="17" t="str">
        <f>VLOOKUP(RiskRegister[[#This Row],[Inherent Impact LevelL3:L1020D1007L3:L1019]],'Rating factors'!$F$4:$G$9,2,FALSE)</f>
        <v>--- Error ---</v>
      </c>
      <c r="N532" s="16" t="s">
        <v>79</v>
      </c>
      <c r="O532" s="17" t="str">
        <f>VLOOKUP(RiskRegister[[#This Row],[Inherent Likelihood Level]],'Rating factors'!$F$16:$G$21,2,FALSE)</f>
        <v>--- Error ---</v>
      </c>
      <c r="P532" s="17" t="str">
        <f>IFERROR(VLOOKUP(RiskRegister[[#This Row],[Inherent Risk Rating]],'Rating factors'!$F$30:$G$44,2,FALSE),"-- Error --")</f>
        <v>-- Error --</v>
      </c>
      <c r="Q532" s="17" t="str">
        <f>IFERROR(RiskRegister[[#This Row],[Inherent Impact Rating]]*RiskRegister[[#This Row],[Inherent Likelihood Rating]],"-- Error --")</f>
        <v>-- Error --</v>
      </c>
      <c r="R532" s="16" t="s">
        <v>98</v>
      </c>
      <c r="T532" s="16" t="s">
        <v>99</v>
      </c>
      <c r="U532" s="17" t="e" cm="1">
        <f t="array" aca="1" ref="U532" ca="1">+U532:Y1019VLOOKUP(RiskRegister[[#This Row],[Residual Impact Level]],'Rating factors'!$F$4:$G$9,2,FALSE)</f>
        <v>#NAME?</v>
      </c>
      <c r="V532" s="16" t="s">
        <v>79</v>
      </c>
      <c r="W532" s="17" t="str">
        <f>VLOOKUP(RiskRegister[[#This Row],[Residual Likelihood Level]],'Rating factors'!$F$16:$G$21,2,FALSE)</f>
        <v>--- Error ---</v>
      </c>
      <c r="X532" s="17" t="str">
        <f ca="1">IFERROR(VLOOKUP(RiskRegister[[#This Row],[Residual Risk Rating]],'Rating factors'!$F$30:$G$44,2,FALSE),"-- Error --")</f>
        <v>-- Error --</v>
      </c>
      <c r="Y532" s="17" t="str">
        <f ca="1">IFERROR(RiskRegister[[#This Row],[Residual Impact Rating]]*RiskRegister[[#This Row],[Residual Likelihood Rating]],"-- Error --")</f>
        <v>-- Error --</v>
      </c>
      <c r="Z532" s="16" t="s">
        <v>100</v>
      </c>
      <c r="AB532" s="39"/>
      <c r="AD532" s="20"/>
    </row>
    <row r="533" spans="1:30" s="16" customFormat="1" hidden="1" x14ac:dyDescent="0.25">
      <c r="A533" s="16">
        <v>530</v>
      </c>
      <c r="G533" s="16" t="s">
        <v>77</v>
      </c>
      <c r="I533" s="16" t="s">
        <v>75</v>
      </c>
      <c r="L533" s="105" t="s">
        <v>99</v>
      </c>
      <c r="M533" s="17" t="str">
        <f>VLOOKUP(RiskRegister[[#This Row],[Inherent Impact LevelL3:L1020D1007L3:L1019]],'Rating factors'!$F$4:$G$9,2,FALSE)</f>
        <v>--- Error ---</v>
      </c>
      <c r="N533" s="16" t="s">
        <v>79</v>
      </c>
      <c r="O533" s="17" t="str">
        <f>VLOOKUP(RiskRegister[[#This Row],[Inherent Likelihood Level]],'Rating factors'!$F$16:$G$21,2,FALSE)</f>
        <v>--- Error ---</v>
      </c>
      <c r="P533" s="17" t="str">
        <f>IFERROR(VLOOKUP(RiskRegister[[#This Row],[Inherent Risk Rating]],'Rating factors'!$F$30:$G$44,2,FALSE),"-- Error --")</f>
        <v>-- Error --</v>
      </c>
      <c r="Q533" s="17" t="str">
        <f>IFERROR(RiskRegister[[#This Row],[Inherent Impact Rating]]*RiskRegister[[#This Row],[Inherent Likelihood Rating]],"-- Error --")</f>
        <v>-- Error --</v>
      </c>
      <c r="R533" s="16" t="s">
        <v>98</v>
      </c>
      <c r="T533" s="16" t="s">
        <v>99</v>
      </c>
      <c r="U533" s="17" t="e" cm="1">
        <f t="array" aca="1" ref="U533" ca="1">+U533:Y1019VLOOKUP(RiskRegister[[#This Row],[Residual Impact Level]],'Rating factors'!$F$4:$G$9,2,FALSE)</f>
        <v>#NAME?</v>
      </c>
      <c r="V533" s="16" t="s">
        <v>79</v>
      </c>
      <c r="W533" s="17" t="str">
        <f>VLOOKUP(RiskRegister[[#This Row],[Residual Likelihood Level]],'Rating factors'!$F$16:$G$21,2,FALSE)</f>
        <v>--- Error ---</v>
      </c>
      <c r="X533" s="17" t="str">
        <f ca="1">IFERROR(VLOOKUP(RiskRegister[[#This Row],[Residual Risk Rating]],'Rating factors'!$F$30:$G$44,2,FALSE),"-- Error --")</f>
        <v>-- Error --</v>
      </c>
      <c r="Y533" s="17" t="str">
        <f ca="1">IFERROR(RiskRegister[[#This Row],[Residual Impact Rating]]*RiskRegister[[#This Row],[Residual Likelihood Rating]],"-- Error --")</f>
        <v>-- Error --</v>
      </c>
      <c r="Z533" s="16" t="s">
        <v>100</v>
      </c>
      <c r="AB533" s="39"/>
      <c r="AD533" s="20"/>
    </row>
    <row r="534" spans="1:30" s="16" customFormat="1" hidden="1" x14ac:dyDescent="0.25">
      <c r="A534" s="16">
        <v>531</v>
      </c>
      <c r="G534" s="16" t="s">
        <v>77</v>
      </c>
      <c r="I534" s="16" t="s">
        <v>75</v>
      </c>
      <c r="L534" s="105" t="s">
        <v>99</v>
      </c>
      <c r="M534" s="17" t="str">
        <f>VLOOKUP(RiskRegister[[#This Row],[Inherent Impact LevelL3:L1020D1007L3:L1019]],'Rating factors'!$F$4:$G$9,2,FALSE)</f>
        <v>--- Error ---</v>
      </c>
      <c r="N534" s="16" t="s">
        <v>79</v>
      </c>
      <c r="O534" s="17" t="str">
        <f>VLOOKUP(RiskRegister[[#This Row],[Inherent Likelihood Level]],'Rating factors'!$F$16:$G$21,2,FALSE)</f>
        <v>--- Error ---</v>
      </c>
      <c r="P534" s="17" t="str">
        <f>IFERROR(VLOOKUP(RiskRegister[[#This Row],[Inherent Risk Rating]],'Rating factors'!$F$30:$G$44,2,FALSE),"-- Error --")</f>
        <v>-- Error --</v>
      </c>
      <c r="Q534" s="17" t="str">
        <f>IFERROR(RiskRegister[[#This Row],[Inherent Impact Rating]]*RiskRegister[[#This Row],[Inherent Likelihood Rating]],"-- Error --")</f>
        <v>-- Error --</v>
      </c>
      <c r="R534" s="16" t="s">
        <v>98</v>
      </c>
      <c r="T534" s="16" t="s">
        <v>99</v>
      </c>
      <c r="U534" s="17" t="e" cm="1">
        <f t="array" aca="1" ref="U534" ca="1">+U534:Y1019VLOOKUP(RiskRegister[[#This Row],[Residual Impact Level]],'Rating factors'!$F$4:$G$9,2,FALSE)</f>
        <v>#NAME?</v>
      </c>
      <c r="V534" s="16" t="s">
        <v>79</v>
      </c>
      <c r="W534" s="17" t="str">
        <f>VLOOKUP(RiskRegister[[#This Row],[Residual Likelihood Level]],'Rating factors'!$F$16:$G$21,2,FALSE)</f>
        <v>--- Error ---</v>
      </c>
      <c r="X534" s="17" t="str">
        <f ca="1">IFERROR(VLOOKUP(RiskRegister[[#This Row],[Residual Risk Rating]],'Rating factors'!$F$30:$G$44,2,FALSE),"-- Error --")</f>
        <v>-- Error --</v>
      </c>
      <c r="Y534" s="17" t="str">
        <f ca="1">IFERROR(RiskRegister[[#This Row],[Residual Impact Rating]]*RiskRegister[[#This Row],[Residual Likelihood Rating]],"-- Error --")</f>
        <v>-- Error --</v>
      </c>
      <c r="Z534" s="16" t="s">
        <v>100</v>
      </c>
      <c r="AB534" s="39"/>
      <c r="AD534" s="20"/>
    </row>
    <row r="535" spans="1:30" s="16" customFormat="1" hidden="1" x14ac:dyDescent="0.25">
      <c r="A535" s="16">
        <v>532</v>
      </c>
      <c r="G535" s="16" t="s">
        <v>77</v>
      </c>
      <c r="I535" s="16" t="s">
        <v>75</v>
      </c>
      <c r="L535" s="105" t="s">
        <v>99</v>
      </c>
      <c r="M535" s="17" t="str">
        <f>VLOOKUP(RiskRegister[[#This Row],[Inherent Impact LevelL3:L1020D1007L3:L1019]],'Rating factors'!$F$4:$G$9,2,FALSE)</f>
        <v>--- Error ---</v>
      </c>
      <c r="N535" s="16" t="s">
        <v>79</v>
      </c>
      <c r="O535" s="17" t="str">
        <f>VLOOKUP(RiskRegister[[#This Row],[Inherent Likelihood Level]],'Rating factors'!$F$16:$G$21,2,FALSE)</f>
        <v>--- Error ---</v>
      </c>
      <c r="P535" s="17" t="str">
        <f>IFERROR(VLOOKUP(RiskRegister[[#This Row],[Inherent Risk Rating]],'Rating factors'!$F$30:$G$44,2,FALSE),"-- Error --")</f>
        <v>-- Error --</v>
      </c>
      <c r="Q535" s="17" t="str">
        <f>IFERROR(RiskRegister[[#This Row],[Inherent Impact Rating]]*RiskRegister[[#This Row],[Inherent Likelihood Rating]],"-- Error --")</f>
        <v>-- Error --</v>
      </c>
      <c r="R535" s="16" t="s">
        <v>98</v>
      </c>
      <c r="T535" s="16" t="s">
        <v>99</v>
      </c>
      <c r="U535" s="17" t="e" cm="1">
        <f t="array" aca="1" ref="U535" ca="1">+U535:Y1019VLOOKUP(RiskRegister[[#This Row],[Residual Impact Level]],'Rating factors'!$F$4:$G$9,2,FALSE)</f>
        <v>#NAME?</v>
      </c>
      <c r="V535" s="16" t="s">
        <v>79</v>
      </c>
      <c r="W535" s="17" t="str">
        <f>VLOOKUP(RiskRegister[[#This Row],[Residual Likelihood Level]],'Rating factors'!$F$16:$G$21,2,FALSE)</f>
        <v>--- Error ---</v>
      </c>
      <c r="X535" s="17" t="str">
        <f ca="1">IFERROR(VLOOKUP(RiskRegister[[#This Row],[Residual Risk Rating]],'Rating factors'!$F$30:$G$44,2,FALSE),"-- Error --")</f>
        <v>-- Error --</v>
      </c>
      <c r="Y535" s="17" t="str">
        <f ca="1">IFERROR(RiskRegister[[#This Row],[Residual Impact Rating]]*RiskRegister[[#This Row],[Residual Likelihood Rating]],"-- Error --")</f>
        <v>-- Error --</v>
      </c>
      <c r="Z535" s="16" t="s">
        <v>100</v>
      </c>
      <c r="AB535" s="39"/>
      <c r="AD535" s="20"/>
    </row>
    <row r="536" spans="1:30" s="16" customFormat="1" hidden="1" x14ac:dyDescent="0.25">
      <c r="A536" s="16">
        <v>533</v>
      </c>
      <c r="G536" s="16" t="s">
        <v>77</v>
      </c>
      <c r="I536" s="16" t="s">
        <v>75</v>
      </c>
      <c r="L536" s="105" t="s">
        <v>99</v>
      </c>
      <c r="M536" s="17" t="str">
        <f>VLOOKUP(RiskRegister[[#This Row],[Inherent Impact LevelL3:L1020D1007L3:L1019]],'Rating factors'!$F$4:$G$9,2,FALSE)</f>
        <v>--- Error ---</v>
      </c>
      <c r="N536" s="16" t="s">
        <v>79</v>
      </c>
      <c r="O536" s="17" t="str">
        <f>VLOOKUP(RiskRegister[[#This Row],[Inherent Likelihood Level]],'Rating factors'!$F$16:$G$21,2,FALSE)</f>
        <v>--- Error ---</v>
      </c>
      <c r="P536" s="17" t="str">
        <f>IFERROR(VLOOKUP(RiskRegister[[#This Row],[Inherent Risk Rating]],'Rating factors'!$F$30:$G$44,2,FALSE),"-- Error --")</f>
        <v>-- Error --</v>
      </c>
      <c r="Q536" s="17" t="str">
        <f>IFERROR(RiskRegister[[#This Row],[Inherent Impact Rating]]*RiskRegister[[#This Row],[Inherent Likelihood Rating]],"-- Error --")</f>
        <v>-- Error --</v>
      </c>
      <c r="R536" s="16" t="s">
        <v>98</v>
      </c>
      <c r="T536" s="16" t="s">
        <v>99</v>
      </c>
      <c r="U536" s="17" t="e" cm="1">
        <f t="array" aca="1" ref="U536" ca="1">+U536:Y1019VLOOKUP(RiskRegister[[#This Row],[Residual Impact Level]],'Rating factors'!$F$4:$G$9,2,FALSE)</f>
        <v>#NAME?</v>
      </c>
      <c r="V536" s="16" t="s">
        <v>79</v>
      </c>
      <c r="W536" s="17" t="str">
        <f>VLOOKUP(RiskRegister[[#This Row],[Residual Likelihood Level]],'Rating factors'!$F$16:$G$21,2,FALSE)</f>
        <v>--- Error ---</v>
      </c>
      <c r="X536" s="17" t="str">
        <f ca="1">IFERROR(VLOOKUP(RiskRegister[[#This Row],[Residual Risk Rating]],'Rating factors'!$F$30:$G$44,2,FALSE),"-- Error --")</f>
        <v>-- Error --</v>
      </c>
      <c r="Y536" s="17" t="str">
        <f ca="1">IFERROR(RiskRegister[[#This Row],[Residual Impact Rating]]*RiskRegister[[#This Row],[Residual Likelihood Rating]],"-- Error --")</f>
        <v>-- Error --</v>
      </c>
      <c r="Z536" s="16" t="s">
        <v>100</v>
      </c>
      <c r="AB536" s="39"/>
      <c r="AD536" s="20"/>
    </row>
    <row r="537" spans="1:30" s="16" customFormat="1" hidden="1" x14ac:dyDescent="0.25">
      <c r="A537" s="16">
        <v>534</v>
      </c>
      <c r="G537" s="16" t="s">
        <v>77</v>
      </c>
      <c r="I537" s="16" t="s">
        <v>75</v>
      </c>
      <c r="L537" s="105" t="s">
        <v>99</v>
      </c>
      <c r="M537" s="17" t="str">
        <f>VLOOKUP(RiskRegister[[#This Row],[Inherent Impact LevelL3:L1020D1007L3:L1019]],'Rating factors'!$F$4:$G$9,2,FALSE)</f>
        <v>--- Error ---</v>
      </c>
      <c r="N537" s="16" t="s">
        <v>79</v>
      </c>
      <c r="O537" s="17" t="str">
        <f>VLOOKUP(RiskRegister[[#This Row],[Inherent Likelihood Level]],'Rating factors'!$F$16:$G$21,2,FALSE)</f>
        <v>--- Error ---</v>
      </c>
      <c r="P537" s="17" t="str">
        <f>IFERROR(VLOOKUP(RiskRegister[[#This Row],[Inherent Risk Rating]],'Rating factors'!$F$30:$G$44,2,FALSE),"-- Error --")</f>
        <v>-- Error --</v>
      </c>
      <c r="Q537" s="17" t="str">
        <f>IFERROR(RiskRegister[[#This Row],[Inherent Impact Rating]]*RiskRegister[[#This Row],[Inherent Likelihood Rating]],"-- Error --")</f>
        <v>-- Error --</v>
      </c>
      <c r="R537" s="16" t="s">
        <v>98</v>
      </c>
      <c r="T537" s="16" t="s">
        <v>99</v>
      </c>
      <c r="U537" s="17" t="e" cm="1">
        <f t="array" aca="1" ref="U537" ca="1">+U537:Y1019VLOOKUP(RiskRegister[[#This Row],[Residual Impact Level]],'Rating factors'!$F$4:$G$9,2,FALSE)</f>
        <v>#NAME?</v>
      </c>
      <c r="V537" s="16" t="s">
        <v>79</v>
      </c>
      <c r="W537" s="17" t="str">
        <f>VLOOKUP(RiskRegister[[#This Row],[Residual Likelihood Level]],'Rating factors'!$F$16:$G$21,2,FALSE)</f>
        <v>--- Error ---</v>
      </c>
      <c r="X537" s="17" t="str">
        <f ca="1">IFERROR(VLOOKUP(RiskRegister[[#This Row],[Residual Risk Rating]],'Rating factors'!$F$30:$G$44,2,FALSE),"-- Error --")</f>
        <v>-- Error --</v>
      </c>
      <c r="Y537" s="17" t="str">
        <f ca="1">IFERROR(RiskRegister[[#This Row],[Residual Impact Rating]]*RiskRegister[[#This Row],[Residual Likelihood Rating]],"-- Error --")</f>
        <v>-- Error --</v>
      </c>
      <c r="Z537" s="16" t="s">
        <v>100</v>
      </c>
      <c r="AB537" s="39"/>
      <c r="AD537" s="20"/>
    </row>
    <row r="538" spans="1:30" s="16" customFormat="1" hidden="1" x14ac:dyDescent="0.25">
      <c r="A538" s="16">
        <v>535</v>
      </c>
      <c r="G538" s="16" t="s">
        <v>77</v>
      </c>
      <c r="I538" s="16" t="s">
        <v>75</v>
      </c>
      <c r="L538" s="105" t="s">
        <v>99</v>
      </c>
      <c r="M538" s="17" t="str">
        <f>VLOOKUP(RiskRegister[[#This Row],[Inherent Impact LevelL3:L1020D1007L3:L1019]],'Rating factors'!$F$4:$G$9,2,FALSE)</f>
        <v>--- Error ---</v>
      </c>
      <c r="N538" s="16" t="s">
        <v>79</v>
      </c>
      <c r="O538" s="17" t="str">
        <f>VLOOKUP(RiskRegister[[#This Row],[Inherent Likelihood Level]],'Rating factors'!$F$16:$G$21,2,FALSE)</f>
        <v>--- Error ---</v>
      </c>
      <c r="P538" s="17" t="str">
        <f>IFERROR(VLOOKUP(RiskRegister[[#This Row],[Inherent Risk Rating]],'Rating factors'!$F$30:$G$44,2,FALSE),"-- Error --")</f>
        <v>-- Error --</v>
      </c>
      <c r="Q538" s="17" t="str">
        <f>IFERROR(RiskRegister[[#This Row],[Inherent Impact Rating]]*RiskRegister[[#This Row],[Inherent Likelihood Rating]],"-- Error --")</f>
        <v>-- Error --</v>
      </c>
      <c r="R538" s="16" t="s">
        <v>98</v>
      </c>
      <c r="T538" s="16" t="s">
        <v>99</v>
      </c>
      <c r="U538" s="17" t="e" cm="1">
        <f t="array" aca="1" ref="U538" ca="1">+U538:Y1019VLOOKUP(RiskRegister[[#This Row],[Residual Impact Level]],'Rating factors'!$F$4:$G$9,2,FALSE)</f>
        <v>#NAME?</v>
      </c>
      <c r="V538" s="16" t="s">
        <v>79</v>
      </c>
      <c r="W538" s="17" t="str">
        <f>VLOOKUP(RiskRegister[[#This Row],[Residual Likelihood Level]],'Rating factors'!$F$16:$G$21,2,FALSE)</f>
        <v>--- Error ---</v>
      </c>
      <c r="X538" s="17" t="str">
        <f ca="1">IFERROR(VLOOKUP(RiskRegister[[#This Row],[Residual Risk Rating]],'Rating factors'!$F$30:$G$44,2,FALSE),"-- Error --")</f>
        <v>-- Error --</v>
      </c>
      <c r="Y538" s="17" t="str">
        <f ca="1">IFERROR(RiskRegister[[#This Row],[Residual Impact Rating]]*RiskRegister[[#This Row],[Residual Likelihood Rating]],"-- Error --")</f>
        <v>-- Error --</v>
      </c>
      <c r="Z538" s="16" t="s">
        <v>100</v>
      </c>
      <c r="AB538" s="39"/>
      <c r="AD538" s="20"/>
    </row>
    <row r="539" spans="1:30" s="16" customFormat="1" hidden="1" x14ac:dyDescent="0.25">
      <c r="A539" s="16">
        <v>536</v>
      </c>
      <c r="G539" s="16" t="s">
        <v>77</v>
      </c>
      <c r="I539" s="16" t="s">
        <v>75</v>
      </c>
      <c r="L539" s="105" t="s">
        <v>99</v>
      </c>
      <c r="M539" s="17" t="str">
        <f>VLOOKUP(RiskRegister[[#This Row],[Inherent Impact LevelL3:L1020D1007L3:L1019]],'Rating factors'!$F$4:$G$9,2,FALSE)</f>
        <v>--- Error ---</v>
      </c>
      <c r="N539" s="16" t="s">
        <v>79</v>
      </c>
      <c r="O539" s="17" t="str">
        <f>VLOOKUP(RiskRegister[[#This Row],[Inherent Likelihood Level]],'Rating factors'!$F$16:$G$21,2,FALSE)</f>
        <v>--- Error ---</v>
      </c>
      <c r="P539" s="17" t="str">
        <f>IFERROR(VLOOKUP(RiskRegister[[#This Row],[Inherent Risk Rating]],'Rating factors'!$F$30:$G$44,2,FALSE),"-- Error --")</f>
        <v>-- Error --</v>
      </c>
      <c r="Q539" s="17" t="str">
        <f>IFERROR(RiskRegister[[#This Row],[Inherent Impact Rating]]*RiskRegister[[#This Row],[Inherent Likelihood Rating]],"-- Error --")</f>
        <v>-- Error --</v>
      </c>
      <c r="R539" s="16" t="s">
        <v>98</v>
      </c>
      <c r="T539" s="16" t="s">
        <v>99</v>
      </c>
      <c r="U539" s="17" t="e" cm="1">
        <f t="array" aca="1" ref="U539" ca="1">+U539:Y1019VLOOKUP(RiskRegister[[#This Row],[Residual Impact Level]],'Rating factors'!$F$4:$G$9,2,FALSE)</f>
        <v>#NAME?</v>
      </c>
      <c r="V539" s="16" t="s">
        <v>79</v>
      </c>
      <c r="W539" s="17" t="str">
        <f>VLOOKUP(RiskRegister[[#This Row],[Residual Likelihood Level]],'Rating factors'!$F$16:$G$21,2,FALSE)</f>
        <v>--- Error ---</v>
      </c>
      <c r="X539" s="17" t="str">
        <f ca="1">IFERROR(VLOOKUP(RiskRegister[[#This Row],[Residual Risk Rating]],'Rating factors'!$F$30:$G$44,2,FALSE),"-- Error --")</f>
        <v>-- Error --</v>
      </c>
      <c r="Y539" s="17" t="str">
        <f ca="1">IFERROR(RiskRegister[[#This Row],[Residual Impact Rating]]*RiskRegister[[#This Row],[Residual Likelihood Rating]],"-- Error --")</f>
        <v>-- Error --</v>
      </c>
      <c r="Z539" s="16" t="s">
        <v>100</v>
      </c>
      <c r="AB539" s="39"/>
      <c r="AD539" s="20"/>
    </row>
    <row r="540" spans="1:30" s="16" customFormat="1" hidden="1" x14ac:dyDescent="0.25">
      <c r="A540" s="16">
        <v>537</v>
      </c>
      <c r="G540" s="16" t="s">
        <v>77</v>
      </c>
      <c r="I540" s="16" t="s">
        <v>75</v>
      </c>
      <c r="L540" s="105" t="s">
        <v>99</v>
      </c>
      <c r="M540" s="17" t="str">
        <f>VLOOKUP(RiskRegister[[#This Row],[Inherent Impact LevelL3:L1020D1007L3:L1019]],'Rating factors'!$F$4:$G$9,2,FALSE)</f>
        <v>--- Error ---</v>
      </c>
      <c r="N540" s="16" t="s">
        <v>79</v>
      </c>
      <c r="O540" s="17" t="str">
        <f>VLOOKUP(RiskRegister[[#This Row],[Inherent Likelihood Level]],'Rating factors'!$F$16:$G$21,2,FALSE)</f>
        <v>--- Error ---</v>
      </c>
      <c r="P540" s="17" t="str">
        <f>IFERROR(VLOOKUP(RiskRegister[[#This Row],[Inherent Risk Rating]],'Rating factors'!$F$30:$G$44,2,FALSE),"-- Error --")</f>
        <v>-- Error --</v>
      </c>
      <c r="Q540" s="17" t="str">
        <f>IFERROR(RiskRegister[[#This Row],[Inherent Impact Rating]]*RiskRegister[[#This Row],[Inherent Likelihood Rating]],"-- Error --")</f>
        <v>-- Error --</v>
      </c>
      <c r="R540" s="16" t="s">
        <v>98</v>
      </c>
      <c r="T540" s="16" t="s">
        <v>99</v>
      </c>
      <c r="U540" s="17" t="e" cm="1">
        <f t="array" aca="1" ref="U540" ca="1">+U540:Y1019VLOOKUP(RiskRegister[[#This Row],[Residual Impact Level]],'Rating factors'!$F$4:$G$9,2,FALSE)</f>
        <v>#NAME?</v>
      </c>
      <c r="V540" s="16" t="s">
        <v>79</v>
      </c>
      <c r="W540" s="17" t="str">
        <f>VLOOKUP(RiskRegister[[#This Row],[Residual Likelihood Level]],'Rating factors'!$F$16:$G$21,2,FALSE)</f>
        <v>--- Error ---</v>
      </c>
      <c r="X540" s="17" t="str">
        <f ca="1">IFERROR(VLOOKUP(RiskRegister[[#This Row],[Residual Risk Rating]],'Rating factors'!$F$30:$G$44,2,FALSE),"-- Error --")</f>
        <v>-- Error --</v>
      </c>
      <c r="Y540" s="17" t="str">
        <f ca="1">IFERROR(RiskRegister[[#This Row],[Residual Impact Rating]]*RiskRegister[[#This Row],[Residual Likelihood Rating]],"-- Error --")</f>
        <v>-- Error --</v>
      </c>
      <c r="Z540" s="16" t="s">
        <v>100</v>
      </c>
      <c r="AB540" s="39"/>
      <c r="AD540" s="20"/>
    </row>
    <row r="541" spans="1:30" s="16" customFormat="1" hidden="1" x14ac:dyDescent="0.25">
      <c r="A541" s="16">
        <v>538</v>
      </c>
      <c r="G541" s="16" t="s">
        <v>77</v>
      </c>
      <c r="I541" s="16" t="s">
        <v>75</v>
      </c>
      <c r="L541" s="105" t="s">
        <v>99</v>
      </c>
      <c r="M541" s="17" t="str">
        <f>VLOOKUP(RiskRegister[[#This Row],[Inherent Impact LevelL3:L1020D1007L3:L1019]],'Rating factors'!$F$4:$G$9,2,FALSE)</f>
        <v>--- Error ---</v>
      </c>
      <c r="N541" s="16" t="s">
        <v>79</v>
      </c>
      <c r="O541" s="17" t="str">
        <f>VLOOKUP(RiskRegister[[#This Row],[Inherent Likelihood Level]],'Rating factors'!$F$16:$G$21,2,FALSE)</f>
        <v>--- Error ---</v>
      </c>
      <c r="P541" s="17" t="str">
        <f>IFERROR(VLOOKUP(RiskRegister[[#This Row],[Inherent Risk Rating]],'Rating factors'!$F$30:$G$44,2,FALSE),"-- Error --")</f>
        <v>-- Error --</v>
      </c>
      <c r="Q541" s="17" t="str">
        <f>IFERROR(RiskRegister[[#This Row],[Inherent Impact Rating]]*RiskRegister[[#This Row],[Inherent Likelihood Rating]],"-- Error --")</f>
        <v>-- Error --</v>
      </c>
      <c r="R541" s="16" t="s">
        <v>98</v>
      </c>
      <c r="T541" s="16" t="s">
        <v>99</v>
      </c>
      <c r="U541" s="17" t="e" cm="1">
        <f t="array" aca="1" ref="U541" ca="1">+U541:Y1019VLOOKUP(RiskRegister[[#This Row],[Residual Impact Level]],'Rating factors'!$F$4:$G$9,2,FALSE)</f>
        <v>#NAME?</v>
      </c>
      <c r="V541" s="16" t="s">
        <v>79</v>
      </c>
      <c r="W541" s="17" t="str">
        <f>VLOOKUP(RiskRegister[[#This Row],[Residual Likelihood Level]],'Rating factors'!$F$16:$G$21,2,FALSE)</f>
        <v>--- Error ---</v>
      </c>
      <c r="X541" s="17" t="str">
        <f ca="1">IFERROR(VLOOKUP(RiskRegister[[#This Row],[Residual Risk Rating]],'Rating factors'!$F$30:$G$44,2,FALSE),"-- Error --")</f>
        <v>-- Error --</v>
      </c>
      <c r="Y541" s="17" t="str">
        <f ca="1">IFERROR(RiskRegister[[#This Row],[Residual Impact Rating]]*RiskRegister[[#This Row],[Residual Likelihood Rating]],"-- Error --")</f>
        <v>-- Error --</v>
      </c>
      <c r="Z541" s="16" t="s">
        <v>100</v>
      </c>
      <c r="AB541" s="39"/>
      <c r="AD541" s="20"/>
    </row>
    <row r="542" spans="1:30" s="16" customFormat="1" hidden="1" x14ac:dyDescent="0.25">
      <c r="A542" s="16">
        <v>539</v>
      </c>
      <c r="G542" s="16" t="s">
        <v>77</v>
      </c>
      <c r="I542" s="16" t="s">
        <v>75</v>
      </c>
      <c r="L542" s="105" t="s">
        <v>99</v>
      </c>
      <c r="M542" s="17" t="str">
        <f>VLOOKUP(RiskRegister[[#This Row],[Inherent Impact LevelL3:L1020D1007L3:L1019]],'Rating factors'!$F$4:$G$9,2,FALSE)</f>
        <v>--- Error ---</v>
      </c>
      <c r="N542" s="16" t="s">
        <v>79</v>
      </c>
      <c r="O542" s="17" t="str">
        <f>VLOOKUP(RiskRegister[[#This Row],[Inherent Likelihood Level]],'Rating factors'!$F$16:$G$21,2,FALSE)</f>
        <v>--- Error ---</v>
      </c>
      <c r="P542" s="17" t="str">
        <f>IFERROR(VLOOKUP(RiskRegister[[#This Row],[Inherent Risk Rating]],'Rating factors'!$F$30:$G$44,2,FALSE),"-- Error --")</f>
        <v>-- Error --</v>
      </c>
      <c r="Q542" s="17" t="str">
        <f>IFERROR(RiskRegister[[#This Row],[Inherent Impact Rating]]*RiskRegister[[#This Row],[Inherent Likelihood Rating]],"-- Error --")</f>
        <v>-- Error --</v>
      </c>
      <c r="R542" s="16" t="s">
        <v>98</v>
      </c>
      <c r="T542" s="16" t="s">
        <v>99</v>
      </c>
      <c r="U542" s="17" t="e" cm="1">
        <f t="array" aca="1" ref="U542" ca="1">+U542:Y1019VLOOKUP(RiskRegister[[#This Row],[Residual Impact Level]],'Rating factors'!$F$4:$G$9,2,FALSE)</f>
        <v>#NAME?</v>
      </c>
      <c r="V542" s="16" t="s">
        <v>79</v>
      </c>
      <c r="W542" s="17" t="str">
        <f>VLOOKUP(RiskRegister[[#This Row],[Residual Likelihood Level]],'Rating factors'!$F$16:$G$21,2,FALSE)</f>
        <v>--- Error ---</v>
      </c>
      <c r="X542" s="17" t="str">
        <f ca="1">IFERROR(VLOOKUP(RiskRegister[[#This Row],[Residual Risk Rating]],'Rating factors'!$F$30:$G$44,2,FALSE),"-- Error --")</f>
        <v>-- Error --</v>
      </c>
      <c r="Y542" s="17" t="str">
        <f ca="1">IFERROR(RiskRegister[[#This Row],[Residual Impact Rating]]*RiskRegister[[#This Row],[Residual Likelihood Rating]],"-- Error --")</f>
        <v>-- Error --</v>
      </c>
      <c r="Z542" s="16" t="s">
        <v>100</v>
      </c>
      <c r="AB542" s="39"/>
      <c r="AD542" s="20"/>
    </row>
    <row r="543" spans="1:30" s="16" customFormat="1" hidden="1" x14ac:dyDescent="0.25">
      <c r="A543" s="16">
        <v>540</v>
      </c>
      <c r="G543" s="16" t="s">
        <v>77</v>
      </c>
      <c r="I543" s="16" t="s">
        <v>75</v>
      </c>
      <c r="L543" s="105" t="s">
        <v>99</v>
      </c>
      <c r="M543" s="17" t="str">
        <f>VLOOKUP(RiskRegister[[#This Row],[Inherent Impact LevelL3:L1020D1007L3:L1019]],'Rating factors'!$F$4:$G$9,2,FALSE)</f>
        <v>--- Error ---</v>
      </c>
      <c r="N543" s="16" t="s">
        <v>79</v>
      </c>
      <c r="O543" s="17" t="str">
        <f>VLOOKUP(RiskRegister[[#This Row],[Inherent Likelihood Level]],'Rating factors'!$F$16:$G$21,2,FALSE)</f>
        <v>--- Error ---</v>
      </c>
      <c r="P543" s="17" t="str">
        <f>IFERROR(VLOOKUP(RiskRegister[[#This Row],[Inherent Risk Rating]],'Rating factors'!$F$30:$G$44,2,FALSE),"-- Error --")</f>
        <v>-- Error --</v>
      </c>
      <c r="Q543" s="17" t="str">
        <f>IFERROR(RiskRegister[[#This Row],[Inherent Impact Rating]]*RiskRegister[[#This Row],[Inherent Likelihood Rating]],"-- Error --")</f>
        <v>-- Error --</v>
      </c>
      <c r="R543" s="16" t="s">
        <v>98</v>
      </c>
      <c r="T543" s="16" t="s">
        <v>99</v>
      </c>
      <c r="U543" s="17" t="e" cm="1">
        <f t="array" aca="1" ref="U543" ca="1">+U543:Y1019VLOOKUP(RiskRegister[[#This Row],[Residual Impact Level]],'Rating factors'!$F$4:$G$9,2,FALSE)</f>
        <v>#NAME?</v>
      </c>
      <c r="V543" s="16" t="s">
        <v>79</v>
      </c>
      <c r="W543" s="17" t="str">
        <f>VLOOKUP(RiskRegister[[#This Row],[Residual Likelihood Level]],'Rating factors'!$F$16:$G$21,2,FALSE)</f>
        <v>--- Error ---</v>
      </c>
      <c r="X543" s="17" t="str">
        <f ca="1">IFERROR(VLOOKUP(RiskRegister[[#This Row],[Residual Risk Rating]],'Rating factors'!$F$30:$G$44,2,FALSE),"-- Error --")</f>
        <v>-- Error --</v>
      </c>
      <c r="Y543" s="17" t="str">
        <f ca="1">IFERROR(RiskRegister[[#This Row],[Residual Impact Rating]]*RiskRegister[[#This Row],[Residual Likelihood Rating]],"-- Error --")</f>
        <v>-- Error --</v>
      </c>
      <c r="Z543" s="16" t="s">
        <v>100</v>
      </c>
      <c r="AB543" s="39"/>
      <c r="AD543" s="20"/>
    </row>
    <row r="544" spans="1:30" s="16" customFormat="1" hidden="1" x14ac:dyDescent="0.25">
      <c r="A544" s="16">
        <v>541</v>
      </c>
      <c r="G544" s="16" t="s">
        <v>77</v>
      </c>
      <c r="I544" s="16" t="s">
        <v>75</v>
      </c>
      <c r="L544" s="105" t="s">
        <v>99</v>
      </c>
      <c r="M544" s="17" t="str">
        <f>VLOOKUP(RiskRegister[[#This Row],[Inherent Impact LevelL3:L1020D1007L3:L1019]],'Rating factors'!$F$4:$G$9,2,FALSE)</f>
        <v>--- Error ---</v>
      </c>
      <c r="N544" s="16" t="s">
        <v>79</v>
      </c>
      <c r="O544" s="17" t="str">
        <f>VLOOKUP(RiskRegister[[#This Row],[Inherent Likelihood Level]],'Rating factors'!$F$16:$G$21,2,FALSE)</f>
        <v>--- Error ---</v>
      </c>
      <c r="P544" s="17" t="str">
        <f>IFERROR(VLOOKUP(RiskRegister[[#This Row],[Inherent Risk Rating]],'Rating factors'!$F$30:$G$44,2,FALSE),"-- Error --")</f>
        <v>-- Error --</v>
      </c>
      <c r="Q544" s="17" t="str">
        <f>IFERROR(RiskRegister[[#This Row],[Inherent Impact Rating]]*RiskRegister[[#This Row],[Inherent Likelihood Rating]],"-- Error --")</f>
        <v>-- Error --</v>
      </c>
      <c r="R544" s="16" t="s">
        <v>98</v>
      </c>
      <c r="T544" s="16" t="s">
        <v>99</v>
      </c>
      <c r="U544" s="17" t="e" cm="1">
        <f t="array" aca="1" ref="U544" ca="1">+U544:Y1019VLOOKUP(RiskRegister[[#This Row],[Residual Impact Level]],'Rating factors'!$F$4:$G$9,2,FALSE)</f>
        <v>#NAME?</v>
      </c>
      <c r="V544" s="16" t="s">
        <v>79</v>
      </c>
      <c r="W544" s="17" t="str">
        <f>VLOOKUP(RiskRegister[[#This Row],[Residual Likelihood Level]],'Rating factors'!$F$16:$G$21,2,FALSE)</f>
        <v>--- Error ---</v>
      </c>
      <c r="X544" s="17" t="str">
        <f ca="1">IFERROR(VLOOKUP(RiskRegister[[#This Row],[Residual Risk Rating]],'Rating factors'!$F$30:$G$44,2,FALSE),"-- Error --")</f>
        <v>-- Error --</v>
      </c>
      <c r="Y544" s="17" t="str">
        <f ca="1">IFERROR(RiskRegister[[#This Row],[Residual Impact Rating]]*RiskRegister[[#This Row],[Residual Likelihood Rating]],"-- Error --")</f>
        <v>-- Error --</v>
      </c>
      <c r="Z544" s="16" t="s">
        <v>100</v>
      </c>
      <c r="AB544" s="39"/>
      <c r="AD544" s="20"/>
    </row>
    <row r="545" spans="1:30" s="16" customFormat="1" hidden="1" x14ac:dyDescent="0.25">
      <c r="A545" s="16">
        <v>542</v>
      </c>
      <c r="G545" s="16" t="s">
        <v>77</v>
      </c>
      <c r="I545" s="16" t="s">
        <v>75</v>
      </c>
      <c r="L545" s="105" t="s">
        <v>99</v>
      </c>
      <c r="M545" s="17" t="str">
        <f>VLOOKUP(RiskRegister[[#This Row],[Inherent Impact LevelL3:L1020D1007L3:L1019]],'Rating factors'!$F$4:$G$9,2,FALSE)</f>
        <v>--- Error ---</v>
      </c>
      <c r="N545" s="16" t="s">
        <v>79</v>
      </c>
      <c r="O545" s="17" t="str">
        <f>VLOOKUP(RiskRegister[[#This Row],[Inherent Likelihood Level]],'Rating factors'!$F$16:$G$21,2,FALSE)</f>
        <v>--- Error ---</v>
      </c>
      <c r="P545" s="17" t="str">
        <f>IFERROR(VLOOKUP(RiskRegister[[#This Row],[Inherent Risk Rating]],'Rating factors'!$F$30:$G$44,2,FALSE),"-- Error --")</f>
        <v>-- Error --</v>
      </c>
      <c r="Q545" s="17" t="str">
        <f>IFERROR(RiskRegister[[#This Row],[Inherent Impact Rating]]*RiskRegister[[#This Row],[Inherent Likelihood Rating]],"-- Error --")</f>
        <v>-- Error --</v>
      </c>
      <c r="R545" s="16" t="s">
        <v>98</v>
      </c>
      <c r="T545" s="16" t="s">
        <v>99</v>
      </c>
      <c r="U545" s="17" t="e" cm="1">
        <f t="array" aca="1" ref="U545" ca="1">+U545:Y1019VLOOKUP(RiskRegister[[#This Row],[Residual Impact Level]],'Rating factors'!$F$4:$G$9,2,FALSE)</f>
        <v>#NAME?</v>
      </c>
      <c r="V545" s="16" t="s">
        <v>79</v>
      </c>
      <c r="W545" s="17" t="str">
        <f>VLOOKUP(RiskRegister[[#This Row],[Residual Likelihood Level]],'Rating factors'!$F$16:$G$21,2,FALSE)</f>
        <v>--- Error ---</v>
      </c>
      <c r="X545" s="17" t="str">
        <f ca="1">IFERROR(VLOOKUP(RiskRegister[[#This Row],[Residual Risk Rating]],'Rating factors'!$F$30:$G$44,2,FALSE),"-- Error --")</f>
        <v>-- Error --</v>
      </c>
      <c r="Y545" s="17" t="str">
        <f ca="1">IFERROR(RiskRegister[[#This Row],[Residual Impact Rating]]*RiskRegister[[#This Row],[Residual Likelihood Rating]],"-- Error --")</f>
        <v>-- Error --</v>
      </c>
      <c r="Z545" s="16" t="s">
        <v>100</v>
      </c>
      <c r="AB545" s="39"/>
      <c r="AD545" s="20"/>
    </row>
    <row r="546" spans="1:30" s="16" customFormat="1" hidden="1" x14ac:dyDescent="0.25">
      <c r="A546" s="16">
        <v>543</v>
      </c>
      <c r="G546" s="16" t="s">
        <v>77</v>
      </c>
      <c r="I546" s="16" t="s">
        <v>75</v>
      </c>
      <c r="L546" s="105" t="s">
        <v>99</v>
      </c>
      <c r="M546" s="17" t="str">
        <f>VLOOKUP(RiskRegister[[#This Row],[Inherent Impact LevelL3:L1020D1007L3:L1019]],'Rating factors'!$F$4:$G$9,2,FALSE)</f>
        <v>--- Error ---</v>
      </c>
      <c r="N546" s="16" t="s">
        <v>79</v>
      </c>
      <c r="O546" s="17" t="str">
        <f>VLOOKUP(RiskRegister[[#This Row],[Inherent Likelihood Level]],'Rating factors'!$F$16:$G$21,2,FALSE)</f>
        <v>--- Error ---</v>
      </c>
      <c r="P546" s="17" t="str">
        <f>IFERROR(VLOOKUP(RiskRegister[[#This Row],[Inherent Risk Rating]],'Rating factors'!$F$30:$G$44,2,FALSE),"-- Error --")</f>
        <v>-- Error --</v>
      </c>
      <c r="Q546" s="17" t="str">
        <f>IFERROR(RiskRegister[[#This Row],[Inherent Impact Rating]]*RiskRegister[[#This Row],[Inherent Likelihood Rating]],"-- Error --")</f>
        <v>-- Error --</v>
      </c>
      <c r="R546" s="16" t="s">
        <v>98</v>
      </c>
      <c r="T546" s="16" t="s">
        <v>99</v>
      </c>
      <c r="U546" s="17" t="e" cm="1">
        <f t="array" aca="1" ref="U546" ca="1">+U546:Y1019VLOOKUP(RiskRegister[[#This Row],[Residual Impact Level]],'Rating factors'!$F$4:$G$9,2,FALSE)</f>
        <v>#NAME?</v>
      </c>
      <c r="V546" s="16" t="s">
        <v>79</v>
      </c>
      <c r="W546" s="17" t="str">
        <f>VLOOKUP(RiskRegister[[#This Row],[Residual Likelihood Level]],'Rating factors'!$F$16:$G$21,2,FALSE)</f>
        <v>--- Error ---</v>
      </c>
      <c r="X546" s="17" t="str">
        <f ca="1">IFERROR(VLOOKUP(RiskRegister[[#This Row],[Residual Risk Rating]],'Rating factors'!$F$30:$G$44,2,FALSE),"-- Error --")</f>
        <v>-- Error --</v>
      </c>
      <c r="Y546" s="17" t="str">
        <f ca="1">IFERROR(RiskRegister[[#This Row],[Residual Impact Rating]]*RiskRegister[[#This Row],[Residual Likelihood Rating]],"-- Error --")</f>
        <v>-- Error --</v>
      </c>
      <c r="Z546" s="16" t="s">
        <v>100</v>
      </c>
      <c r="AB546" s="39"/>
      <c r="AD546" s="20"/>
    </row>
    <row r="547" spans="1:30" s="16" customFormat="1" hidden="1" x14ac:dyDescent="0.25">
      <c r="A547" s="16">
        <v>544</v>
      </c>
      <c r="G547" s="16" t="s">
        <v>77</v>
      </c>
      <c r="I547" s="16" t="s">
        <v>75</v>
      </c>
      <c r="L547" s="105" t="s">
        <v>99</v>
      </c>
      <c r="M547" s="17" t="str">
        <f>VLOOKUP(RiskRegister[[#This Row],[Inherent Impact LevelL3:L1020D1007L3:L1019]],'Rating factors'!$F$4:$G$9,2,FALSE)</f>
        <v>--- Error ---</v>
      </c>
      <c r="N547" s="16" t="s">
        <v>79</v>
      </c>
      <c r="O547" s="17" t="str">
        <f>VLOOKUP(RiskRegister[[#This Row],[Inherent Likelihood Level]],'Rating factors'!$F$16:$G$21,2,FALSE)</f>
        <v>--- Error ---</v>
      </c>
      <c r="P547" s="17" t="str">
        <f>IFERROR(VLOOKUP(RiskRegister[[#This Row],[Inherent Risk Rating]],'Rating factors'!$F$30:$G$44,2,FALSE),"-- Error --")</f>
        <v>-- Error --</v>
      </c>
      <c r="Q547" s="17" t="str">
        <f>IFERROR(RiskRegister[[#This Row],[Inherent Impact Rating]]*RiskRegister[[#This Row],[Inherent Likelihood Rating]],"-- Error --")</f>
        <v>-- Error --</v>
      </c>
      <c r="R547" s="16" t="s">
        <v>98</v>
      </c>
      <c r="T547" s="16" t="s">
        <v>99</v>
      </c>
      <c r="U547" s="17" t="e" cm="1">
        <f t="array" aca="1" ref="U547" ca="1">+U547:Y1019VLOOKUP(RiskRegister[[#This Row],[Residual Impact Level]],'Rating factors'!$F$4:$G$9,2,FALSE)</f>
        <v>#NAME?</v>
      </c>
      <c r="V547" s="16" t="s">
        <v>79</v>
      </c>
      <c r="W547" s="17" t="str">
        <f>VLOOKUP(RiskRegister[[#This Row],[Residual Likelihood Level]],'Rating factors'!$F$16:$G$21,2,FALSE)</f>
        <v>--- Error ---</v>
      </c>
      <c r="X547" s="17" t="str">
        <f ca="1">IFERROR(VLOOKUP(RiskRegister[[#This Row],[Residual Risk Rating]],'Rating factors'!$F$30:$G$44,2,FALSE),"-- Error --")</f>
        <v>-- Error --</v>
      </c>
      <c r="Y547" s="17" t="str">
        <f ca="1">IFERROR(RiskRegister[[#This Row],[Residual Impact Rating]]*RiskRegister[[#This Row],[Residual Likelihood Rating]],"-- Error --")</f>
        <v>-- Error --</v>
      </c>
      <c r="Z547" s="16" t="s">
        <v>100</v>
      </c>
      <c r="AB547" s="39"/>
      <c r="AD547" s="20"/>
    </row>
    <row r="548" spans="1:30" s="16" customFormat="1" hidden="1" x14ac:dyDescent="0.25">
      <c r="A548" s="16">
        <v>545</v>
      </c>
      <c r="G548" s="16" t="s">
        <v>77</v>
      </c>
      <c r="I548" s="16" t="s">
        <v>75</v>
      </c>
      <c r="L548" s="105" t="s">
        <v>99</v>
      </c>
      <c r="M548" s="17" t="str">
        <f>VLOOKUP(RiskRegister[[#This Row],[Inherent Impact LevelL3:L1020D1007L3:L1019]],'Rating factors'!$F$4:$G$9,2,FALSE)</f>
        <v>--- Error ---</v>
      </c>
      <c r="N548" s="16" t="s">
        <v>79</v>
      </c>
      <c r="O548" s="17" t="str">
        <f>VLOOKUP(RiskRegister[[#This Row],[Inherent Likelihood Level]],'Rating factors'!$F$16:$G$21,2,FALSE)</f>
        <v>--- Error ---</v>
      </c>
      <c r="P548" s="17" t="str">
        <f>IFERROR(VLOOKUP(RiskRegister[[#This Row],[Inherent Risk Rating]],'Rating factors'!$F$30:$G$44,2,FALSE),"-- Error --")</f>
        <v>-- Error --</v>
      </c>
      <c r="Q548" s="17" t="str">
        <f>IFERROR(RiskRegister[[#This Row],[Inherent Impact Rating]]*RiskRegister[[#This Row],[Inherent Likelihood Rating]],"-- Error --")</f>
        <v>-- Error --</v>
      </c>
      <c r="R548" s="16" t="s">
        <v>98</v>
      </c>
      <c r="T548" s="16" t="s">
        <v>99</v>
      </c>
      <c r="U548" s="17" t="e" cm="1">
        <f t="array" aca="1" ref="U548" ca="1">+U548:Y1019VLOOKUP(RiskRegister[[#This Row],[Residual Impact Level]],'Rating factors'!$F$4:$G$9,2,FALSE)</f>
        <v>#NAME?</v>
      </c>
      <c r="V548" s="16" t="s">
        <v>79</v>
      </c>
      <c r="W548" s="17" t="str">
        <f>VLOOKUP(RiskRegister[[#This Row],[Residual Likelihood Level]],'Rating factors'!$F$16:$G$21,2,FALSE)</f>
        <v>--- Error ---</v>
      </c>
      <c r="X548" s="17" t="str">
        <f ca="1">IFERROR(VLOOKUP(RiskRegister[[#This Row],[Residual Risk Rating]],'Rating factors'!$F$30:$G$44,2,FALSE),"-- Error --")</f>
        <v>-- Error --</v>
      </c>
      <c r="Y548" s="17" t="str">
        <f ca="1">IFERROR(RiskRegister[[#This Row],[Residual Impact Rating]]*RiskRegister[[#This Row],[Residual Likelihood Rating]],"-- Error --")</f>
        <v>-- Error --</v>
      </c>
      <c r="Z548" s="16" t="s">
        <v>100</v>
      </c>
      <c r="AB548" s="39"/>
      <c r="AD548" s="20"/>
    </row>
    <row r="549" spans="1:30" s="16" customFormat="1" hidden="1" x14ac:dyDescent="0.25">
      <c r="A549" s="16">
        <v>546</v>
      </c>
      <c r="G549" s="16" t="s">
        <v>77</v>
      </c>
      <c r="I549" s="16" t="s">
        <v>75</v>
      </c>
      <c r="L549" s="105" t="s">
        <v>99</v>
      </c>
      <c r="M549" s="17" t="str">
        <f>VLOOKUP(RiskRegister[[#This Row],[Inherent Impact LevelL3:L1020D1007L3:L1019]],'Rating factors'!$F$4:$G$9,2,FALSE)</f>
        <v>--- Error ---</v>
      </c>
      <c r="N549" s="16" t="s">
        <v>79</v>
      </c>
      <c r="O549" s="17" t="str">
        <f>VLOOKUP(RiskRegister[[#This Row],[Inherent Likelihood Level]],'Rating factors'!$F$16:$G$21,2,FALSE)</f>
        <v>--- Error ---</v>
      </c>
      <c r="P549" s="17" t="str">
        <f>IFERROR(VLOOKUP(RiskRegister[[#This Row],[Inherent Risk Rating]],'Rating factors'!$F$30:$G$44,2,FALSE),"-- Error --")</f>
        <v>-- Error --</v>
      </c>
      <c r="Q549" s="17" t="str">
        <f>IFERROR(RiskRegister[[#This Row],[Inherent Impact Rating]]*RiskRegister[[#This Row],[Inherent Likelihood Rating]],"-- Error --")</f>
        <v>-- Error --</v>
      </c>
      <c r="R549" s="16" t="s">
        <v>98</v>
      </c>
      <c r="T549" s="16" t="s">
        <v>99</v>
      </c>
      <c r="U549" s="17" t="e" cm="1">
        <f t="array" aca="1" ref="U549" ca="1">+U549:Y1019VLOOKUP(RiskRegister[[#This Row],[Residual Impact Level]],'Rating factors'!$F$4:$G$9,2,FALSE)</f>
        <v>#NAME?</v>
      </c>
      <c r="V549" s="16" t="s">
        <v>79</v>
      </c>
      <c r="W549" s="17" t="str">
        <f>VLOOKUP(RiskRegister[[#This Row],[Residual Likelihood Level]],'Rating factors'!$F$16:$G$21,2,FALSE)</f>
        <v>--- Error ---</v>
      </c>
      <c r="X549" s="17" t="str">
        <f ca="1">IFERROR(VLOOKUP(RiskRegister[[#This Row],[Residual Risk Rating]],'Rating factors'!$F$30:$G$44,2,FALSE),"-- Error --")</f>
        <v>-- Error --</v>
      </c>
      <c r="Y549" s="17" t="str">
        <f ca="1">IFERROR(RiskRegister[[#This Row],[Residual Impact Rating]]*RiskRegister[[#This Row],[Residual Likelihood Rating]],"-- Error --")</f>
        <v>-- Error --</v>
      </c>
      <c r="Z549" s="16" t="s">
        <v>100</v>
      </c>
      <c r="AB549" s="39"/>
      <c r="AD549" s="20"/>
    </row>
    <row r="550" spans="1:30" s="16" customFormat="1" hidden="1" x14ac:dyDescent="0.25">
      <c r="A550" s="16">
        <v>547</v>
      </c>
      <c r="G550" s="16" t="s">
        <v>77</v>
      </c>
      <c r="I550" s="16" t="s">
        <v>75</v>
      </c>
      <c r="L550" s="105" t="s">
        <v>99</v>
      </c>
      <c r="M550" s="17" t="str">
        <f>VLOOKUP(RiskRegister[[#This Row],[Inherent Impact LevelL3:L1020D1007L3:L1019]],'Rating factors'!$F$4:$G$9,2,FALSE)</f>
        <v>--- Error ---</v>
      </c>
      <c r="N550" s="16" t="s">
        <v>79</v>
      </c>
      <c r="O550" s="17" t="str">
        <f>VLOOKUP(RiskRegister[[#This Row],[Inherent Likelihood Level]],'Rating factors'!$F$16:$G$21,2,FALSE)</f>
        <v>--- Error ---</v>
      </c>
      <c r="P550" s="17" t="str">
        <f>IFERROR(VLOOKUP(RiskRegister[[#This Row],[Inherent Risk Rating]],'Rating factors'!$F$30:$G$44,2,FALSE),"-- Error --")</f>
        <v>-- Error --</v>
      </c>
      <c r="Q550" s="17" t="str">
        <f>IFERROR(RiskRegister[[#This Row],[Inherent Impact Rating]]*RiskRegister[[#This Row],[Inherent Likelihood Rating]],"-- Error --")</f>
        <v>-- Error --</v>
      </c>
      <c r="R550" s="16" t="s">
        <v>98</v>
      </c>
      <c r="T550" s="16" t="s">
        <v>99</v>
      </c>
      <c r="U550" s="17" t="e" cm="1">
        <f t="array" aca="1" ref="U550" ca="1">+U550:Y1019VLOOKUP(RiskRegister[[#This Row],[Residual Impact Level]],'Rating factors'!$F$4:$G$9,2,FALSE)</f>
        <v>#NAME?</v>
      </c>
      <c r="V550" s="16" t="s">
        <v>79</v>
      </c>
      <c r="W550" s="17" t="str">
        <f>VLOOKUP(RiskRegister[[#This Row],[Residual Likelihood Level]],'Rating factors'!$F$16:$G$21,2,FALSE)</f>
        <v>--- Error ---</v>
      </c>
      <c r="X550" s="17" t="str">
        <f ca="1">IFERROR(VLOOKUP(RiskRegister[[#This Row],[Residual Risk Rating]],'Rating factors'!$F$30:$G$44,2,FALSE),"-- Error --")</f>
        <v>-- Error --</v>
      </c>
      <c r="Y550" s="17" t="str">
        <f ca="1">IFERROR(RiskRegister[[#This Row],[Residual Impact Rating]]*RiskRegister[[#This Row],[Residual Likelihood Rating]],"-- Error --")</f>
        <v>-- Error --</v>
      </c>
      <c r="Z550" s="16" t="s">
        <v>100</v>
      </c>
      <c r="AB550" s="39"/>
      <c r="AD550" s="20"/>
    </row>
    <row r="551" spans="1:30" s="16" customFormat="1" hidden="1" x14ac:dyDescent="0.25">
      <c r="A551" s="16">
        <v>548</v>
      </c>
      <c r="G551" s="16" t="s">
        <v>77</v>
      </c>
      <c r="I551" s="16" t="s">
        <v>75</v>
      </c>
      <c r="L551" s="105" t="s">
        <v>99</v>
      </c>
      <c r="M551" s="17" t="str">
        <f>VLOOKUP(RiskRegister[[#This Row],[Inherent Impact LevelL3:L1020D1007L3:L1019]],'Rating factors'!$F$4:$G$9,2,FALSE)</f>
        <v>--- Error ---</v>
      </c>
      <c r="N551" s="16" t="s">
        <v>79</v>
      </c>
      <c r="O551" s="17" t="str">
        <f>VLOOKUP(RiskRegister[[#This Row],[Inherent Likelihood Level]],'Rating factors'!$F$16:$G$21,2,FALSE)</f>
        <v>--- Error ---</v>
      </c>
      <c r="P551" s="17" t="str">
        <f>IFERROR(VLOOKUP(RiskRegister[[#This Row],[Inherent Risk Rating]],'Rating factors'!$F$30:$G$44,2,FALSE),"-- Error --")</f>
        <v>-- Error --</v>
      </c>
      <c r="Q551" s="17" t="str">
        <f>IFERROR(RiskRegister[[#This Row],[Inherent Impact Rating]]*RiskRegister[[#This Row],[Inherent Likelihood Rating]],"-- Error --")</f>
        <v>-- Error --</v>
      </c>
      <c r="R551" s="16" t="s">
        <v>98</v>
      </c>
      <c r="T551" s="16" t="s">
        <v>99</v>
      </c>
      <c r="U551" s="17" t="e" cm="1">
        <f t="array" aca="1" ref="U551" ca="1">+U551:Y1019VLOOKUP(RiskRegister[[#This Row],[Residual Impact Level]],'Rating factors'!$F$4:$G$9,2,FALSE)</f>
        <v>#NAME?</v>
      </c>
      <c r="V551" s="16" t="s">
        <v>79</v>
      </c>
      <c r="W551" s="17" t="str">
        <f>VLOOKUP(RiskRegister[[#This Row],[Residual Likelihood Level]],'Rating factors'!$F$16:$G$21,2,FALSE)</f>
        <v>--- Error ---</v>
      </c>
      <c r="X551" s="17" t="str">
        <f ca="1">IFERROR(VLOOKUP(RiskRegister[[#This Row],[Residual Risk Rating]],'Rating factors'!$F$30:$G$44,2,FALSE),"-- Error --")</f>
        <v>-- Error --</v>
      </c>
      <c r="Y551" s="17" t="str">
        <f ca="1">IFERROR(RiskRegister[[#This Row],[Residual Impact Rating]]*RiskRegister[[#This Row],[Residual Likelihood Rating]],"-- Error --")</f>
        <v>-- Error --</v>
      </c>
      <c r="Z551" s="16" t="s">
        <v>100</v>
      </c>
      <c r="AB551" s="39"/>
      <c r="AD551" s="20"/>
    </row>
    <row r="552" spans="1:30" s="16" customFormat="1" hidden="1" x14ac:dyDescent="0.25">
      <c r="A552" s="16">
        <v>549</v>
      </c>
      <c r="G552" s="16" t="s">
        <v>77</v>
      </c>
      <c r="I552" s="16" t="s">
        <v>75</v>
      </c>
      <c r="L552" s="105" t="s">
        <v>99</v>
      </c>
      <c r="M552" s="17" t="str">
        <f>VLOOKUP(RiskRegister[[#This Row],[Inherent Impact LevelL3:L1020D1007L3:L1019]],'Rating factors'!$F$4:$G$9,2,FALSE)</f>
        <v>--- Error ---</v>
      </c>
      <c r="N552" s="16" t="s">
        <v>79</v>
      </c>
      <c r="O552" s="17" t="str">
        <f>VLOOKUP(RiskRegister[[#This Row],[Inherent Likelihood Level]],'Rating factors'!$F$16:$G$21,2,FALSE)</f>
        <v>--- Error ---</v>
      </c>
      <c r="P552" s="17" t="str">
        <f>IFERROR(VLOOKUP(RiskRegister[[#This Row],[Inherent Risk Rating]],'Rating factors'!$F$30:$G$44,2,FALSE),"-- Error --")</f>
        <v>-- Error --</v>
      </c>
      <c r="Q552" s="17" t="str">
        <f>IFERROR(RiskRegister[[#This Row],[Inherent Impact Rating]]*RiskRegister[[#This Row],[Inherent Likelihood Rating]],"-- Error --")</f>
        <v>-- Error --</v>
      </c>
      <c r="R552" s="16" t="s">
        <v>98</v>
      </c>
      <c r="T552" s="16" t="s">
        <v>99</v>
      </c>
      <c r="U552" s="17" t="e" cm="1">
        <f t="array" aca="1" ref="U552" ca="1">+U552:Y1019VLOOKUP(RiskRegister[[#This Row],[Residual Impact Level]],'Rating factors'!$F$4:$G$9,2,FALSE)</f>
        <v>#NAME?</v>
      </c>
      <c r="V552" s="16" t="s">
        <v>79</v>
      </c>
      <c r="W552" s="17" t="str">
        <f>VLOOKUP(RiskRegister[[#This Row],[Residual Likelihood Level]],'Rating factors'!$F$16:$G$21,2,FALSE)</f>
        <v>--- Error ---</v>
      </c>
      <c r="X552" s="17" t="str">
        <f ca="1">IFERROR(VLOOKUP(RiskRegister[[#This Row],[Residual Risk Rating]],'Rating factors'!$F$30:$G$44,2,FALSE),"-- Error --")</f>
        <v>-- Error --</v>
      </c>
      <c r="Y552" s="17" t="str">
        <f ca="1">IFERROR(RiskRegister[[#This Row],[Residual Impact Rating]]*RiskRegister[[#This Row],[Residual Likelihood Rating]],"-- Error --")</f>
        <v>-- Error --</v>
      </c>
      <c r="Z552" s="16" t="s">
        <v>100</v>
      </c>
      <c r="AB552" s="39"/>
      <c r="AD552" s="20"/>
    </row>
    <row r="553" spans="1:30" s="16" customFormat="1" hidden="1" x14ac:dyDescent="0.25">
      <c r="A553" s="16">
        <v>550</v>
      </c>
      <c r="G553" s="16" t="s">
        <v>77</v>
      </c>
      <c r="I553" s="16" t="s">
        <v>75</v>
      </c>
      <c r="L553" s="105" t="s">
        <v>99</v>
      </c>
      <c r="M553" s="17" t="str">
        <f>VLOOKUP(RiskRegister[[#This Row],[Inherent Impact LevelL3:L1020D1007L3:L1019]],'Rating factors'!$F$4:$G$9,2,FALSE)</f>
        <v>--- Error ---</v>
      </c>
      <c r="N553" s="16" t="s">
        <v>79</v>
      </c>
      <c r="O553" s="17" t="str">
        <f>VLOOKUP(RiskRegister[[#This Row],[Inherent Likelihood Level]],'Rating factors'!$F$16:$G$21,2,FALSE)</f>
        <v>--- Error ---</v>
      </c>
      <c r="P553" s="17" t="str">
        <f>IFERROR(VLOOKUP(RiskRegister[[#This Row],[Inherent Risk Rating]],'Rating factors'!$F$30:$G$44,2,FALSE),"-- Error --")</f>
        <v>-- Error --</v>
      </c>
      <c r="Q553" s="17" t="str">
        <f>IFERROR(RiskRegister[[#This Row],[Inherent Impact Rating]]*RiskRegister[[#This Row],[Inherent Likelihood Rating]],"-- Error --")</f>
        <v>-- Error --</v>
      </c>
      <c r="R553" s="16" t="s">
        <v>98</v>
      </c>
      <c r="T553" s="16" t="s">
        <v>99</v>
      </c>
      <c r="U553" s="17" t="e" cm="1">
        <f t="array" aca="1" ref="U553" ca="1">+U553:Y1019VLOOKUP(RiskRegister[[#This Row],[Residual Impact Level]],'Rating factors'!$F$4:$G$9,2,FALSE)</f>
        <v>#NAME?</v>
      </c>
      <c r="V553" s="16" t="s">
        <v>79</v>
      </c>
      <c r="W553" s="17" t="str">
        <f>VLOOKUP(RiskRegister[[#This Row],[Residual Likelihood Level]],'Rating factors'!$F$16:$G$21,2,FALSE)</f>
        <v>--- Error ---</v>
      </c>
      <c r="X553" s="17" t="str">
        <f ca="1">IFERROR(VLOOKUP(RiskRegister[[#This Row],[Residual Risk Rating]],'Rating factors'!$F$30:$G$44,2,FALSE),"-- Error --")</f>
        <v>-- Error --</v>
      </c>
      <c r="Y553" s="17" t="str">
        <f ca="1">IFERROR(RiskRegister[[#This Row],[Residual Impact Rating]]*RiskRegister[[#This Row],[Residual Likelihood Rating]],"-- Error --")</f>
        <v>-- Error --</v>
      </c>
      <c r="Z553" s="16" t="s">
        <v>100</v>
      </c>
      <c r="AB553" s="39"/>
      <c r="AD553" s="20"/>
    </row>
    <row r="554" spans="1:30" s="16" customFormat="1" hidden="1" x14ac:dyDescent="0.25">
      <c r="A554" s="16">
        <v>551</v>
      </c>
      <c r="G554" s="16" t="s">
        <v>77</v>
      </c>
      <c r="I554" s="16" t="s">
        <v>75</v>
      </c>
      <c r="L554" s="105" t="s">
        <v>99</v>
      </c>
      <c r="M554" s="17" t="str">
        <f>VLOOKUP(RiskRegister[[#This Row],[Inherent Impact LevelL3:L1020D1007L3:L1019]],'Rating factors'!$F$4:$G$9,2,FALSE)</f>
        <v>--- Error ---</v>
      </c>
      <c r="N554" s="16" t="s">
        <v>79</v>
      </c>
      <c r="O554" s="17" t="str">
        <f>VLOOKUP(RiskRegister[[#This Row],[Inherent Likelihood Level]],'Rating factors'!$F$16:$G$21,2,FALSE)</f>
        <v>--- Error ---</v>
      </c>
      <c r="P554" s="17" t="str">
        <f>IFERROR(VLOOKUP(RiskRegister[[#This Row],[Inherent Risk Rating]],'Rating factors'!$F$30:$G$44,2,FALSE),"-- Error --")</f>
        <v>-- Error --</v>
      </c>
      <c r="Q554" s="17" t="str">
        <f>IFERROR(RiskRegister[[#This Row],[Inherent Impact Rating]]*RiskRegister[[#This Row],[Inherent Likelihood Rating]],"-- Error --")</f>
        <v>-- Error --</v>
      </c>
      <c r="R554" s="16" t="s">
        <v>98</v>
      </c>
      <c r="T554" s="16" t="s">
        <v>99</v>
      </c>
      <c r="U554" s="17" t="e" cm="1">
        <f t="array" aca="1" ref="U554" ca="1">+U554:Y1019VLOOKUP(RiskRegister[[#This Row],[Residual Impact Level]],'Rating factors'!$F$4:$G$9,2,FALSE)</f>
        <v>#NAME?</v>
      </c>
      <c r="V554" s="16" t="s">
        <v>79</v>
      </c>
      <c r="W554" s="17" t="str">
        <f>VLOOKUP(RiskRegister[[#This Row],[Residual Likelihood Level]],'Rating factors'!$F$16:$G$21,2,FALSE)</f>
        <v>--- Error ---</v>
      </c>
      <c r="X554" s="17" t="str">
        <f ca="1">IFERROR(VLOOKUP(RiskRegister[[#This Row],[Residual Risk Rating]],'Rating factors'!$F$30:$G$44,2,FALSE),"-- Error --")</f>
        <v>-- Error --</v>
      </c>
      <c r="Y554" s="17" t="str">
        <f ca="1">IFERROR(RiskRegister[[#This Row],[Residual Impact Rating]]*RiskRegister[[#This Row],[Residual Likelihood Rating]],"-- Error --")</f>
        <v>-- Error --</v>
      </c>
      <c r="Z554" s="16" t="s">
        <v>100</v>
      </c>
      <c r="AB554" s="39"/>
      <c r="AD554" s="20"/>
    </row>
    <row r="555" spans="1:30" s="16" customFormat="1" hidden="1" x14ac:dyDescent="0.25">
      <c r="A555" s="16">
        <v>552</v>
      </c>
      <c r="G555" s="16" t="s">
        <v>77</v>
      </c>
      <c r="I555" s="16" t="s">
        <v>75</v>
      </c>
      <c r="L555" s="105" t="s">
        <v>99</v>
      </c>
      <c r="M555" s="17" t="str">
        <f>VLOOKUP(RiskRegister[[#This Row],[Inherent Impact LevelL3:L1020D1007L3:L1019]],'Rating factors'!$F$4:$G$9,2,FALSE)</f>
        <v>--- Error ---</v>
      </c>
      <c r="N555" s="16" t="s">
        <v>79</v>
      </c>
      <c r="O555" s="17" t="str">
        <f>VLOOKUP(RiskRegister[[#This Row],[Inherent Likelihood Level]],'Rating factors'!$F$16:$G$21,2,FALSE)</f>
        <v>--- Error ---</v>
      </c>
      <c r="P555" s="17" t="str">
        <f>IFERROR(VLOOKUP(RiskRegister[[#This Row],[Inherent Risk Rating]],'Rating factors'!$F$30:$G$44,2,FALSE),"-- Error --")</f>
        <v>-- Error --</v>
      </c>
      <c r="Q555" s="17" t="str">
        <f>IFERROR(RiskRegister[[#This Row],[Inherent Impact Rating]]*RiskRegister[[#This Row],[Inherent Likelihood Rating]],"-- Error --")</f>
        <v>-- Error --</v>
      </c>
      <c r="R555" s="16" t="s">
        <v>98</v>
      </c>
      <c r="T555" s="16" t="s">
        <v>99</v>
      </c>
      <c r="U555" s="17" t="e" cm="1">
        <f t="array" aca="1" ref="U555" ca="1">+U555:Y1019VLOOKUP(RiskRegister[[#This Row],[Residual Impact Level]],'Rating factors'!$F$4:$G$9,2,FALSE)</f>
        <v>#NAME?</v>
      </c>
      <c r="V555" s="16" t="s">
        <v>79</v>
      </c>
      <c r="W555" s="17" t="str">
        <f>VLOOKUP(RiskRegister[[#This Row],[Residual Likelihood Level]],'Rating factors'!$F$16:$G$21,2,FALSE)</f>
        <v>--- Error ---</v>
      </c>
      <c r="X555" s="17" t="str">
        <f ca="1">IFERROR(VLOOKUP(RiskRegister[[#This Row],[Residual Risk Rating]],'Rating factors'!$F$30:$G$44,2,FALSE),"-- Error --")</f>
        <v>-- Error --</v>
      </c>
      <c r="Y555" s="17" t="str">
        <f ca="1">IFERROR(RiskRegister[[#This Row],[Residual Impact Rating]]*RiskRegister[[#This Row],[Residual Likelihood Rating]],"-- Error --")</f>
        <v>-- Error --</v>
      </c>
      <c r="Z555" s="16" t="s">
        <v>100</v>
      </c>
      <c r="AB555" s="39"/>
      <c r="AD555" s="20"/>
    </row>
    <row r="556" spans="1:30" s="16" customFormat="1" hidden="1" x14ac:dyDescent="0.25">
      <c r="A556" s="16">
        <v>553</v>
      </c>
      <c r="G556" s="16" t="s">
        <v>77</v>
      </c>
      <c r="I556" s="16" t="s">
        <v>75</v>
      </c>
      <c r="L556" s="105" t="s">
        <v>99</v>
      </c>
      <c r="M556" s="17" t="str">
        <f>VLOOKUP(RiskRegister[[#This Row],[Inherent Impact LevelL3:L1020D1007L3:L1019]],'Rating factors'!$F$4:$G$9,2,FALSE)</f>
        <v>--- Error ---</v>
      </c>
      <c r="N556" s="16" t="s">
        <v>79</v>
      </c>
      <c r="O556" s="17" t="str">
        <f>VLOOKUP(RiskRegister[[#This Row],[Inherent Likelihood Level]],'Rating factors'!$F$16:$G$21,2,FALSE)</f>
        <v>--- Error ---</v>
      </c>
      <c r="P556" s="17" t="str">
        <f>IFERROR(VLOOKUP(RiskRegister[[#This Row],[Inherent Risk Rating]],'Rating factors'!$F$30:$G$44,2,FALSE),"-- Error --")</f>
        <v>-- Error --</v>
      </c>
      <c r="Q556" s="17" t="str">
        <f>IFERROR(RiskRegister[[#This Row],[Inherent Impact Rating]]*RiskRegister[[#This Row],[Inherent Likelihood Rating]],"-- Error --")</f>
        <v>-- Error --</v>
      </c>
      <c r="R556" s="16" t="s">
        <v>98</v>
      </c>
      <c r="T556" s="16" t="s">
        <v>99</v>
      </c>
      <c r="U556" s="17" t="e" cm="1">
        <f t="array" aca="1" ref="U556" ca="1">+U556:Y1019VLOOKUP(RiskRegister[[#This Row],[Residual Impact Level]],'Rating factors'!$F$4:$G$9,2,FALSE)</f>
        <v>#NAME?</v>
      </c>
      <c r="V556" s="16" t="s">
        <v>79</v>
      </c>
      <c r="W556" s="17" t="str">
        <f>VLOOKUP(RiskRegister[[#This Row],[Residual Likelihood Level]],'Rating factors'!$F$16:$G$21,2,FALSE)</f>
        <v>--- Error ---</v>
      </c>
      <c r="X556" s="17" t="str">
        <f ca="1">IFERROR(VLOOKUP(RiskRegister[[#This Row],[Residual Risk Rating]],'Rating factors'!$F$30:$G$44,2,FALSE),"-- Error --")</f>
        <v>-- Error --</v>
      </c>
      <c r="Y556" s="17" t="str">
        <f ca="1">IFERROR(RiskRegister[[#This Row],[Residual Impact Rating]]*RiskRegister[[#This Row],[Residual Likelihood Rating]],"-- Error --")</f>
        <v>-- Error --</v>
      </c>
      <c r="Z556" s="16" t="s">
        <v>100</v>
      </c>
      <c r="AB556" s="39"/>
      <c r="AD556" s="20"/>
    </row>
    <row r="557" spans="1:30" s="16" customFormat="1" hidden="1" x14ac:dyDescent="0.25">
      <c r="A557" s="16">
        <v>554</v>
      </c>
      <c r="G557" s="16" t="s">
        <v>77</v>
      </c>
      <c r="I557" s="16" t="s">
        <v>75</v>
      </c>
      <c r="L557" s="105" t="s">
        <v>99</v>
      </c>
      <c r="M557" s="17" t="str">
        <f>VLOOKUP(RiskRegister[[#This Row],[Inherent Impact LevelL3:L1020D1007L3:L1019]],'Rating factors'!$F$4:$G$9,2,FALSE)</f>
        <v>--- Error ---</v>
      </c>
      <c r="N557" s="16" t="s">
        <v>79</v>
      </c>
      <c r="O557" s="17" t="str">
        <f>VLOOKUP(RiskRegister[[#This Row],[Inherent Likelihood Level]],'Rating factors'!$F$16:$G$21,2,FALSE)</f>
        <v>--- Error ---</v>
      </c>
      <c r="P557" s="17" t="str">
        <f>IFERROR(VLOOKUP(RiskRegister[[#This Row],[Inherent Risk Rating]],'Rating factors'!$F$30:$G$44,2,FALSE),"-- Error --")</f>
        <v>-- Error --</v>
      </c>
      <c r="Q557" s="17" t="str">
        <f>IFERROR(RiskRegister[[#This Row],[Inherent Impact Rating]]*RiskRegister[[#This Row],[Inherent Likelihood Rating]],"-- Error --")</f>
        <v>-- Error --</v>
      </c>
      <c r="R557" s="16" t="s">
        <v>98</v>
      </c>
      <c r="T557" s="16" t="s">
        <v>99</v>
      </c>
      <c r="U557" s="17" t="e" cm="1">
        <f t="array" aca="1" ref="U557" ca="1">+U557:Y1019VLOOKUP(RiskRegister[[#This Row],[Residual Impact Level]],'Rating factors'!$F$4:$G$9,2,FALSE)</f>
        <v>#NAME?</v>
      </c>
      <c r="V557" s="16" t="s">
        <v>79</v>
      </c>
      <c r="W557" s="17" t="str">
        <f>VLOOKUP(RiskRegister[[#This Row],[Residual Likelihood Level]],'Rating factors'!$F$16:$G$21,2,FALSE)</f>
        <v>--- Error ---</v>
      </c>
      <c r="X557" s="17" t="str">
        <f ca="1">IFERROR(VLOOKUP(RiskRegister[[#This Row],[Residual Risk Rating]],'Rating factors'!$F$30:$G$44,2,FALSE),"-- Error --")</f>
        <v>-- Error --</v>
      </c>
      <c r="Y557" s="17" t="str">
        <f ca="1">IFERROR(RiskRegister[[#This Row],[Residual Impact Rating]]*RiskRegister[[#This Row],[Residual Likelihood Rating]],"-- Error --")</f>
        <v>-- Error --</v>
      </c>
      <c r="Z557" s="16" t="s">
        <v>100</v>
      </c>
      <c r="AB557" s="39"/>
      <c r="AD557" s="20"/>
    </row>
    <row r="558" spans="1:30" s="16" customFormat="1" hidden="1" x14ac:dyDescent="0.25">
      <c r="A558" s="16">
        <v>555</v>
      </c>
      <c r="G558" s="16" t="s">
        <v>77</v>
      </c>
      <c r="I558" s="16" t="s">
        <v>75</v>
      </c>
      <c r="L558" s="105" t="s">
        <v>99</v>
      </c>
      <c r="M558" s="17" t="str">
        <f>VLOOKUP(RiskRegister[[#This Row],[Inherent Impact LevelL3:L1020D1007L3:L1019]],'Rating factors'!$F$4:$G$9,2,FALSE)</f>
        <v>--- Error ---</v>
      </c>
      <c r="N558" s="16" t="s">
        <v>79</v>
      </c>
      <c r="O558" s="17" t="str">
        <f>VLOOKUP(RiskRegister[[#This Row],[Inherent Likelihood Level]],'Rating factors'!$F$16:$G$21,2,FALSE)</f>
        <v>--- Error ---</v>
      </c>
      <c r="P558" s="17" t="str">
        <f>IFERROR(VLOOKUP(RiskRegister[[#This Row],[Inherent Risk Rating]],'Rating factors'!$F$30:$G$44,2,FALSE),"-- Error --")</f>
        <v>-- Error --</v>
      </c>
      <c r="Q558" s="17" t="str">
        <f>IFERROR(RiskRegister[[#This Row],[Inherent Impact Rating]]*RiskRegister[[#This Row],[Inherent Likelihood Rating]],"-- Error --")</f>
        <v>-- Error --</v>
      </c>
      <c r="R558" s="16" t="s">
        <v>98</v>
      </c>
      <c r="T558" s="16" t="s">
        <v>99</v>
      </c>
      <c r="U558" s="17" t="e" cm="1">
        <f t="array" aca="1" ref="U558" ca="1">+U558:Y1019VLOOKUP(RiskRegister[[#This Row],[Residual Impact Level]],'Rating factors'!$F$4:$G$9,2,FALSE)</f>
        <v>#NAME?</v>
      </c>
      <c r="V558" s="16" t="s">
        <v>79</v>
      </c>
      <c r="W558" s="17" t="str">
        <f>VLOOKUP(RiskRegister[[#This Row],[Residual Likelihood Level]],'Rating factors'!$F$16:$G$21,2,FALSE)</f>
        <v>--- Error ---</v>
      </c>
      <c r="X558" s="17" t="str">
        <f ca="1">IFERROR(VLOOKUP(RiskRegister[[#This Row],[Residual Risk Rating]],'Rating factors'!$F$30:$G$44,2,FALSE),"-- Error --")</f>
        <v>-- Error --</v>
      </c>
      <c r="Y558" s="17" t="str">
        <f ca="1">IFERROR(RiskRegister[[#This Row],[Residual Impact Rating]]*RiskRegister[[#This Row],[Residual Likelihood Rating]],"-- Error --")</f>
        <v>-- Error --</v>
      </c>
      <c r="Z558" s="16" t="s">
        <v>100</v>
      </c>
      <c r="AB558" s="39"/>
      <c r="AD558" s="20"/>
    </row>
    <row r="559" spans="1:30" s="16" customFormat="1" hidden="1" x14ac:dyDescent="0.25">
      <c r="A559" s="16">
        <v>556</v>
      </c>
      <c r="G559" s="16" t="s">
        <v>77</v>
      </c>
      <c r="I559" s="16" t="s">
        <v>75</v>
      </c>
      <c r="L559" s="105" t="s">
        <v>99</v>
      </c>
      <c r="M559" s="17" t="str">
        <f>VLOOKUP(RiskRegister[[#This Row],[Inherent Impact LevelL3:L1020D1007L3:L1019]],'Rating factors'!$F$4:$G$9,2,FALSE)</f>
        <v>--- Error ---</v>
      </c>
      <c r="N559" s="16" t="s">
        <v>79</v>
      </c>
      <c r="O559" s="17" t="str">
        <f>VLOOKUP(RiskRegister[[#This Row],[Inherent Likelihood Level]],'Rating factors'!$F$16:$G$21,2,FALSE)</f>
        <v>--- Error ---</v>
      </c>
      <c r="P559" s="17" t="str">
        <f>IFERROR(VLOOKUP(RiskRegister[[#This Row],[Inherent Risk Rating]],'Rating factors'!$F$30:$G$44,2,FALSE),"-- Error --")</f>
        <v>-- Error --</v>
      </c>
      <c r="Q559" s="17" t="str">
        <f>IFERROR(RiskRegister[[#This Row],[Inherent Impact Rating]]*RiskRegister[[#This Row],[Inherent Likelihood Rating]],"-- Error --")</f>
        <v>-- Error --</v>
      </c>
      <c r="R559" s="16" t="s">
        <v>98</v>
      </c>
      <c r="T559" s="16" t="s">
        <v>99</v>
      </c>
      <c r="U559" s="17" t="e" cm="1">
        <f t="array" aca="1" ref="U559" ca="1">+U559:Y1019VLOOKUP(RiskRegister[[#This Row],[Residual Impact Level]],'Rating factors'!$F$4:$G$9,2,FALSE)</f>
        <v>#NAME?</v>
      </c>
      <c r="V559" s="16" t="s">
        <v>79</v>
      </c>
      <c r="W559" s="17" t="str">
        <f>VLOOKUP(RiskRegister[[#This Row],[Residual Likelihood Level]],'Rating factors'!$F$16:$G$21,2,FALSE)</f>
        <v>--- Error ---</v>
      </c>
      <c r="X559" s="17" t="str">
        <f ca="1">IFERROR(VLOOKUP(RiskRegister[[#This Row],[Residual Risk Rating]],'Rating factors'!$F$30:$G$44,2,FALSE),"-- Error --")</f>
        <v>-- Error --</v>
      </c>
      <c r="Y559" s="17" t="str">
        <f ca="1">IFERROR(RiskRegister[[#This Row],[Residual Impact Rating]]*RiskRegister[[#This Row],[Residual Likelihood Rating]],"-- Error --")</f>
        <v>-- Error --</v>
      </c>
      <c r="Z559" s="16" t="s">
        <v>100</v>
      </c>
      <c r="AB559" s="39"/>
      <c r="AD559" s="20"/>
    </row>
    <row r="560" spans="1:30" s="16" customFormat="1" hidden="1" x14ac:dyDescent="0.25">
      <c r="A560" s="16">
        <v>557</v>
      </c>
      <c r="G560" s="16" t="s">
        <v>77</v>
      </c>
      <c r="I560" s="16" t="s">
        <v>75</v>
      </c>
      <c r="L560" s="105" t="s">
        <v>99</v>
      </c>
      <c r="M560" s="17" t="str">
        <f>VLOOKUP(RiskRegister[[#This Row],[Inherent Impact LevelL3:L1020D1007L3:L1019]],'Rating factors'!$F$4:$G$9,2,FALSE)</f>
        <v>--- Error ---</v>
      </c>
      <c r="N560" s="16" t="s">
        <v>79</v>
      </c>
      <c r="O560" s="17" t="str">
        <f>VLOOKUP(RiskRegister[[#This Row],[Inherent Likelihood Level]],'Rating factors'!$F$16:$G$21,2,FALSE)</f>
        <v>--- Error ---</v>
      </c>
      <c r="P560" s="17" t="str">
        <f>IFERROR(VLOOKUP(RiskRegister[[#This Row],[Inherent Risk Rating]],'Rating factors'!$F$30:$G$44,2,FALSE),"-- Error --")</f>
        <v>-- Error --</v>
      </c>
      <c r="Q560" s="17" t="str">
        <f>IFERROR(RiskRegister[[#This Row],[Inherent Impact Rating]]*RiskRegister[[#This Row],[Inherent Likelihood Rating]],"-- Error --")</f>
        <v>-- Error --</v>
      </c>
      <c r="R560" s="16" t="s">
        <v>98</v>
      </c>
      <c r="T560" s="16" t="s">
        <v>99</v>
      </c>
      <c r="U560" s="17" t="e" cm="1">
        <f t="array" aca="1" ref="U560" ca="1">+U560:Y1019VLOOKUP(RiskRegister[[#This Row],[Residual Impact Level]],'Rating factors'!$F$4:$G$9,2,FALSE)</f>
        <v>#NAME?</v>
      </c>
      <c r="V560" s="16" t="s">
        <v>79</v>
      </c>
      <c r="W560" s="17" t="str">
        <f>VLOOKUP(RiskRegister[[#This Row],[Residual Likelihood Level]],'Rating factors'!$F$16:$G$21,2,FALSE)</f>
        <v>--- Error ---</v>
      </c>
      <c r="X560" s="17" t="str">
        <f ca="1">IFERROR(VLOOKUP(RiskRegister[[#This Row],[Residual Risk Rating]],'Rating factors'!$F$30:$G$44,2,FALSE),"-- Error --")</f>
        <v>-- Error --</v>
      </c>
      <c r="Y560" s="17" t="str">
        <f ca="1">IFERROR(RiskRegister[[#This Row],[Residual Impact Rating]]*RiskRegister[[#This Row],[Residual Likelihood Rating]],"-- Error --")</f>
        <v>-- Error --</v>
      </c>
      <c r="Z560" s="16" t="s">
        <v>100</v>
      </c>
      <c r="AB560" s="39"/>
      <c r="AD560" s="20"/>
    </row>
    <row r="561" spans="1:30" s="16" customFormat="1" hidden="1" x14ac:dyDescent="0.25">
      <c r="A561" s="16">
        <v>558</v>
      </c>
      <c r="G561" s="16" t="s">
        <v>77</v>
      </c>
      <c r="I561" s="16" t="s">
        <v>75</v>
      </c>
      <c r="L561" s="105" t="s">
        <v>99</v>
      </c>
      <c r="M561" s="17" t="str">
        <f>VLOOKUP(RiskRegister[[#This Row],[Inherent Impact LevelL3:L1020D1007L3:L1019]],'Rating factors'!$F$4:$G$9,2,FALSE)</f>
        <v>--- Error ---</v>
      </c>
      <c r="N561" s="16" t="s">
        <v>79</v>
      </c>
      <c r="O561" s="17" t="str">
        <f>VLOOKUP(RiskRegister[[#This Row],[Inherent Likelihood Level]],'Rating factors'!$F$16:$G$21,2,FALSE)</f>
        <v>--- Error ---</v>
      </c>
      <c r="P561" s="17" t="str">
        <f>IFERROR(VLOOKUP(RiskRegister[[#This Row],[Inherent Risk Rating]],'Rating factors'!$F$30:$G$44,2,FALSE),"-- Error --")</f>
        <v>-- Error --</v>
      </c>
      <c r="Q561" s="17" t="str">
        <f>IFERROR(RiskRegister[[#This Row],[Inherent Impact Rating]]*RiskRegister[[#This Row],[Inherent Likelihood Rating]],"-- Error --")</f>
        <v>-- Error --</v>
      </c>
      <c r="R561" s="16" t="s">
        <v>98</v>
      </c>
      <c r="T561" s="16" t="s">
        <v>99</v>
      </c>
      <c r="U561" s="17" t="e" cm="1">
        <f t="array" aca="1" ref="U561" ca="1">+U561:Y1019VLOOKUP(RiskRegister[[#This Row],[Residual Impact Level]],'Rating factors'!$F$4:$G$9,2,FALSE)</f>
        <v>#NAME?</v>
      </c>
      <c r="V561" s="16" t="s">
        <v>79</v>
      </c>
      <c r="W561" s="17" t="str">
        <f>VLOOKUP(RiskRegister[[#This Row],[Residual Likelihood Level]],'Rating factors'!$F$16:$G$21,2,FALSE)</f>
        <v>--- Error ---</v>
      </c>
      <c r="X561" s="17" t="str">
        <f ca="1">IFERROR(VLOOKUP(RiskRegister[[#This Row],[Residual Risk Rating]],'Rating factors'!$F$30:$G$44,2,FALSE),"-- Error --")</f>
        <v>-- Error --</v>
      </c>
      <c r="Y561" s="17" t="str">
        <f ca="1">IFERROR(RiskRegister[[#This Row],[Residual Impact Rating]]*RiskRegister[[#This Row],[Residual Likelihood Rating]],"-- Error --")</f>
        <v>-- Error --</v>
      </c>
      <c r="Z561" s="16" t="s">
        <v>100</v>
      </c>
      <c r="AB561" s="39"/>
      <c r="AD561" s="20"/>
    </row>
    <row r="562" spans="1:30" s="16" customFormat="1" hidden="1" x14ac:dyDescent="0.25">
      <c r="A562" s="16">
        <v>559</v>
      </c>
      <c r="G562" s="16" t="s">
        <v>77</v>
      </c>
      <c r="I562" s="16" t="s">
        <v>75</v>
      </c>
      <c r="L562" s="105" t="s">
        <v>99</v>
      </c>
      <c r="M562" s="17" t="str">
        <f>VLOOKUP(RiskRegister[[#This Row],[Inherent Impact LevelL3:L1020D1007L3:L1019]],'Rating factors'!$F$4:$G$9,2,FALSE)</f>
        <v>--- Error ---</v>
      </c>
      <c r="N562" s="16" t="s">
        <v>79</v>
      </c>
      <c r="O562" s="17" t="str">
        <f>VLOOKUP(RiskRegister[[#This Row],[Inherent Likelihood Level]],'Rating factors'!$F$16:$G$21,2,FALSE)</f>
        <v>--- Error ---</v>
      </c>
      <c r="P562" s="17" t="str">
        <f>IFERROR(VLOOKUP(RiskRegister[[#This Row],[Inherent Risk Rating]],'Rating factors'!$F$30:$G$44,2,FALSE),"-- Error --")</f>
        <v>-- Error --</v>
      </c>
      <c r="Q562" s="17" t="str">
        <f>IFERROR(RiskRegister[[#This Row],[Inherent Impact Rating]]*RiskRegister[[#This Row],[Inherent Likelihood Rating]],"-- Error --")</f>
        <v>-- Error --</v>
      </c>
      <c r="R562" s="16" t="s">
        <v>98</v>
      </c>
      <c r="T562" s="16" t="s">
        <v>99</v>
      </c>
      <c r="U562" s="17" t="e" cm="1">
        <f t="array" aca="1" ref="U562" ca="1">+U562:Y1019VLOOKUP(RiskRegister[[#This Row],[Residual Impact Level]],'Rating factors'!$F$4:$G$9,2,FALSE)</f>
        <v>#NAME?</v>
      </c>
      <c r="V562" s="16" t="s">
        <v>79</v>
      </c>
      <c r="W562" s="17" t="str">
        <f>VLOOKUP(RiskRegister[[#This Row],[Residual Likelihood Level]],'Rating factors'!$F$16:$G$21,2,FALSE)</f>
        <v>--- Error ---</v>
      </c>
      <c r="X562" s="17" t="str">
        <f ca="1">IFERROR(VLOOKUP(RiskRegister[[#This Row],[Residual Risk Rating]],'Rating factors'!$F$30:$G$44,2,FALSE),"-- Error --")</f>
        <v>-- Error --</v>
      </c>
      <c r="Y562" s="17" t="str">
        <f ca="1">IFERROR(RiskRegister[[#This Row],[Residual Impact Rating]]*RiskRegister[[#This Row],[Residual Likelihood Rating]],"-- Error --")</f>
        <v>-- Error --</v>
      </c>
      <c r="Z562" s="16" t="s">
        <v>100</v>
      </c>
      <c r="AB562" s="39"/>
      <c r="AD562" s="20"/>
    </row>
    <row r="563" spans="1:30" s="16" customFormat="1" hidden="1" x14ac:dyDescent="0.25">
      <c r="A563" s="16">
        <v>560</v>
      </c>
      <c r="G563" s="16" t="s">
        <v>77</v>
      </c>
      <c r="I563" s="16" t="s">
        <v>75</v>
      </c>
      <c r="L563" s="105" t="s">
        <v>99</v>
      </c>
      <c r="M563" s="17" t="str">
        <f>VLOOKUP(RiskRegister[[#This Row],[Inherent Impact LevelL3:L1020D1007L3:L1019]],'Rating factors'!$F$4:$G$9,2,FALSE)</f>
        <v>--- Error ---</v>
      </c>
      <c r="N563" s="16" t="s">
        <v>79</v>
      </c>
      <c r="O563" s="17" t="str">
        <f>VLOOKUP(RiskRegister[[#This Row],[Inherent Likelihood Level]],'Rating factors'!$F$16:$G$21,2,FALSE)</f>
        <v>--- Error ---</v>
      </c>
      <c r="P563" s="17" t="str">
        <f>IFERROR(VLOOKUP(RiskRegister[[#This Row],[Inherent Risk Rating]],'Rating factors'!$F$30:$G$44,2,FALSE),"-- Error --")</f>
        <v>-- Error --</v>
      </c>
      <c r="Q563" s="17" t="str">
        <f>IFERROR(RiskRegister[[#This Row],[Inherent Impact Rating]]*RiskRegister[[#This Row],[Inherent Likelihood Rating]],"-- Error --")</f>
        <v>-- Error --</v>
      </c>
      <c r="R563" s="16" t="s">
        <v>98</v>
      </c>
      <c r="T563" s="16" t="s">
        <v>99</v>
      </c>
      <c r="U563" s="17" t="e" cm="1">
        <f t="array" aca="1" ref="U563" ca="1">+U563:Y1019VLOOKUP(RiskRegister[[#This Row],[Residual Impact Level]],'Rating factors'!$F$4:$G$9,2,FALSE)</f>
        <v>#NAME?</v>
      </c>
      <c r="V563" s="16" t="s">
        <v>79</v>
      </c>
      <c r="W563" s="17" t="str">
        <f>VLOOKUP(RiskRegister[[#This Row],[Residual Likelihood Level]],'Rating factors'!$F$16:$G$21,2,FALSE)</f>
        <v>--- Error ---</v>
      </c>
      <c r="X563" s="17" t="str">
        <f ca="1">IFERROR(VLOOKUP(RiskRegister[[#This Row],[Residual Risk Rating]],'Rating factors'!$F$30:$G$44,2,FALSE),"-- Error --")</f>
        <v>-- Error --</v>
      </c>
      <c r="Y563" s="17" t="str">
        <f ca="1">IFERROR(RiskRegister[[#This Row],[Residual Impact Rating]]*RiskRegister[[#This Row],[Residual Likelihood Rating]],"-- Error --")</f>
        <v>-- Error --</v>
      </c>
      <c r="Z563" s="16" t="s">
        <v>100</v>
      </c>
      <c r="AB563" s="39"/>
      <c r="AD563" s="20"/>
    </row>
    <row r="564" spans="1:30" s="16" customFormat="1" hidden="1" x14ac:dyDescent="0.25">
      <c r="A564" s="16">
        <v>561</v>
      </c>
      <c r="G564" s="16" t="s">
        <v>77</v>
      </c>
      <c r="I564" s="16" t="s">
        <v>75</v>
      </c>
      <c r="L564" s="105" t="s">
        <v>99</v>
      </c>
      <c r="M564" s="17" t="str">
        <f>VLOOKUP(RiskRegister[[#This Row],[Inherent Impact LevelL3:L1020D1007L3:L1019]],'Rating factors'!$F$4:$G$9,2,FALSE)</f>
        <v>--- Error ---</v>
      </c>
      <c r="N564" s="16" t="s">
        <v>79</v>
      </c>
      <c r="O564" s="17" t="str">
        <f>VLOOKUP(RiskRegister[[#This Row],[Inherent Likelihood Level]],'Rating factors'!$F$16:$G$21,2,FALSE)</f>
        <v>--- Error ---</v>
      </c>
      <c r="P564" s="17" t="str">
        <f>IFERROR(VLOOKUP(RiskRegister[[#This Row],[Inherent Risk Rating]],'Rating factors'!$F$30:$G$44,2,FALSE),"-- Error --")</f>
        <v>-- Error --</v>
      </c>
      <c r="Q564" s="17" t="str">
        <f>IFERROR(RiskRegister[[#This Row],[Inherent Impact Rating]]*RiskRegister[[#This Row],[Inherent Likelihood Rating]],"-- Error --")</f>
        <v>-- Error --</v>
      </c>
      <c r="R564" s="16" t="s">
        <v>98</v>
      </c>
      <c r="T564" s="16" t="s">
        <v>99</v>
      </c>
      <c r="U564" s="17" t="e" cm="1">
        <f t="array" aca="1" ref="U564" ca="1">+U564:Y1019VLOOKUP(RiskRegister[[#This Row],[Residual Impact Level]],'Rating factors'!$F$4:$G$9,2,FALSE)</f>
        <v>#NAME?</v>
      </c>
      <c r="V564" s="16" t="s">
        <v>79</v>
      </c>
      <c r="W564" s="17" t="str">
        <f>VLOOKUP(RiskRegister[[#This Row],[Residual Likelihood Level]],'Rating factors'!$F$16:$G$21,2,FALSE)</f>
        <v>--- Error ---</v>
      </c>
      <c r="X564" s="17" t="str">
        <f ca="1">IFERROR(VLOOKUP(RiskRegister[[#This Row],[Residual Risk Rating]],'Rating factors'!$F$30:$G$44,2,FALSE),"-- Error --")</f>
        <v>-- Error --</v>
      </c>
      <c r="Y564" s="17" t="str">
        <f ca="1">IFERROR(RiskRegister[[#This Row],[Residual Impact Rating]]*RiskRegister[[#This Row],[Residual Likelihood Rating]],"-- Error --")</f>
        <v>-- Error --</v>
      </c>
      <c r="Z564" s="16" t="s">
        <v>100</v>
      </c>
      <c r="AB564" s="39"/>
      <c r="AD564" s="20"/>
    </row>
    <row r="565" spans="1:30" s="16" customFormat="1" hidden="1" x14ac:dyDescent="0.25">
      <c r="A565" s="16">
        <v>562</v>
      </c>
      <c r="G565" s="16" t="s">
        <v>77</v>
      </c>
      <c r="I565" s="16" t="s">
        <v>75</v>
      </c>
      <c r="L565" s="105" t="s">
        <v>99</v>
      </c>
      <c r="M565" s="17" t="str">
        <f>VLOOKUP(RiskRegister[[#This Row],[Inherent Impact LevelL3:L1020D1007L3:L1019]],'Rating factors'!$F$4:$G$9,2,FALSE)</f>
        <v>--- Error ---</v>
      </c>
      <c r="N565" s="16" t="s">
        <v>79</v>
      </c>
      <c r="O565" s="17" t="str">
        <f>VLOOKUP(RiskRegister[[#This Row],[Inherent Likelihood Level]],'Rating factors'!$F$16:$G$21,2,FALSE)</f>
        <v>--- Error ---</v>
      </c>
      <c r="P565" s="17" t="str">
        <f>IFERROR(VLOOKUP(RiskRegister[[#This Row],[Inherent Risk Rating]],'Rating factors'!$F$30:$G$44,2,FALSE),"-- Error --")</f>
        <v>-- Error --</v>
      </c>
      <c r="Q565" s="17" t="str">
        <f>IFERROR(RiskRegister[[#This Row],[Inherent Impact Rating]]*RiskRegister[[#This Row],[Inherent Likelihood Rating]],"-- Error --")</f>
        <v>-- Error --</v>
      </c>
      <c r="R565" s="16" t="s">
        <v>98</v>
      </c>
      <c r="T565" s="16" t="s">
        <v>99</v>
      </c>
      <c r="U565" s="17" t="e" cm="1">
        <f t="array" aca="1" ref="U565" ca="1">+U565:Y1019VLOOKUP(RiskRegister[[#This Row],[Residual Impact Level]],'Rating factors'!$F$4:$G$9,2,FALSE)</f>
        <v>#NAME?</v>
      </c>
      <c r="V565" s="16" t="s">
        <v>79</v>
      </c>
      <c r="W565" s="17" t="str">
        <f>VLOOKUP(RiskRegister[[#This Row],[Residual Likelihood Level]],'Rating factors'!$F$16:$G$21,2,FALSE)</f>
        <v>--- Error ---</v>
      </c>
      <c r="X565" s="17" t="str">
        <f ca="1">IFERROR(VLOOKUP(RiskRegister[[#This Row],[Residual Risk Rating]],'Rating factors'!$F$30:$G$44,2,FALSE),"-- Error --")</f>
        <v>-- Error --</v>
      </c>
      <c r="Y565" s="17" t="str">
        <f ca="1">IFERROR(RiskRegister[[#This Row],[Residual Impact Rating]]*RiskRegister[[#This Row],[Residual Likelihood Rating]],"-- Error --")</f>
        <v>-- Error --</v>
      </c>
      <c r="Z565" s="16" t="s">
        <v>100</v>
      </c>
      <c r="AB565" s="39"/>
      <c r="AD565" s="20"/>
    </row>
    <row r="566" spans="1:30" s="16" customFormat="1" hidden="1" x14ac:dyDescent="0.25">
      <c r="A566" s="16">
        <v>563</v>
      </c>
      <c r="G566" s="16" t="s">
        <v>77</v>
      </c>
      <c r="I566" s="16" t="s">
        <v>75</v>
      </c>
      <c r="L566" s="105" t="s">
        <v>99</v>
      </c>
      <c r="M566" s="17" t="str">
        <f>VLOOKUP(RiskRegister[[#This Row],[Inherent Impact LevelL3:L1020D1007L3:L1019]],'Rating factors'!$F$4:$G$9,2,FALSE)</f>
        <v>--- Error ---</v>
      </c>
      <c r="N566" s="16" t="s">
        <v>79</v>
      </c>
      <c r="O566" s="17" t="str">
        <f>VLOOKUP(RiskRegister[[#This Row],[Inherent Likelihood Level]],'Rating factors'!$F$16:$G$21,2,FALSE)</f>
        <v>--- Error ---</v>
      </c>
      <c r="P566" s="17" t="str">
        <f>IFERROR(VLOOKUP(RiskRegister[[#This Row],[Inherent Risk Rating]],'Rating factors'!$F$30:$G$44,2,FALSE),"-- Error --")</f>
        <v>-- Error --</v>
      </c>
      <c r="Q566" s="17" t="str">
        <f>IFERROR(RiskRegister[[#This Row],[Inherent Impact Rating]]*RiskRegister[[#This Row],[Inherent Likelihood Rating]],"-- Error --")</f>
        <v>-- Error --</v>
      </c>
      <c r="R566" s="16" t="s">
        <v>98</v>
      </c>
      <c r="T566" s="16" t="s">
        <v>99</v>
      </c>
      <c r="U566" s="17" t="e" cm="1">
        <f t="array" aca="1" ref="U566" ca="1">+U566:Y1019VLOOKUP(RiskRegister[[#This Row],[Residual Impact Level]],'Rating factors'!$F$4:$G$9,2,FALSE)</f>
        <v>#NAME?</v>
      </c>
      <c r="V566" s="16" t="s">
        <v>79</v>
      </c>
      <c r="W566" s="17" t="str">
        <f>VLOOKUP(RiskRegister[[#This Row],[Residual Likelihood Level]],'Rating factors'!$F$16:$G$21,2,FALSE)</f>
        <v>--- Error ---</v>
      </c>
      <c r="X566" s="17" t="str">
        <f ca="1">IFERROR(VLOOKUP(RiskRegister[[#This Row],[Residual Risk Rating]],'Rating factors'!$F$30:$G$44,2,FALSE),"-- Error --")</f>
        <v>-- Error --</v>
      </c>
      <c r="Y566" s="17" t="str">
        <f ca="1">IFERROR(RiskRegister[[#This Row],[Residual Impact Rating]]*RiskRegister[[#This Row],[Residual Likelihood Rating]],"-- Error --")</f>
        <v>-- Error --</v>
      </c>
      <c r="Z566" s="16" t="s">
        <v>100</v>
      </c>
      <c r="AB566" s="39"/>
      <c r="AD566" s="20"/>
    </row>
    <row r="567" spans="1:30" s="16" customFormat="1" hidden="1" x14ac:dyDescent="0.25">
      <c r="A567" s="16">
        <v>564</v>
      </c>
      <c r="G567" s="16" t="s">
        <v>77</v>
      </c>
      <c r="I567" s="16" t="s">
        <v>75</v>
      </c>
      <c r="L567" s="105" t="s">
        <v>99</v>
      </c>
      <c r="M567" s="17" t="str">
        <f>VLOOKUP(RiskRegister[[#This Row],[Inherent Impact LevelL3:L1020D1007L3:L1019]],'Rating factors'!$F$4:$G$9,2,FALSE)</f>
        <v>--- Error ---</v>
      </c>
      <c r="N567" s="16" t="s">
        <v>79</v>
      </c>
      <c r="O567" s="17" t="str">
        <f>VLOOKUP(RiskRegister[[#This Row],[Inherent Likelihood Level]],'Rating factors'!$F$16:$G$21,2,FALSE)</f>
        <v>--- Error ---</v>
      </c>
      <c r="P567" s="17" t="str">
        <f>IFERROR(VLOOKUP(RiskRegister[[#This Row],[Inherent Risk Rating]],'Rating factors'!$F$30:$G$44,2,FALSE),"-- Error --")</f>
        <v>-- Error --</v>
      </c>
      <c r="Q567" s="17" t="str">
        <f>IFERROR(RiskRegister[[#This Row],[Inherent Impact Rating]]*RiskRegister[[#This Row],[Inherent Likelihood Rating]],"-- Error --")</f>
        <v>-- Error --</v>
      </c>
      <c r="R567" s="16" t="s">
        <v>98</v>
      </c>
      <c r="T567" s="16" t="s">
        <v>99</v>
      </c>
      <c r="U567" s="17" t="e" cm="1">
        <f t="array" aca="1" ref="U567" ca="1">+U567:Y1019VLOOKUP(RiskRegister[[#This Row],[Residual Impact Level]],'Rating factors'!$F$4:$G$9,2,FALSE)</f>
        <v>#NAME?</v>
      </c>
      <c r="V567" s="16" t="s">
        <v>79</v>
      </c>
      <c r="W567" s="17" t="str">
        <f>VLOOKUP(RiskRegister[[#This Row],[Residual Likelihood Level]],'Rating factors'!$F$16:$G$21,2,FALSE)</f>
        <v>--- Error ---</v>
      </c>
      <c r="X567" s="17" t="str">
        <f ca="1">IFERROR(VLOOKUP(RiskRegister[[#This Row],[Residual Risk Rating]],'Rating factors'!$F$30:$G$44,2,FALSE),"-- Error --")</f>
        <v>-- Error --</v>
      </c>
      <c r="Y567" s="17" t="str">
        <f ca="1">IFERROR(RiskRegister[[#This Row],[Residual Impact Rating]]*RiskRegister[[#This Row],[Residual Likelihood Rating]],"-- Error --")</f>
        <v>-- Error --</v>
      </c>
      <c r="Z567" s="16" t="s">
        <v>100</v>
      </c>
      <c r="AB567" s="39"/>
      <c r="AD567" s="20"/>
    </row>
    <row r="568" spans="1:30" s="16" customFormat="1" hidden="1" x14ac:dyDescent="0.25">
      <c r="A568" s="16">
        <v>565</v>
      </c>
      <c r="G568" s="16" t="s">
        <v>77</v>
      </c>
      <c r="I568" s="16" t="s">
        <v>75</v>
      </c>
      <c r="L568" s="105" t="s">
        <v>99</v>
      </c>
      <c r="M568" s="17" t="str">
        <f>VLOOKUP(RiskRegister[[#This Row],[Inherent Impact LevelL3:L1020D1007L3:L1019]],'Rating factors'!$F$4:$G$9,2,FALSE)</f>
        <v>--- Error ---</v>
      </c>
      <c r="N568" s="16" t="s">
        <v>79</v>
      </c>
      <c r="O568" s="17" t="str">
        <f>VLOOKUP(RiskRegister[[#This Row],[Inherent Likelihood Level]],'Rating factors'!$F$16:$G$21,2,FALSE)</f>
        <v>--- Error ---</v>
      </c>
      <c r="P568" s="17" t="str">
        <f>IFERROR(VLOOKUP(RiskRegister[[#This Row],[Inherent Risk Rating]],'Rating factors'!$F$30:$G$44,2,FALSE),"-- Error --")</f>
        <v>-- Error --</v>
      </c>
      <c r="Q568" s="17" t="str">
        <f>IFERROR(RiskRegister[[#This Row],[Inherent Impact Rating]]*RiskRegister[[#This Row],[Inherent Likelihood Rating]],"-- Error --")</f>
        <v>-- Error --</v>
      </c>
      <c r="R568" s="16" t="s">
        <v>98</v>
      </c>
      <c r="T568" s="16" t="s">
        <v>99</v>
      </c>
      <c r="U568" s="17" t="e" cm="1">
        <f t="array" aca="1" ref="U568" ca="1">+U568:Y1019VLOOKUP(RiskRegister[[#This Row],[Residual Impact Level]],'Rating factors'!$F$4:$G$9,2,FALSE)</f>
        <v>#NAME?</v>
      </c>
      <c r="V568" s="16" t="s">
        <v>79</v>
      </c>
      <c r="W568" s="17" t="str">
        <f>VLOOKUP(RiskRegister[[#This Row],[Residual Likelihood Level]],'Rating factors'!$F$16:$G$21,2,FALSE)</f>
        <v>--- Error ---</v>
      </c>
      <c r="X568" s="17" t="str">
        <f ca="1">IFERROR(VLOOKUP(RiskRegister[[#This Row],[Residual Risk Rating]],'Rating factors'!$F$30:$G$44,2,FALSE),"-- Error --")</f>
        <v>-- Error --</v>
      </c>
      <c r="Y568" s="17" t="str">
        <f ca="1">IFERROR(RiskRegister[[#This Row],[Residual Impact Rating]]*RiskRegister[[#This Row],[Residual Likelihood Rating]],"-- Error --")</f>
        <v>-- Error --</v>
      </c>
      <c r="Z568" s="16" t="s">
        <v>100</v>
      </c>
      <c r="AB568" s="39"/>
      <c r="AD568" s="20"/>
    </row>
    <row r="569" spans="1:30" s="16" customFormat="1" hidden="1" x14ac:dyDescent="0.25">
      <c r="A569" s="16">
        <v>566</v>
      </c>
      <c r="G569" s="16" t="s">
        <v>77</v>
      </c>
      <c r="I569" s="16" t="s">
        <v>75</v>
      </c>
      <c r="L569" s="105" t="s">
        <v>99</v>
      </c>
      <c r="M569" s="17" t="str">
        <f>VLOOKUP(RiskRegister[[#This Row],[Inherent Impact LevelL3:L1020D1007L3:L1019]],'Rating factors'!$F$4:$G$9,2,FALSE)</f>
        <v>--- Error ---</v>
      </c>
      <c r="N569" s="16" t="s">
        <v>79</v>
      </c>
      <c r="O569" s="17" t="str">
        <f>VLOOKUP(RiskRegister[[#This Row],[Inherent Likelihood Level]],'Rating factors'!$F$16:$G$21,2,FALSE)</f>
        <v>--- Error ---</v>
      </c>
      <c r="P569" s="17" t="str">
        <f>IFERROR(VLOOKUP(RiskRegister[[#This Row],[Inherent Risk Rating]],'Rating factors'!$F$30:$G$44,2,FALSE),"-- Error --")</f>
        <v>-- Error --</v>
      </c>
      <c r="Q569" s="17" t="str">
        <f>IFERROR(RiskRegister[[#This Row],[Inherent Impact Rating]]*RiskRegister[[#This Row],[Inherent Likelihood Rating]],"-- Error --")</f>
        <v>-- Error --</v>
      </c>
      <c r="R569" s="16" t="s">
        <v>98</v>
      </c>
      <c r="T569" s="16" t="s">
        <v>99</v>
      </c>
      <c r="U569" s="17" t="e" cm="1">
        <f t="array" aca="1" ref="U569" ca="1">+U569:Y1019VLOOKUP(RiskRegister[[#This Row],[Residual Impact Level]],'Rating factors'!$F$4:$G$9,2,FALSE)</f>
        <v>#NAME?</v>
      </c>
      <c r="V569" s="16" t="s">
        <v>79</v>
      </c>
      <c r="W569" s="17" t="str">
        <f>VLOOKUP(RiskRegister[[#This Row],[Residual Likelihood Level]],'Rating factors'!$F$16:$G$21,2,FALSE)</f>
        <v>--- Error ---</v>
      </c>
      <c r="X569" s="17" t="str">
        <f ca="1">IFERROR(VLOOKUP(RiskRegister[[#This Row],[Residual Risk Rating]],'Rating factors'!$F$30:$G$44,2,FALSE),"-- Error --")</f>
        <v>-- Error --</v>
      </c>
      <c r="Y569" s="17" t="str">
        <f ca="1">IFERROR(RiskRegister[[#This Row],[Residual Impact Rating]]*RiskRegister[[#This Row],[Residual Likelihood Rating]],"-- Error --")</f>
        <v>-- Error --</v>
      </c>
      <c r="Z569" s="16" t="s">
        <v>100</v>
      </c>
      <c r="AB569" s="39"/>
      <c r="AD569" s="20"/>
    </row>
    <row r="570" spans="1:30" s="16" customFormat="1" hidden="1" x14ac:dyDescent="0.25">
      <c r="A570" s="16">
        <v>567</v>
      </c>
      <c r="G570" s="16" t="s">
        <v>77</v>
      </c>
      <c r="I570" s="16" t="s">
        <v>75</v>
      </c>
      <c r="L570" s="105" t="s">
        <v>99</v>
      </c>
      <c r="M570" s="17" t="str">
        <f>VLOOKUP(RiskRegister[[#This Row],[Inherent Impact LevelL3:L1020D1007L3:L1019]],'Rating factors'!$F$4:$G$9,2,FALSE)</f>
        <v>--- Error ---</v>
      </c>
      <c r="N570" s="16" t="s">
        <v>79</v>
      </c>
      <c r="O570" s="17" t="str">
        <f>VLOOKUP(RiskRegister[[#This Row],[Inherent Likelihood Level]],'Rating factors'!$F$16:$G$21,2,FALSE)</f>
        <v>--- Error ---</v>
      </c>
      <c r="P570" s="17" t="str">
        <f>IFERROR(VLOOKUP(RiskRegister[[#This Row],[Inherent Risk Rating]],'Rating factors'!$F$30:$G$44,2,FALSE),"-- Error --")</f>
        <v>-- Error --</v>
      </c>
      <c r="Q570" s="17" t="str">
        <f>IFERROR(RiskRegister[[#This Row],[Inherent Impact Rating]]*RiskRegister[[#This Row],[Inherent Likelihood Rating]],"-- Error --")</f>
        <v>-- Error --</v>
      </c>
      <c r="R570" s="16" t="s">
        <v>98</v>
      </c>
      <c r="T570" s="16" t="s">
        <v>99</v>
      </c>
      <c r="U570" s="17" t="e" cm="1">
        <f t="array" aca="1" ref="U570" ca="1">+U570:Y1019VLOOKUP(RiskRegister[[#This Row],[Residual Impact Level]],'Rating factors'!$F$4:$G$9,2,FALSE)</f>
        <v>#NAME?</v>
      </c>
      <c r="V570" s="16" t="s">
        <v>79</v>
      </c>
      <c r="W570" s="17" t="str">
        <f>VLOOKUP(RiskRegister[[#This Row],[Residual Likelihood Level]],'Rating factors'!$F$16:$G$21,2,FALSE)</f>
        <v>--- Error ---</v>
      </c>
      <c r="X570" s="17" t="str">
        <f ca="1">IFERROR(VLOOKUP(RiskRegister[[#This Row],[Residual Risk Rating]],'Rating factors'!$F$30:$G$44,2,FALSE),"-- Error --")</f>
        <v>-- Error --</v>
      </c>
      <c r="Y570" s="17" t="str">
        <f ca="1">IFERROR(RiskRegister[[#This Row],[Residual Impact Rating]]*RiskRegister[[#This Row],[Residual Likelihood Rating]],"-- Error --")</f>
        <v>-- Error --</v>
      </c>
      <c r="Z570" s="16" t="s">
        <v>100</v>
      </c>
      <c r="AB570" s="39"/>
      <c r="AD570" s="20"/>
    </row>
    <row r="571" spans="1:30" s="16" customFormat="1" hidden="1" x14ac:dyDescent="0.25">
      <c r="A571" s="16">
        <v>568</v>
      </c>
      <c r="G571" s="16" t="s">
        <v>77</v>
      </c>
      <c r="I571" s="16" t="s">
        <v>75</v>
      </c>
      <c r="L571" s="105" t="s">
        <v>99</v>
      </c>
      <c r="M571" s="17" t="str">
        <f>VLOOKUP(RiskRegister[[#This Row],[Inherent Impact LevelL3:L1020D1007L3:L1019]],'Rating factors'!$F$4:$G$9,2,FALSE)</f>
        <v>--- Error ---</v>
      </c>
      <c r="N571" s="16" t="s">
        <v>79</v>
      </c>
      <c r="O571" s="17" t="str">
        <f>VLOOKUP(RiskRegister[[#This Row],[Inherent Likelihood Level]],'Rating factors'!$F$16:$G$21,2,FALSE)</f>
        <v>--- Error ---</v>
      </c>
      <c r="P571" s="17" t="str">
        <f>IFERROR(VLOOKUP(RiskRegister[[#This Row],[Inherent Risk Rating]],'Rating factors'!$F$30:$G$44,2,FALSE),"-- Error --")</f>
        <v>-- Error --</v>
      </c>
      <c r="Q571" s="17" t="str">
        <f>IFERROR(RiskRegister[[#This Row],[Inherent Impact Rating]]*RiskRegister[[#This Row],[Inherent Likelihood Rating]],"-- Error --")</f>
        <v>-- Error --</v>
      </c>
      <c r="R571" s="16" t="s">
        <v>98</v>
      </c>
      <c r="T571" s="16" t="s">
        <v>99</v>
      </c>
      <c r="U571" s="17" t="e" cm="1">
        <f t="array" aca="1" ref="U571" ca="1">+U571:Y1019VLOOKUP(RiskRegister[[#This Row],[Residual Impact Level]],'Rating factors'!$F$4:$G$9,2,FALSE)</f>
        <v>#NAME?</v>
      </c>
      <c r="V571" s="16" t="s">
        <v>79</v>
      </c>
      <c r="W571" s="17" t="str">
        <f>VLOOKUP(RiskRegister[[#This Row],[Residual Likelihood Level]],'Rating factors'!$F$16:$G$21,2,FALSE)</f>
        <v>--- Error ---</v>
      </c>
      <c r="X571" s="17" t="str">
        <f ca="1">IFERROR(VLOOKUP(RiskRegister[[#This Row],[Residual Risk Rating]],'Rating factors'!$F$30:$G$44,2,FALSE),"-- Error --")</f>
        <v>-- Error --</v>
      </c>
      <c r="Y571" s="17" t="str">
        <f ca="1">IFERROR(RiskRegister[[#This Row],[Residual Impact Rating]]*RiskRegister[[#This Row],[Residual Likelihood Rating]],"-- Error --")</f>
        <v>-- Error --</v>
      </c>
      <c r="Z571" s="16" t="s">
        <v>100</v>
      </c>
      <c r="AB571" s="39"/>
      <c r="AD571" s="20"/>
    </row>
    <row r="572" spans="1:30" s="16" customFormat="1" hidden="1" x14ac:dyDescent="0.25">
      <c r="A572" s="16">
        <v>569</v>
      </c>
      <c r="G572" s="16" t="s">
        <v>77</v>
      </c>
      <c r="I572" s="16" t="s">
        <v>75</v>
      </c>
      <c r="L572" s="105" t="s">
        <v>99</v>
      </c>
      <c r="M572" s="17" t="str">
        <f>VLOOKUP(RiskRegister[[#This Row],[Inherent Impact LevelL3:L1020D1007L3:L1019]],'Rating factors'!$F$4:$G$9,2,FALSE)</f>
        <v>--- Error ---</v>
      </c>
      <c r="N572" s="16" t="s">
        <v>79</v>
      </c>
      <c r="O572" s="17" t="str">
        <f>VLOOKUP(RiskRegister[[#This Row],[Inherent Likelihood Level]],'Rating factors'!$F$16:$G$21,2,FALSE)</f>
        <v>--- Error ---</v>
      </c>
      <c r="P572" s="17" t="str">
        <f>IFERROR(VLOOKUP(RiskRegister[[#This Row],[Inherent Risk Rating]],'Rating factors'!$F$30:$G$44,2,FALSE),"-- Error --")</f>
        <v>-- Error --</v>
      </c>
      <c r="Q572" s="17" t="str">
        <f>IFERROR(RiskRegister[[#This Row],[Inherent Impact Rating]]*RiskRegister[[#This Row],[Inherent Likelihood Rating]],"-- Error --")</f>
        <v>-- Error --</v>
      </c>
      <c r="R572" s="16" t="s">
        <v>98</v>
      </c>
      <c r="T572" s="16" t="s">
        <v>99</v>
      </c>
      <c r="U572" s="17" t="e" cm="1">
        <f t="array" aca="1" ref="U572" ca="1">+U572:Y1019VLOOKUP(RiskRegister[[#This Row],[Residual Impact Level]],'Rating factors'!$F$4:$G$9,2,FALSE)</f>
        <v>#NAME?</v>
      </c>
      <c r="V572" s="16" t="s">
        <v>79</v>
      </c>
      <c r="W572" s="17" t="str">
        <f>VLOOKUP(RiskRegister[[#This Row],[Residual Likelihood Level]],'Rating factors'!$F$16:$G$21,2,FALSE)</f>
        <v>--- Error ---</v>
      </c>
      <c r="X572" s="17" t="str">
        <f ca="1">IFERROR(VLOOKUP(RiskRegister[[#This Row],[Residual Risk Rating]],'Rating factors'!$F$30:$G$44,2,FALSE),"-- Error --")</f>
        <v>-- Error --</v>
      </c>
      <c r="Y572" s="17" t="str">
        <f ca="1">IFERROR(RiskRegister[[#This Row],[Residual Impact Rating]]*RiskRegister[[#This Row],[Residual Likelihood Rating]],"-- Error --")</f>
        <v>-- Error --</v>
      </c>
      <c r="Z572" s="16" t="s">
        <v>100</v>
      </c>
      <c r="AB572" s="39"/>
      <c r="AD572" s="20"/>
    </row>
    <row r="573" spans="1:30" s="16" customFormat="1" hidden="1" x14ac:dyDescent="0.25">
      <c r="A573" s="16">
        <v>570</v>
      </c>
      <c r="G573" s="16" t="s">
        <v>77</v>
      </c>
      <c r="I573" s="16" t="s">
        <v>75</v>
      </c>
      <c r="L573" s="105" t="s">
        <v>99</v>
      </c>
      <c r="M573" s="17" t="str">
        <f>VLOOKUP(RiskRegister[[#This Row],[Inherent Impact LevelL3:L1020D1007L3:L1019]],'Rating factors'!$F$4:$G$9,2,FALSE)</f>
        <v>--- Error ---</v>
      </c>
      <c r="N573" s="16" t="s">
        <v>79</v>
      </c>
      <c r="O573" s="17" t="str">
        <f>VLOOKUP(RiskRegister[[#This Row],[Inherent Likelihood Level]],'Rating factors'!$F$16:$G$21,2,FALSE)</f>
        <v>--- Error ---</v>
      </c>
      <c r="P573" s="17" t="str">
        <f>IFERROR(VLOOKUP(RiskRegister[[#This Row],[Inherent Risk Rating]],'Rating factors'!$F$30:$G$44,2,FALSE),"-- Error --")</f>
        <v>-- Error --</v>
      </c>
      <c r="Q573" s="17" t="str">
        <f>IFERROR(RiskRegister[[#This Row],[Inherent Impact Rating]]*RiskRegister[[#This Row],[Inherent Likelihood Rating]],"-- Error --")</f>
        <v>-- Error --</v>
      </c>
      <c r="R573" s="16" t="s">
        <v>98</v>
      </c>
      <c r="T573" s="16" t="s">
        <v>99</v>
      </c>
      <c r="U573" s="17" t="e" cm="1">
        <f t="array" aca="1" ref="U573" ca="1">+U573:Y1019VLOOKUP(RiskRegister[[#This Row],[Residual Impact Level]],'Rating factors'!$F$4:$G$9,2,FALSE)</f>
        <v>#NAME?</v>
      </c>
      <c r="V573" s="16" t="s">
        <v>79</v>
      </c>
      <c r="W573" s="17" t="str">
        <f>VLOOKUP(RiskRegister[[#This Row],[Residual Likelihood Level]],'Rating factors'!$F$16:$G$21,2,FALSE)</f>
        <v>--- Error ---</v>
      </c>
      <c r="X573" s="17" t="str">
        <f ca="1">IFERROR(VLOOKUP(RiskRegister[[#This Row],[Residual Risk Rating]],'Rating factors'!$F$30:$G$44,2,FALSE),"-- Error --")</f>
        <v>-- Error --</v>
      </c>
      <c r="Y573" s="17" t="str">
        <f ca="1">IFERROR(RiskRegister[[#This Row],[Residual Impact Rating]]*RiskRegister[[#This Row],[Residual Likelihood Rating]],"-- Error --")</f>
        <v>-- Error --</v>
      </c>
      <c r="Z573" s="16" t="s">
        <v>100</v>
      </c>
      <c r="AB573" s="39"/>
      <c r="AD573" s="20"/>
    </row>
    <row r="574" spans="1:30" s="16" customFormat="1" hidden="1" x14ac:dyDescent="0.25">
      <c r="A574" s="16">
        <v>571</v>
      </c>
      <c r="G574" s="16" t="s">
        <v>77</v>
      </c>
      <c r="I574" s="16" t="s">
        <v>75</v>
      </c>
      <c r="L574" s="105" t="s">
        <v>99</v>
      </c>
      <c r="M574" s="17" t="str">
        <f>VLOOKUP(RiskRegister[[#This Row],[Inherent Impact LevelL3:L1020D1007L3:L1019]],'Rating factors'!$F$4:$G$9,2,FALSE)</f>
        <v>--- Error ---</v>
      </c>
      <c r="N574" s="16" t="s">
        <v>79</v>
      </c>
      <c r="O574" s="17" t="str">
        <f>VLOOKUP(RiskRegister[[#This Row],[Inherent Likelihood Level]],'Rating factors'!$F$16:$G$21,2,FALSE)</f>
        <v>--- Error ---</v>
      </c>
      <c r="P574" s="17" t="str">
        <f>IFERROR(VLOOKUP(RiskRegister[[#This Row],[Inherent Risk Rating]],'Rating factors'!$F$30:$G$44,2,FALSE),"-- Error --")</f>
        <v>-- Error --</v>
      </c>
      <c r="Q574" s="17" t="str">
        <f>IFERROR(RiskRegister[[#This Row],[Inherent Impact Rating]]*RiskRegister[[#This Row],[Inherent Likelihood Rating]],"-- Error --")</f>
        <v>-- Error --</v>
      </c>
      <c r="R574" s="16" t="s">
        <v>98</v>
      </c>
      <c r="T574" s="16" t="s">
        <v>99</v>
      </c>
      <c r="U574" s="17" t="e" cm="1">
        <f t="array" aca="1" ref="U574" ca="1">+U574:Y1019VLOOKUP(RiskRegister[[#This Row],[Residual Impact Level]],'Rating factors'!$F$4:$G$9,2,FALSE)</f>
        <v>#NAME?</v>
      </c>
      <c r="V574" s="16" t="s">
        <v>79</v>
      </c>
      <c r="W574" s="17" t="str">
        <f>VLOOKUP(RiskRegister[[#This Row],[Residual Likelihood Level]],'Rating factors'!$F$16:$G$21,2,FALSE)</f>
        <v>--- Error ---</v>
      </c>
      <c r="X574" s="17" t="str">
        <f ca="1">IFERROR(VLOOKUP(RiskRegister[[#This Row],[Residual Risk Rating]],'Rating factors'!$F$30:$G$44,2,FALSE),"-- Error --")</f>
        <v>-- Error --</v>
      </c>
      <c r="Y574" s="17" t="str">
        <f ca="1">IFERROR(RiskRegister[[#This Row],[Residual Impact Rating]]*RiskRegister[[#This Row],[Residual Likelihood Rating]],"-- Error --")</f>
        <v>-- Error --</v>
      </c>
      <c r="Z574" s="16" t="s">
        <v>100</v>
      </c>
      <c r="AB574" s="39"/>
      <c r="AD574" s="20"/>
    </row>
    <row r="575" spans="1:30" s="16" customFormat="1" hidden="1" x14ac:dyDescent="0.25">
      <c r="A575" s="16">
        <v>572</v>
      </c>
      <c r="G575" s="16" t="s">
        <v>77</v>
      </c>
      <c r="I575" s="16" t="s">
        <v>75</v>
      </c>
      <c r="L575" s="105" t="s">
        <v>99</v>
      </c>
      <c r="M575" s="17" t="str">
        <f>VLOOKUP(RiskRegister[[#This Row],[Inherent Impact LevelL3:L1020D1007L3:L1019]],'Rating factors'!$F$4:$G$9,2,FALSE)</f>
        <v>--- Error ---</v>
      </c>
      <c r="N575" s="16" t="s">
        <v>79</v>
      </c>
      <c r="O575" s="17" t="str">
        <f>VLOOKUP(RiskRegister[[#This Row],[Inherent Likelihood Level]],'Rating factors'!$F$16:$G$21,2,FALSE)</f>
        <v>--- Error ---</v>
      </c>
      <c r="P575" s="17" t="str">
        <f>IFERROR(VLOOKUP(RiskRegister[[#This Row],[Inherent Risk Rating]],'Rating factors'!$F$30:$G$44,2,FALSE),"-- Error --")</f>
        <v>-- Error --</v>
      </c>
      <c r="Q575" s="17" t="str">
        <f>IFERROR(RiskRegister[[#This Row],[Inherent Impact Rating]]*RiskRegister[[#This Row],[Inherent Likelihood Rating]],"-- Error --")</f>
        <v>-- Error --</v>
      </c>
      <c r="R575" s="16" t="s">
        <v>98</v>
      </c>
      <c r="T575" s="16" t="s">
        <v>99</v>
      </c>
      <c r="U575" s="17" t="e" cm="1">
        <f t="array" aca="1" ref="U575" ca="1">+U575:Y1019VLOOKUP(RiskRegister[[#This Row],[Residual Impact Level]],'Rating factors'!$F$4:$G$9,2,FALSE)</f>
        <v>#NAME?</v>
      </c>
      <c r="V575" s="16" t="s">
        <v>79</v>
      </c>
      <c r="W575" s="17" t="str">
        <f>VLOOKUP(RiskRegister[[#This Row],[Residual Likelihood Level]],'Rating factors'!$F$16:$G$21,2,FALSE)</f>
        <v>--- Error ---</v>
      </c>
      <c r="X575" s="17" t="str">
        <f ca="1">IFERROR(VLOOKUP(RiskRegister[[#This Row],[Residual Risk Rating]],'Rating factors'!$F$30:$G$44,2,FALSE),"-- Error --")</f>
        <v>-- Error --</v>
      </c>
      <c r="Y575" s="17" t="str">
        <f ca="1">IFERROR(RiskRegister[[#This Row],[Residual Impact Rating]]*RiskRegister[[#This Row],[Residual Likelihood Rating]],"-- Error --")</f>
        <v>-- Error --</v>
      </c>
      <c r="Z575" s="16" t="s">
        <v>100</v>
      </c>
      <c r="AB575" s="39"/>
      <c r="AD575" s="20"/>
    </row>
    <row r="576" spans="1:30" s="16" customFormat="1" hidden="1" x14ac:dyDescent="0.25">
      <c r="A576" s="16">
        <v>573</v>
      </c>
      <c r="G576" s="16" t="s">
        <v>77</v>
      </c>
      <c r="I576" s="16" t="s">
        <v>75</v>
      </c>
      <c r="L576" s="105" t="s">
        <v>99</v>
      </c>
      <c r="M576" s="17" t="str">
        <f>VLOOKUP(RiskRegister[[#This Row],[Inherent Impact LevelL3:L1020D1007L3:L1019]],'Rating factors'!$F$4:$G$9,2,FALSE)</f>
        <v>--- Error ---</v>
      </c>
      <c r="N576" s="16" t="s">
        <v>79</v>
      </c>
      <c r="O576" s="17" t="str">
        <f>VLOOKUP(RiskRegister[[#This Row],[Inherent Likelihood Level]],'Rating factors'!$F$16:$G$21,2,FALSE)</f>
        <v>--- Error ---</v>
      </c>
      <c r="P576" s="17" t="str">
        <f>IFERROR(VLOOKUP(RiskRegister[[#This Row],[Inherent Risk Rating]],'Rating factors'!$F$30:$G$44,2,FALSE),"-- Error --")</f>
        <v>-- Error --</v>
      </c>
      <c r="Q576" s="17" t="str">
        <f>IFERROR(RiskRegister[[#This Row],[Inherent Impact Rating]]*RiskRegister[[#This Row],[Inherent Likelihood Rating]],"-- Error --")</f>
        <v>-- Error --</v>
      </c>
      <c r="R576" s="16" t="s">
        <v>98</v>
      </c>
      <c r="T576" s="16" t="s">
        <v>99</v>
      </c>
      <c r="U576" s="17" t="e" cm="1">
        <f t="array" aca="1" ref="U576" ca="1">+U576:Y1019VLOOKUP(RiskRegister[[#This Row],[Residual Impact Level]],'Rating factors'!$F$4:$G$9,2,FALSE)</f>
        <v>#NAME?</v>
      </c>
      <c r="V576" s="16" t="s">
        <v>79</v>
      </c>
      <c r="W576" s="17" t="str">
        <f>VLOOKUP(RiskRegister[[#This Row],[Residual Likelihood Level]],'Rating factors'!$F$16:$G$21,2,FALSE)</f>
        <v>--- Error ---</v>
      </c>
      <c r="X576" s="17" t="str">
        <f ca="1">IFERROR(VLOOKUP(RiskRegister[[#This Row],[Residual Risk Rating]],'Rating factors'!$F$30:$G$44,2,FALSE),"-- Error --")</f>
        <v>-- Error --</v>
      </c>
      <c r="Y576" s="17" t="str">
        <f ca="1">IFERROR(RiskRegister[[#This Row],[Residual Impact Rating]]*RiskRegister[[#This Row],[Residual Likelihood Rating]],"-- Error --")</f>
        <v>-- Error --</v>
      </c>
      <c r="Z576" s="16" t="s">
        <v>100</v>
      </c>
      <c r="AB576" s="39"/>
      <c r="AD576" s="20"/>
    </row>
    <row r="577" spans="1:30" s="16" customFormat="1" hidden="1" x14ac:dyDescent="0.25">
      <c r="A577" s="16">
        <v>574</v>
      </c>
      <c r="G577" s="16" t="s">
        <v>77</v>
      </c>
      <c r="I577" s="16" t="s">
        <v>75</v>
      </c>
      <c r="L577" s="105" t="s">
        <v>99</v>
      </c>
      <c r="M577" s="17" t="str">
        <f>VLOOKUP(RiskRegister[[#This Row],[Inherent Impact LevelL3:L1020D1007L3:L1019]],'Rating factors'!$F$4:$G$9,2,FALSE)</f>
        <v>--- Error ---</v>
      </c>
      <c r="N577" s="16" t="s">
        <v>79</v>
      </c>
      <c r="O577" s="17" t="str">
        <f>VLOOKUP(RiskRegister[[#This Row],[Inherent Likelihood Level]],'Rating factors'!$F$16:$G$21,2,FALSE)</f>
        <v>--- Error ---</v>
      </c>
      <c r="P577" s="17" t="str">
        <f>IFERROR(VLOOKUP(RiskRegister[[#This Row],[Inherent Risk Rating]],'Rating factors'!$F$30:$G$44,2,FALSE),"-- Error --")</f>
        <v>-- Error --</v>
      </c>
      <c r="Q577" s="17" t="str">
        <f>IFERROR(RiskRegister[[#This Row],[Inherent Impact Rating]]*RiskRegister[[#This Row],[Inherent Likelihood Rating]],"-- Error --")</f>
        <v>-- Error --</v>
      </c>
      <c r="R577" s="16" t="s">
        <v>98</v>
      </c>
      <c r="T577" s="16" t="s">
        <v>99</v>
      </c>
      <c r="U577" s="17" t="e" cm="1">
        <f t="array" aca="1" ref="U577" ca="1">+U577:Y1019VLOOKUP(RiskRegister[[#This Row],[Residual Impact Level]],'Rating factors'!$F$4:$G$9,2,FALSE)</f>
        <v>#NAME?</v>
      </c>
      <c r="V577" s="16" t="s">
        <v>79</v>
      </c>
      <c r="W577" s="17" t="str">
        <f>VLOOKUP(RiskRegister[[#This Row],[Residual Likelihood Level]],'Rating factors'!$F$16:$G$21,2,FALSE)</f>
        <v>--- Error ---</v>
      </c>
      <c r="X577" s="17" t="str">
        <f ca="1">IFERROR(VLOOKUP(RiskRegister[[#This Row],[Residual Risk Rating]],'Rating factors'!$F$30:$G$44,2,FALSE),"-- Error --")</f>
        <v>-- Error --</v>
      </c>
      <c r="Y577" s="17" t="str">
        <f ca="1">IFERROR(RiskRegister[[#This Row],[Residual Impact Rating]]*RiskRegister[[#This Row],[Residual Likelihood Rating]],"-- Error --")</f>
        <v>-- Error --</v>
      </c>
      <c r="Z577" s="16" t="s">
        <v>100</v>
      </c>
      <c r="AB577" s="39"/>
      <c r="AD577" s="20"/>
    </row>
    <row r="578" spans="1:30" s="16" customFormat="1" hidden="1" x14ac:dyDescent="0.25">
      <c r="A578" s="16">
        <v>575</v>
      </c>
      <c r="G578" s="16" t="s">
        <v>77</v>
      </c>
      <c r="I578" s="16" t="s">
        <v>75</v>
      </c>
      <c r="L578" s="105" t="s">
        <v>99</v>
      </c>
      <c r="M578" s="17" t="str">
        <f>VLOOKUP(RiskRegister[[#This Row],[Inherent Impact LevelL3:L1020D1007L3:L1019]],'Rating factors'!$F$4:$G$9,2,FALSE)</f>
        <v>--- Error ---</v>
      </c>
      <c r="N578" s="16" t="s">
        <v>79</v>
      </c>
      <c r="O578" s="17" t="str">
        <f>VLOOKUP(RiskRegister[[#This Row],[Inherent Likelihood Level]],'Rating factors'!$F$16:$G$21,2,FALSE)</f>
        <v>--- Error ---</v>
      </c>
      <c r="P578" s="17" t="str">
        <f>IFERROR(VLOOKUP(RiskRegister[[#This Row],[Inherent Risk Rating]],'Rating factors'!$F$30:$G$44,2,FALSE),"-- Error --")</f>
        <v>-- Error --</v>
      </c>
      <c r="Q578" s="17" t="str">
        <f>IFERROR(RiskRegister[[#This Row],[Inherent Impact Rating]]*RiskRegister[[#This Row],[Inherent Likelihood Rating]],"-- Error --")</f>
        <v>-- Error --</v>
      </c>
      <c r="R578" s="16" t="s">
        <v>98</v>
      </c>
      <c r="T578" s="16" t="s">
        <v>99</v>
      </c>
      <c r="U578" s="17" t="e" cm="1">
        <f t="array" aca="1" ref="U578" ca="1">+U578:Y1019VLOOKUP(RiskRegister[[#This Row],[Residual Impact Level]],'Rating factors'!$F$4:$G$9,2,FALSE)</f>
        <v>#NAME?</v>
      </c>
      <c r="V578" s="16" t="s">
        <v>79</v>
      </c>
      <c r="W578" s="17" t="str">
        <f>VLOOKUP(RiskRegister[[#This Row],[Residual Likelihood Level]],'Rating factors'!$F$16:$G$21,2,FALSE)</f>
        <v>--- Error ---</v>
      </c>
      <c r="X578" s="17" t="str">
        <f ca="1">IFERROR(VLOOKUP(RiskRegister[[#This Row],[Residual Risk Rating]],'Rating factors'!$F$30:$G$44,2,FALSE),"-- Error --")</f>
        <v>-- Error --</v>
      </c>
      <c r="Y578" s="17" t="str">
        <f ca="1">IFERROR(RiskRegister[[#This Row],[Residual Impact Rating]]*RiskRegister[[#This Row],[Residual Likelihood Rating]],"-- Error --")</f>
        <v>-- Error --</v>
      </c>
      <c r="Z578" s="16" t="s">
        <v>100</v>
      </c>
      <c r="AB578" s="39"/>
      <c r="AD578" s="20"/>
    </row>
    <row r="579" spans="1:30" s="16" customFormat="1" hidden="1" x14ac:dyDescent="0.25">
      <c r="A579" s="16">
        <v>576</v>
      </c>
      <c r="G579" s="16" t="s">
        <v>77</v>
      </c>
      <c r="I579" s="16" t="s">
        <v>75</v>
      </c>
      <c r="L579" s="105" t="s">
        <v>99</v>
      </c>
      <c r="M579" s="17" t="str">
        <f>VLOOKUP(RiskRegister[[#This Row],[Inherent Impact LevelL3:L1020D1007L3:L1019]],'Rating factors'!$F$4:$G$9,2,FALSE)</f>
        <v>--- Error ---</v>
      </c>
      <c r="N579" s="16" t="s">
        <v>79</v>
      </c>
      <c r="O579" s="17" t="str">
        <f>VLOOKUP(RiskRegister[[#This Row],[Inherent Likelihood Level]],'Rating factors'!$F$16:$G$21,2,FALSE)</f>
        <v>--- Error ---</v>
      </c>
      <c r="P579" s="17" t="str">
        <f>IFERROR(VLOOKUP(RiskRegister[[#This Row],[Inherent Risk Rating]],'Rating factors'!$F$30:$G$44,2,FALSE),"-- Error --")</f>
        <v>-- Error --</v>
      </c>
      <c r="Q579" s="17" t="str">
        <f>IFERROR(RiskRegister[[#This Row],[Inherent Impact Rating]]*RiskRegister[[#This Row],[Inherent Likelihood Rating]],"-- Error --")</f>
        <v>-- Error --</v>
      </c>
      <c r="R579" s="16" t="s">
        <v>98</v>
      </c>
      <c r="T579" s="16" t="s">
        <v>99</v>
      </c>
      <c r="U579" s="17" t="e" cm="1">
        <f t="array" aca="1" ref="U579" ca="1">+U579:Y1019VLOOKUP(RiskRegister[[#This Row],[Residual Impact Level]],'Rating factors'!$F$4:$G$9,2,FALSE)</f>
        <v>#NAME?</v>
      </c>
      <c r="V579" s="16" t="s">
        <v>79</v>
      </c>
      <c r="W579" s="17" t="str">
        <f>VLOOKUP(RiskRegister[[#This Row],[Residual Likelihood Level]],'Rating factors'!$F$16:$G$21,2,FALSE)</f>
        <v>--- Error ---</v>
      </c>
      <c r="X579" s="17" t="str">
        <f ca="1">IFERROR(VLOOKUP(RiskRegister[[#This Row],[Residual Risk Rating]],'Rating factors'!$F$30:$G$44,2,FALSE),"-- Error --")</f>
        <v>-- Error --</v>
      </c>
      <c r="Y579" s="17" t="str">
        <f ca="1">IFERROR(RiskRegister[[#This Row],[Residual Impact Rating]]*RiskRegister[[#This Row],[Residual Likelihood Rating]],"-- Error --")</f>
        <v>-- Error --</v>
      </c>
      <c r="Z579" s="16" t="s">
        <v>100</v>
      </c>
      <c r="AB579" s="39"/>
      <c r="AD579" s="20"/>
    </row>
    <row r="580" spans="1:30" s="16" customFormat="1" hidden="1" x14ac:dyDescent="0.25">
      <c r="A580" s="16">
        <v>577</v>
      </c>
      <c r="G580" s="16" t="s">
        <v>77</v>
      </c>
      <c r="I580" s="16" t="s">
        <v>75</v>
      </c>
      <c r="L580" s="105" t="s">
        <v>99</v>
      </c>
      <c r="M580" s="17" t="str">
        <f>VLOOKUP(RiskRegister[[#This Row],[Inherent Impact LevelL3:L1020D1007L3:L1019]],'Rating factors'!$F$4:$G$9,2,FALSE)</f>
        <v>--- Error ---</v>
      </c>
      <c r="N580" s="16" t="s">
        <v>79</v>
      </c>
      <c r="O580" s="17" t="str">
        <f>VLOOKUP(RiskRegister[[#This Row],[Inherent Likelihood Level]],'Rating factors'!$F$16:$G$21,2,FALSE)</f>
        <v>--- Error ---</v>
      </c>
      <c r="P580" s="17" t="str">
        <f>IFERROR(VLOOKUP(RiskRegister[[#This Row],[Inherent Risk Rating]],'Rating factors'!$F$30:$G$44,2,FALSE),"-- Error --")</f>
        <v>-- Error --</v>
      </c>
      <c r="Q580" s="17" t="str">
        <f>IFERROR(RiskRegister[[#This Row],[Inherent Impact Rating]]*RiskRegister[[#This Row],[Inherent Likelihood Rating]],"-- Error --")</f>
        <v>-- Error --</v>
      </c>
      <c r="R580" s="16" t="s">
        <v>98</v>
      </c>
      <c r="T580" s="16" t="s">
        <v>99</v>
      </c>
      <c r="U580" s="17" t="e" cm="1">
        <f t="array" aca="1" ref="U580" ca="1">+U580:Y1019VLOOKUP(RiskRegister[[#This Row],[Residual Impact Level]],'Rating factors'!$F$4:$G$9,2,FALSE)</f>
        <v>#NAME?</v>
      </c>
      <c r="V580" s="16" t="s">
        <v>79</v>
      </c>
      <c r="W580" s="17" t="str">
        <f>VLOOKUP(RiskRegister[[#This Row],[Residual Likelihood Level]],'Rating factors'!$F$16:$G$21,2,FALSE)</f>
        <v>--- Error ---</v>
      </c>
      <c r="X580" s="17" t="str">
        <f ca="1">IFERROR(VLOOKUP(RiskRegister[[#This Row],[Residual Risk Rating]],'Rating factors'!$F$30:$G$44,2,FALSE),"-- Error --")</f>
        <v>-- Error --</v>
      </c>
      <c r="Y580" s="17" t="str">
        <f ca="1">IFERROR(RiskRegister[[#This Row],[Residual Impact Rating]]*RiskRegister[[#This Row],[Residual Likelihood Rating]],"-- Error --")</f>
        <v>-- Error --</v>
      </c>
      <c r="Z580" s="16" t="s">
        <v>100</v>
      </c>
      <c r="AB580" s="39"/>
      <c r="AD580" s="20"/>
    </row>
    <row r="581" spans="1:30" s="16" customFormat="1" hidden="1" x14ac:dyDescent="0.25">
      <c r="A581" s="16">
        <v>578</v>
      </c>
      <c r="G581" s="16" t="s">
        <v>77</v>
      </c>
      <c r="I581" s="16" t="s">
        <v>75</v>
      </c>
      <c r="L581" s="105" t="s">
        <v>99</v>
      </c>
      <c r="M581" s="17" t="str">
        <f>VLOOKUP(RiskRegister[[#This Row],[Inherent Impact LevelL3:L1020D1007L3:L1019]],'Rating factors'!$F$4:$G$9,2,FALSE)</f>
        <v>--- Error ---</v>
      </c>
      <c r="N581" s="16" t="s">
        <v>79</v>
      </c>
      <c r="O581" s="17" t="str">
        <f>VLOOKUP(RiskRegister[[#This Row],[Inherent Likelihood Level]],'Rating factors'!$F$16:$G$21,2,FALSE)</f>
        <v>--- Error ---</v>
      </c>
      <c r="P581" s="17" t="str">
        <f>IFERROR(VLOOKUP(RiskRegister[[#This Row],[Inherent Risk Rating]],'Rating factors'!$F$30:$G$44,2,FALSE),"-- Error --")</f>
        <v>-- Error --</v>
      </c>
      <c r="Q581" s="17" t="str">
        <f>IFERROR(RiskRegister[[#This Row],[Inherent Impact Rating]]*RiskRegister[[#This Row],[Inherent Likelihood Rating]],"-- Error --")</f>
        <v>-- Error --</v>
      </c>
      <c r="R581" s="16" t="s">
        <v>98</v>
      </c>
      <c r="T581" s="16" t="s">
        <v>99</v>
      </c>
      <c r="U581" s="17" t="e" cm="1">
        <f t="array" aca="1" ref="U581" ca="1">+U581:Y1019VLOOKUP(RiskRegister[[#This Row],[Residual Impact Level]],'Rating factors'!$F$4:$G$9,2,FALSE)</f>
        <v>#NAME?</v>
      </c>
      <c r="V581" s="16" t="s">
        <v>79</v>
      </c>
      <c r="W581" s="17" t="str">
        <f>VLOOKUP(RiskRegister[[#This Row],[Residual Likelihood Level]],'Rating factors'!$F$16:$G$21,2,FALSE)</f>
        <v>--- Error ---</v>
      </c>
      <c r="X581" s="17" t="str">
        <f ca="1">IFERROR(VLOOKUP(RiskRegister[[#This Row],[Residual Risk Rating]],'Rating factors'!$F$30:$G$44,2,FALSE),"-- Error --")</f>
        <v>-- Error --</v>
      </c>
      <c r="Y581" s="17" t="str">
        <f ca="1">IFERROR(RiskRegister[[#This Row],[Residual Impact Rating]]*RiskRegister[[#This Row],[Residual Likelihood Rating]],"-- Error --")</f>
        <v>-- Error --</v>
      </c>
      <c r="Z581" s="16" t="s">
        <v>100</v>
      </c>
      <c r="AB581" s="39"/>
      <c r="AD581" s="20"/>
    </row>
    <row r="582" spans="1:30" s="16" customFormat="1" hidden="1" x14ac:dyDescent="0.25">
      <c r="A582" s="16">
        <v>579</v>
      </c>
      <c r="G582" s="16" t="s">
        <v>77</v>
      </c>
      <c r="I582" s="16" t="s">
        <v>75</v>
      </c>
      <c r="L582" s="105" t="s">
        <v>99</v>
      </c>
      <c r="M582" s="17" t="str">
        <f>VLOOKUP(RiskRegister[[#This Row],[Inherent Impact LevelL3:L1020D1007L3:L1019]],'Rating factors'!$F$4:$G$9,2,FALSE)</f>
        <v>--- Error ---</v>
      </c>
      <c r="N582" s="16" t="s">
        <v>79</v>
      </c>
      <c r="O582" s="17" t="str">
        <f>VLOOKUP(RiskRegister[[#This Row],[Inherent Likelihood Level]],'Rating factors'!$F$16:$G$21,2,FALSE)</f>
        <v>--- Error ---</v>
      </c>
      <c r="P582" s="17" t="str">
        <f>IFERROR(VLOOKUP(RiskRegister[[#This Row],[Inherent Risk Rating]],'Rating factors'!$F$30:$G$44,2,FALSE),"-- Error --")</f>
        <v>-- Error --</v>
      </c>
      <c r="Q582" s="17" t="str">
        <f>IFERROR(RiskRegister[[#This Row],[Inherent Impact Rating]]*RiskRegister[[#This Row],[Inherent Likelihood Rating]],"-- Error --")</f>
        <v>-- Error --</v>
      </c>
      <c r="R582" s="16" t="s">
        <v>98</v>
      </c>
      <c r="T582" s="16" t="s">
        <v>99</v>
      </c>
      <c r="U582" s="17" t="e" cm="1">
        <f t="array" aca="1" ref="U582" ca="1">+U582:Y1019VLOOKUP(RiskRegister[[#This Row],[Residual Impact Level]],'Rating factors'!$F$4:$G$9,2,FALSE)</f>
        <v>#NAME?</v>
      </c>
      <c r="V582" s="16" t="s">
        <v>79</v>
      </c>
      <c r="W582" s="17" t="str">
        <f>VLOOKUP(RiskRegister[[#This Row],[Residual Likelihood Level]],'Rating factors'!$F$16:$G$21,2,FALSE)</f>
        <v>--- Error ---</v>
      </c>
      <c r="X582" s="17" t="str">
        <f ca="1">IFERROR(VLOOKUP(RiskRegister[[#This Row],[Residual Risk Rating]],'Rating factors'!$F$30:$G$44,2,FALSE),"-- Error --")</f>
        <v>-- Error --</v>
      </c>
      <c r="Y582" s="17" t="str">
        <f ca="1">IFERROR(RiskRegister[[#This Row],[Residual Impact Rating]]*RiskRegister[[#This Row],[Residual Likelihood Rating]],"-- Error --")</f>
        <v>-- Error --</v>
      </c>
      <c r="Z582" s="16" t="s">
        <v>100</v>
      </c>
      <c r="AB582" s="39"/>
      <c r="AD582" s="20"/>
    </row>
    <row r="583" spans="1:30" s="16" customFormat="1" hidden="1" x14ac:dyDescent="0.25">
      <c r="A583" s="16">
        <v>580</v>
      </c>
      <c r="G583" s="16" t="s">
        <v>77</v>
      </c>
      <c r="I583" s="16" t="s">
        <v>75</v>
      </c>
      <c r="L583" s="105" t="s">
        <v>99</v>
      </c>
      <c r="M583" s="17" t="str">
        <f>VLOOKUP(RiskRegister[[#This Row],[Inherent Impact LevelL3:L1020D1007L3:L1019]],'Rating factors'!$F$4:$G$9,2,FALSE)</f>
        <v>--- Error ---</v>
      </c>
      <c r="N583" s="16" t="s">
        <v>79</v>
      </c>
      <c r="O583" s="17" t="str">
        <f>VLOOKUP(RiskRegister[[#This Row],[Inherent Likelihood Level]],'Rating factors'!$F$16:$G$21,2,FALSE)</f>
        <v>--- Error ---</v>
      </c>
      <c r="P583" s="17" t="str">
        <f>IFERROR(VLOOKUP(RiskRegister[[#This Row],[Inherent Risk Rating]],'Rating factors'!$F$30:$G$44,2,FALSE),"-- Error --")</f>
        <v>-- Error --</v>
      </c>
      <c r="Q583" s="17" t="str">
        <f>IFERROR(RiskRegister[[#This Row],[Inherent Impact Rating]]*RiskRegister[[#This Row],[Inherent Likelihood Rating]],"-- Error --")</f>
        <v>-- Error --</v>
      </c>
      <c r="R583" s="16" t="s">
        <v>98</v>
      </c>
      <c r="T583" s="16" t="s">
        <v>99</v>
      </c>
      <c r="U583" s="17" t="e" cm="1">
        <f t="array" aca="1" ref="U583" ca="1">+U583:Y1019VLOOKUP(RiskRegister[[#This Row],[Residual Impact Level]],'Rating factors'!$F$4:$G$9,2,FALSE)</f>
        <v>#NAME?</v>
      </c>
      <c r="V583" s="16" t="s">
        <v>79</v>
      </c>
      <c r="W583" s="17" t="str">
        <f>VLOOKUP(RiskRegister[[#This Row],[Residual Likelihood Level]],'Rating factors'!$F$16:$G$21,2,FALSE)</f>
        <v>--- Error ---</v>
      </c>
      <c r="X583" s="17" t="str">
        <f ca="1">IFERROR(VLOOKUP(RiskRegister[[#This Row],[Residual Risk Rating]],'Rating factors'!$F$30:$G$44,2,FALSE),"-- Error --")</f>
        <v>-- Error --</v>
      </c>
      <c r="Y583" s="17" t="str">
        <f ca="1">IFERROR(RiskRegister[[#This Row],[Residual Impact Rating]]*RiskRegister[[#This Row],[Residual Likelihood Rating]],"-- Error --")</f>
        <v>-- Error --</v>
      </c>
      <c r="Z583" s="16" t="s">
        <v>100</v>
      </c>
      <c r="AB583" s="39"/>
      <c r="AD583" s="20"/>
    </row>
    <row r="584" spans="1:30" s="16" customFormat="1" hidden="1" x14ac:dyDescent="0.25">
      <c r="A584" s="16">
        <v>581</v>
      </c>
      <c r="G584" s="16" t="s">
        <v>77</v>
      </c>
      <c r="I584" s="16" t="s">
        <v>75</v>
      </c>
      <c r="L584" s="105" t="s">
        <v>99</v>
      </c>
      <c r="M584" s="17" t="str">
        <f>VLOOKUP(RiskRegister[[#This Row],[Inherent Impact LevelL3:L1020D1007L3:L1019]],'Rating factors'!$F$4:$G$9,2,FALSE)</f>
        <v>--- Error ---</v>
      </c>
      <c r="N584" s="16" t="s">
        <v>79</v>
      </c>
      <c r="O584" s="17" t="str">
        <f>VLOOKUP(RiskRegister[[#This Row],[Inherent Likelihood Level]],'Rating factors'!$F$16:$G$21,2,FALSE)</f>
        <v>--- Error ---</v>
      </c>
      <c r="P584" s="17" t="str">
        <f>IFERROR(VLOOKUP(RiskRegister[[#This Row],[Inherent Risk Rating]],'Rating factors'!$F$30:$G$44,2,FALSE),"-- Error --")</f>
        <v>-- Error --</v>
      </c>
      <c r="Q584" s="17" t="str">
        <f>IFERROR(RiskRegister[[#This Row],[Inherent Impact Rating]]*RiskRegister[[#This Row],[Inherent Likelihood Rating]],"-- Error --")</f>
        <v>-- Error --</v>
      </c>
      <c r="R584" s="16" t="s">
        <v>98</v>
      </c>
      <c r="T584" s="16" t="s">
        <v>99</v>
      </c>
      <c r="U584" s="17" t="e" cm="1">
        <f t="array" aca="1" ref="U584" ca="1">+U584:Y1019VLOOKUP(RiskRegister[[#This Row],[Residual Impact Level]],'Rating factors'!$F$4:$G$9,2,FALSE)</f>
        <v>#NAME?</v>
      </c>
      <c r="V584" s="16" t="s">
        <v>79</v>
      </c>
      <c r="W584" s="17" t="str">
        <f>VLOOKUP(RiskRegister[[#This Row],[Residual Likelihood Level]],'Rating factors'!$F$16:$G$21,2,FALSE)</f>
        <v>--- Error ---</v>
      </c>
      <c r="X584" s="17" t="str">
        <f ca="1">IFERROR(VLOOKUP(RiskRegister[[#This Row],[Residual Risk Rating]],'Rating factors'!$F$30:$G$44,2,FALSE),"-- Error --")</f>
        <v>-- Error --</v>
      </c>
      <c r="Y584" s="17" t="str">
        <f ca="1">IFERROR(RiskRegister[[#This Row],[Residual Impact Rating]]*RiskRegister[[#This Row],[Residual Likelihood Rating]],"-- Error --")</f>
        <v>-- Error --</v>
      </c>
      <c r="Z584" s="16" t="s">
        <v>100</v>
      </c>
      <c r="AB584" s="39"/>
      <c r="AD584" s="20"/>
    </row>
    <row r="585" spans="1:30" s="16" customFormat="1" hidden="1" x14ac:dyDescent="0.25">
      <c r="A585" s="16">
        <v>582</v>
      </c>
      <c r="G585" s="16" t="s">
        <v>77</v>
      </c>
      <c r="I585" s="16" t="s">
        <v>75</v>
      </c>
      <c r="L585" s="105" t="s">
        <v>99</v>
      </c>
      <c r="M585" s="17" t="str">
        <f>VLOOKUP(RiskRegister[[#This Row],[Inherent Impact LevelL3:L1020D1007L3:L1019]],'Rating factors'!$F$4:$G$9,2,FALSE)</f>
        <v>--- Error ---</v>
      </c>
      <c r="N585" s="16" t="s">
        <v>79</v>
      </c>
      <c r="O585" s="17" t="str">
        <f>VLOOKUP(RiskRegister[[#This Row],[Inherent Likelihood Level]],'Rating factors'!$F$16:$G$21,2,FALSE)</f>
        <v>--- Error ---</v>
      </c>
      <c r="P585" s="17" t="str">
        <f>IFERROR(VLOOKUP(RiskRegister[[#This Row],[Inherent Risk Rating]],'Rating factors'!$F$30:$G$44,2,FALSE),"-- Error --")</f>
        <v>-- Error --</v>
      </c>
      <c r="Q585" s="17" t="str">
        <f>IFERROR(RiskRegister[[#This Row],[Inherent Impact Rating]]*RiskRegister[[#This Row],[Inherent Likelihood Rating]],"-- Error --")</f>
        <v>-- Error --</v>
      </c>
      <c r="R585" s="16" t="s">
        <v>98</v>
      </c>
      <c r="T585" s="16" t="s">
        <v>99</v>
      </c>
      <c r="U585" s="17" t="e" cm="1">
        <f t="array" aca="1" ref="U585" ca="1">+U585:Y1019VLOOKUP(RiskRegister[[#This Row],[Residual Impact Level]],'Rating factors'!$F$4:$G$9,2,FALSE)</f>
        <v>#NAME?</v>
      </c>
      <c r="V585" s="16" t="s">
        <v>79</v>
      </c>
      <c r="W585" s="17" t="str">
        <f>VLOOKUP(RiskRegister[[#This Row],[Residual Likelihood Level]],'Rating factors'!$F$16:$G$21,2,FALSE)</f>
        <v>--- Error ---</v>
      </c>
      <c r="X585" s="17" t="str">
        <f ca="1">IFERROR(VLOOKUP(RiskRegister[[#This Row],[Residual Risk Rating]],'Rating factors'!$F$30:$G$44,2,FALSE),"-- Error --")</f>
        <v>-- Error --</v>
      </c>
      <c r="Y585" s="17" t="str">
        <f ca="1">IFERROR(RiskRegister[[#This Row],[Residual Impact Rating]]*RiskRegister[[#This Row],[Residual Likelihood Rating]],"-- Error --")</f>
        <v>-- Error --</v>
      </c>
      <c r="Z585" s="16" t="s">
        <v>100</v>
      </c>
      <c r="AB585" s="39"/>
      <c r="AD585" s="20"/>
    </row>
    <row r="586" spans="1:30" s="16" customFormat="1" hidden="1" x14ac:dyDescent="0.25">
      <c r="A586" s="16">
        <v>583</v>
      </c>
      <c r="G586" s="16" t="s">
        <v>77</v>
      </c>
      <c r="I586" s="16" t="s">
        <v>75</v>
      </c>
      <c r="L586" s="105" t="s">
        <v>99</v>
      </c>
      <c r="M586" s="17" t="str">
        <f>VLOOKUP(RiskRegister[[#This Row],[Inherent Impact LevelL3:L1020D1007L3:L1019]],'Rating factors'!$F$4:$G$9,2,FALSE)</f>
        <v>--- Error ---</v>
      </c>
      <c r="N586" s="16" t="s">
        <v>79</v>
      </c>
      <c r="O586" s="17" t="str">
        <f>VLOOKUP(RiskRegister[[#This Row],[Inherent Likelihood Level]],'Rating factors'!$F$16:$G$21,2,FALSE)</f>
        <v>--- Error ---</v>
      </c>
      <c r="P586" s="17" t="str">
        <f>IFERROR(VLOOKUP(RiskRegister[[#This Row],[Inherent Risk Rating]],'Rating factors'!$F$30:$G$44,2,FALSE),"-- Error --")</f>
        <v>-- Error --</v>
      </c>
      <c r="Q586" s="17" t="str">
        <f>IFERROR(RiskRegister[[#This Row],[Inherent Impact Rating]]*RiskRegister[[#This Row],[Inherent Likelihood Rating]],"-- Error --")</f>
        <v>-- Error --</v>
      </c>
      <c r="R586" s="16" t="s">
        <v>98</v>
      </c>
      <c r="T586" s="16" t="s">
        <v>99</v>
      </c>
      <c r="U586" s="17" t="e" cm="1">
        <f t="array" aca="1" ref="U586" ca="1">+U586:Y1019VLOOKUP(RiskRegister[[#This Row],[Residual Impact Level]],'Rating factors'!$F$4:$G$9,2,FALSE)</f>
        <v>#NAME?</v>
      </c>
      <c r="V586" s="16" t="s">
        <v>79</v>
      </c>
      <c r="W586" s="17" t="str">
        <f>VLOOKUP(RiskRegister[[#This Row],[Residual Likelihood Level]],'Rating factors'!$F$16:$G$21,2,FALSE)</f>
        <v>--- Error ---</v>
      </c>
      <c r="X586" s="17" t="str">
        <f ca="1">IFERROR(VLOOKUP(RiskRegister[[#This Row],[Residual Risk Rating]],'Rating factors'!$F$30:$G$44,2,FALSE),"-- Error --")</f>
        <v>-- Error --</v>
      </c>
      <c r="Y586" s="17" t="str">
        <f ca="1">IFERROR(RiskRegister[[#This Row],[Residual Impact Rating]]*RiskRegister[[#This Row],[Residual Likelihood Rating]],"-- Error --")</f>
        <v>-- Error --</v>
      </c>
      <c r="Z586" s="16" t="s">
        <v>100</v>
      </c>
      <c r="AB586" s="39"/>
      <c r="AD586" s="20"/>
    </row>
    <row r="587" spans="1:30" s="16" customFormat="1" hidden="1" x14ac:dyDescent="0.25">
      <c r="A587" s="16">
        <v>584</v>
      </c>
      <c r="G587" s="16" t="s">
        <v>77</v>
      </c>
      <c r="I587" s="16" t="s">
        <v>75</v>
      </c>
      <c r="L587" s="105" t="s">
        <v>99</v>
      </c>
      <c r="M587" s="17" t="str">
        <f>VLOOKUP(RiskRegister[[#This Row],[Inherent Impact LevelL3:L1020D1007L3:L1019]],'Rating factors'!$F$4:$G$9,2,FALSE)</f>
        <v>--- Error ---</v>
      </c>
      <c r="N587" s="16" t="s">
        <v>79</v>
      </c>
      <c r="O587" s="17" t="str">
        <f>VLOOKUP(RiskRegister[[#This Row],[Inherent Likelihood Level]],'Rating factors'!$F$16:$G$21,2,FALSE)</f>
        <v>--- Error ---</v>
      </c>
      <c r="P587" s="17" t="str">
        <f>IFERROR(VLOOKUP(RiskRegister[[#This Row],[Inherent Risk Rating]],'Rating factors'!$F$30:$G$44,2,FALSE),"-- Error --")</f>
        <v>-- Error --</v>
      </c>
      <c r="Q587" s="17" t="str">
        <f>IFERROR(RiskRegister[[#This Row],[Inherent Impact Rating]]*RiskRegister[[#This Row],[Inherent Likelihood Rating]],"-- Error --")</f>
        <v>-- Error --</v>
      </c>
      <c r="R587" s="16" t="s">
        <v>98</v>
      </c>
      <c r="T587" s="16" t="s">
        <v>99</v>
      </c>
      <c r="U587" s="17" t="e" cm="1">
        <f t="array" aca="1" ref="U587" ca="1">+U587:Y1019VLOOKUP(RiskRegister[[#This Row],[Residual Impact Level]],'Rating factors'!$F$4:$G$9,2,FALSE)</f>
        <v>#NAME?</v>
      </c>
      <c r="V587" s="16" t="s">
        <v>79</v>
      </c>
      <c r="W587" s="17" t="str">
        <f>VLOOKUP(RiskRegister[[#This Row],[Residual Likelihood Level]],'Rating factors'!$F$16:$G$21,2,FALSE)</f>
        <v>--- Error ---</v>
      </c>
      <c r="X587" s="17" t="str">
        <f ca="1">IFERROR(VLOOKUP(RiskRegister[[#This Row],[Residual Risk Rating]],'Rating factors'!$F$30:$G$44,2,FALSE),"-- Error --")</f>
        <v>-- Error --</v>
      </c>
      <c r="Y587" s="17" t="str">
        <f ca="1">IFERROR(RiskRegister[[#This Row],[Residual Impact Rating]]*RiskRegister[[#This Row],[Residual Likelihood Rating]],"-- Error --")</f>
        <v>-- Error --</v>
      </c>
      <c r="Z587" s="16" t="s">
        <v>100</v>
      </c>
      <c r="AB587" s="39"/>
      <c r="AD587" s="20"/>
    </row>
    <row r="588" spans="1:30" s="16" customFormat="1" hidden="1" x14ac:dyDescent="0.25">
      <c r="A588" s="16">
        <v>585</v>
      </c>
      <c r="G588" s="16" t="s">
        <v>77</v>
      </c>
      <c r="I588" s="16" t="s">
        <v>75</v>
      </c>
      <c r="L588" s="105" t="s">
        <v>99</v>
      </c>
      <c r="M588" s="17" t="str">
        <f>VLOOKUP(RiskRegister[[#This Row],[Inherent Impact LevelL3:L1020D1007L3:L1019]],'Rating factors'!$F$4:$G$9,2,FALSE)</f>
        <v>--- Error ---</v>
      </c>
      <c r="N588" s="16" t="s">
        <v>79</v>
      </c>
      <c r="O588" s="17" t="str">
        <f>VLOOKUP(RiskRegister[[#This Row],[Inherent Likelihood Level]],'Rating factors'!$F$16:$G$21,2,FALSE)</f>
        <v>--- Error ---</v>
      </c>
      <c r="P588" s="17" t="str">
        <f>IFERROR(VLOOKUP(RiskRegister[[#This Row],[Inherent Risk Rating]],'Rating factors'!$F$30:$G$44,2,FALSE),"-- Error --")</f>
        <v>-- Error --</v>
      </c>
      <c r="Q588" s="17" t="str">
        <f>IFERROR(RiskRegister[[#This Row],[Inherent Impact Rating]]*RiskRegister[[#This Row],[Inherent Likelihood Rating]],"-- Error --")</f>
        <v>-- Error --</v>
      </c>
      <c r="R588" s="16" t="s">
        <v>98</v>
      </c>
      <c r="T588" s="16" t="s">
        <v>99</v>
      </c>
      <c r="U588" s="17" t="e" cm="1">
        <f t="array" aca="1" ref="U588" ca="1">+U588:Y1019VLOOKUP(RiskRegister[[#This Row],[Residual Impact Level]],'Rating factors'!$F$4:$G$9,2,FALSE)</f>
        <v>#NAME?</v>
      </c>
      <c r="V588" s="16" t="s">
        <v>79</v>
      </c>
      <c r="W588" s="17" t="str">
        <f>VLOOKUP(RiskRegister[[#This Row],[Residual Likelihood Level]],'Rating factors'!$F$16:$G$21,2,FALSE)</f>
        <v>--- Error ---</v>
      </c>
      <c r="X588" s="17" t="str">
        <f ca="1">IFERROR(VLOOKUP(RiskRegister[[#This Row],[Residual Risk Rating]],'Rating factors'!$F$30:$G$44,2,FALSE),"-- Error --")</f>
        <v>-- Error --</v>
      </c>
      <c r="Y588" s="17" t="str">
        <f ca="1">IFERROR(RiskRegister[[#This Row],[Residual Impact Rating]]*RiskRegister[[#This Row],[Residual Likelihood Rating]],"-- Error --")</f>
        <v>-- Error --</v>
      </c>
      <c r="Z588" s="16" t="s">
        <v>100</v>
      </c>
      <c r="AB588" s="39"/>
      <c r="AD588" s="20"/>
    </row>
    <row r="589" spans="1:30" s="16" customFormat="1" hidden="1" x14ac:dyDescent="0.25">
      <c r="A589" s="16">
        <v>586</v>
      </c>
      <c r="G589" s="16" t="s">
        <v>77</v>
      </c>
      <c r="I589" s="16" t="s">
        <v>75</v>
      </c>
      <c r="L589" s="105" t="s">
        <v>99</v>
      </c>
      <c r="M589" s="17" t="str">
        <f>VLOOKUP(RiskRegister[[#This Row],[Inherent Impact LevelL3:L1020D1007L3:L1019]],'Rating factors'!$F$4:$G$9,2,FALSE)</f>
        <v>--- Error ---</v>
      </c>
      <c r="N589" s="16" t="s">
        <v>79</v>
      </c>
      <c r="O589" s="17" t="str">
        <f>VLOOKUP(RiskRegister[[#This Row],[Inherent Likelihood Level]],'Rating factors'!$F$16:$G$21,2,FALSE)</f>
        <v>--- Error ---</v>
      </c>
      <c r="P589" s="17" t="str">
        <f>IFERROR(VLOOKUP(RiskRegister[[#This Row],[Inherent Risk Rating]],'Rating factors'!$F$30:$G$44,2,FALSE),"-- Error --")</f>
        <v>-- Error --</v>
      </c>
      <c r="Q589" s="17" t="str">
        <f>IFERROR(RiskRegister[[#This Row],[Inherent Impact Rating]]*RiskRegister[[#This Row],[Inherent Likelihood Rating]],"-- Error --")</f>
        <v>-- Error --</v>
      </c>
      <c r="R589" s="16" t="s">
        <v>98</v>
      </c>
      <c r="T589" s="16" t="s">
        <v>99</v>
      </c>
      <c r="U589" s="17" t="e" cm="1">
        <f t="array" aca="1" ref="U589" ca="1">+U589:Y1019VLOOKUP(RiskRegister[[#This Row],[Residual Impact Level]],'Rating factors'!$F$4:$G$9,2,FALSE)</f>
        <v>#NAME?</v>
      </c>
      <c r="V589" s="16" t="s">
        <v>79</v>
      </c>
      <c r="W589" s="17" t="str">
        <f>VLOOKUP(RiskRegister[[#This Row],[Residual Likelihood Level]],'Rating factors'!$F$16:$G$21,2,FALSE)</f>
        <v>--- Error ---</v>
      </c>
      <c r="X589" s="17" t="str">
        <f ca="1">IFERROR(VLOOKUP(RiskRegister[[#This Row],[Residual Risk Rating]],'Rating factors'!$F$30:$G$44,2,FALSE),"-- Error --")</f>
        <v>-- Error --</v>
      </c>
      <c r="Y589" s="17" t="str">
        <f ca="1">IFERROR(RiskRegister[[#This Row],[Residual Impact Rating]]*RiskRegister[[#This Row],[Residual Likelihood Rating]],"-- Error --")</f>
        <v>-- Error --</v>
      </c>
      <c r="Z589" s="16" t="s">
        <v>100</v>
      </c>
      <c r="AB589" s="39"/>
      <c r="AD589" s="20"/>
    </row>
    <row r="590" spans="1:30" s="16" customFormat="1" hidden="1" x14ac:dyDescent="0.25">
      <c r="A590" s="16">
        <v>587</v>
      </c>
      <c r="G590" s="16" t="s">
        <v>77</v>
      </c>
      <c r="I590" s="16" t="s">
        <v>75</v>
      </c>
      <c r="L590" s="105" t="s">
        <v>99</v>
      </c>
      <c r="M590" s="17" t="str">
        <f>VLOOKUP(RiskRegister[[#This Row],[Inherent Impact LevelL3:L1020D1007L3:L1019]],'Rating factors'!$F$4:$G$9,2,FALSE)</f>
        <v>--- Error ---</v>
      </c>
      <c r="N590" s="16" t="s">
        <v>79</v>
      </c>
      <c r="O590" s="17" t="str">
        <f>VLOOKUP(RiskRegister[[#This Row],[Inherent Likelihood Level]],'Rating factors'!$F$16:$G$21,2,FALSE)</f>
        <v>--- Error ---</v>
      </c>
      <c r="P590" s="17" t="str">
        <f>IFERROR(VLOOKUP(RiskRegister[[#This Row],[Inherent Risk Rating]],'Rating factors'!$F$30:$G$44,2,FALSE),"-- Error --")</f>
        <v>-- Error --</v>
      </c>
      <c r="Q590" s="17" t="str">
        <f>IFERROR(RiskRegister[[#This Row],[Inherent Impact Rating]]*RiskRegister[[#This Row],[Inherent Likelihood Rating]],"-- Error --")</f>
        <v>-- Error --</v>
      </c>
      <c r="R590" s="16" t="s">
        <v>98</v>
      </c>
      <c r="T590" s="16" t="s">
        <v>99</v>
      </c>
      <c r="U590" s="17" t="e" cm="1">
        <f t="array" aca="1" ref="U590" ca="1">+U590:Y1019VLOOKUP(RiskRegister[[#This Row],[Residual Impact Level]],'Rating factors'!$F$4:$G$9,2,FALSE)</f>
        <v>#NAME?</v>
      </c>
      <c r="V590" s="16" t="s">
        <v>79</v>
      </c>
      <c r="W590" s="17" t="str">
        <f>VLOOKUP(RiskRegister[[#This Row],[Residual Likelihood Level]],'Rating factors'!$F$16:$G$21,2,FALSE)</f>
        <v>--- Error ---</v>
      </c>
      <c r="X590" s="17" t="str">
        <f ca="1">IFERROR(VLOOKUP(RiskRegister[[#This Row],[Residual Risk Rating]],'Rating factors'!$F$30:$G$44,2,FALSE),"-- Error --")</f>
        <v>-- Error --</v>
      </c>
      <c r="Y590" s="17" t="str">
        <f ca="1">IFERROR(RiskRegister[[#This Row],[Residual Impact Rating]]*RiskRegister[[#This Row],[Residual Likelihood Rating]],"-- Error --")</f>
        <v>-- Error --</v>
      </c>
      <c r="Z590" s="16" t="s">
        <v>100</v>
      </c>
      <c r="AB590" s="39"/>
      <c r="AD590" s="20"/>
    </row>
    <row r="591" spans="1:30" s="16" customFormat="1" hidden="1" x14ac:dyDescent="0.25">
      <c r="A591" s="16">
        <v>588</v>
      </c>
      <c r="G591" s="16" t="s">
        <v>77</v>
      </c>
      <c r="I591" s="16" t="s">
        <v>75</v>
      </c>
      <c r="L591" s="105" t="s">
        <v>99</v>
      </c>
      <c r="M591" s="17" t="str">
        <f>VLOOKUP(RiskRegister[[#This Row],[Inherent Impact LevelL3:L1020D1007L3:L1019]],'Rating factors'!$F$4:$G$9,2,FALSE)</f>
        <v>--- Error ---</v>
      </c>
      <c r="N591" s="16" t="s">
        <v>79</v>
      </c>
      <c r="O591" s="17" t="str">
        <f>VLOOKUP(RiskRegister[[#This Row],[Inherent Likelihood Level]],'Rating factors'!$F$16:$G$21,2,FALSE)</f>
        <v>--- Error ---</v>
      </c>
      <c r="P591" s="17" t="str">
        <f>IFERROR(VLOOKUP(RiskRegister[[#This Row],[Inherent Risk Rating]],'Rating factors'!$F$30:$G$44,2,FALSE),"-- Error --")</f>
        <v>-- Error --</v>
      </c>
      <c r="Q591" s="17" t="str">
        <f>IFERROR(RiskRegister[[#This Row],[Inherent Impact Rating]]*RiskRegister[[#This Row],[Inherent Likelihood Rating]],"-- Error --")</f>
        <v>-- Error --</v>
      </c>
      <c r="R591" s="16" t="s">
        <v>98</v>
      </c>
      <c r="T591" s="16" t="s">
        <v>99</v>
      </c>
      <c r="U591" s="17" t="e" cm="1">
        <f t="array" aca="1" ref="U591" ca="1">+U591:Y1019VLOOKUP(RiskRegister[[#This Row],[Residual Impact Level]],'Rating factors'!$F$4:$G$9,2,FALSE)</f>
        <v>#NAME?</v>
      </c>
      <c r="V591" s="16" t="s">
        <v>79</v>
      </c>
      <c r="W591" s="17" t="str">
        <f>VLOOKUP(RiskRegister[[#This Row],[Residual Likelihood Level]],'Rating factors'!$F$16:$G$21,2,FALSE)</f>
        <v>--- Error ---</v>
      </c>
      <c r="X591" s="17" t="str">
        <f ca="1">IFERROR(VLOOKUP(RiskRegister[[#This Row],[Residual Risk Rating]],'Rating factors'!$F$30:$G$44,2,FALSE),"-- Error --")</f>
        <v>-- Error --</v>
      </c>
      <c r="Y591" s="17" t="str">
        <f ca="1">IFERROR(RiskRegister[[#This Row],[Residual Impact Rating]]*RiskRegister[[#This Row],[Residual Likelihood Rating]],"-- Error --")</f>
        <v>-- Error --</v>
      </c>
      <c r="Z591" s="16" t="s">
        <v>100</v>
      </c>
      <c r="AB591" s="39"/>
      <c r="AD591" s="20"/>
    </row>
    <row r="592" spans="1:30" s="16" customFormat="1" hidden="1" x14ac:dyDescent="0.25">
      <c r="A592" s="16">
        <v>589</v>
      </c>
      <c r="G592" s="16" t="s">
        <v>77</v>
      </c>
      <c r="I592" s="16" t="s">
        <v>75</v>
      </c>
      <c r="L592" s="105" t="s">
        <v>99</v>
      </c>
      <c r="M592" s="17" t="str">
        <f>VLOOKUP(RiskRegister[[#This Row],[Inherent Impact LevelL3:L1020D1007L3:L1019]],'Rating factors'!$F$4:$G$9,2,FALSE)</f>
        <v>--- Error ---</v>
      </c>
      <c r="N592" s="16" t="s">
        <v>79</v>
      </c>
      <c r="O592" s="17" t="str">
        <f>VLOOKUP(RiskRegister[[#This Row],[Inherent Likelihood Level]],'Rating factors'!$F$16:$G$21,2,FALSE)</f>
        <v>--- Error ---</v>
      </c>
      <c r="P592" s="17" t="str">
        <f>IFERROR(VLOOKUP(RiskRegister[[#This Row],[Inherent Risk Rating]],'Rating factors'!$F$30:$G$44,2,FALSE),"-- Error --")</f>
        <v>-- Error --</v>
      </c>
      <c r="Q592" s="17" t="str">
        <f>IFERROR(RiskRegister[[#This Row],[Inherent Impact Rating]]*RiskRegister[[#This Row],[Inherent Likelihood Rating]],"-- Error --")</f>
        <v>-- Error --</v>
      </c>
      <c r="R592" s="16" t="s">
        <v>98</v>
      </c>
      <c r="T592" s="16" t="s">
        <v>99</v>
      </c>
      <c r="U592" s="17" t="e" cm="1">
        <f t="array" aca="1" ref="U592" ca="1">+U592:Y1019VLOOKUP(RiskRegister[[#This Row],[Residual Impact Level]],'Rating factors'!$F$4:$G$9,2,FALSE)</f>
        <v>#NAME?</v>
      </c>
      <c r="V592" s="16" t="s">
        <v>79</v>
      </c>
      <c r="W592" s="17" t="str">
        <f>VLOOKUP(RiskRegister[[#This Row],[Residual Likelihood Level]],'Rating factors'!$F$16:$G$21,2,FALSE)</f>
        <v>--- Error ---</v>
      </c>
      <c r="X592" s="17" t="str">
        <f ca="1">IFERROR(VLOOKUP(RiskRegister[[#This Row],[Residual Risk Rating]],'Rating factors'!$F$30:$G$44,2,FALSE),"-- Error --")</f>
        <v>-- Error --</v>
      </c>
      <c r="Y592" s="17" t="str">
        <f ca="1">IFERROR(RiskRegister[[#This Row],[Residual Impact Rating]]*RiskRegister[[#This Row],[Residual Likelihood Rating]],"-- Error --")</f>
        <v>-- Error --</v>
      </c>
      <c r="Z592" s="16" t="s">
        <v>100</v>
      </c>
      <c r="AB592" s="39"/>
      <c r="AD592" s="20"/>
    </row>
    <row r="593" spans="1:30" s="16" customFormat="1" hidden="1" x14ac:dyDescent="0.25">
      <c r="A593" s="16">
        <v>590</v>
      </c>
      <c r="G593" s="16" t="s">
        <v>77</v>
      </c>
      <c r="I593" s="16" t="s">
        <v>75</v>
      </c>
      <c r="L593" s="105" t="s">
        <v>99</v>
      </c>
      <c r="M593" s="17" t="str">
        <f>VLOOKUP(RiskRegister[[#This Row],[Inherent Impact LevelL3:L1020D1007L3:L1019]],'Rating factors'!$F$4:$G$9,2,FALSE)</f>
        <v>--- Error ---</v>
      </c>
      <c r="N593" s="16" t="s">
        <v>79</v>
      </c>
      <c r="O593" s="17" t="str">
        <f>VLOOKUP(RiskRegister[[#This Row],[Inherent Likelihood Level]],'Rating factors'!$F$16:$G$21,2,FALSE)</f>
        <v>--- Error ---</v>
      </c>
      <c r="P593" s="17" t="str">
        <f>IFERROR(VLOOKUP(RiskRegister[[#This Row],[Inherent Risk Rating]],'Rating factors'!$F$30:$G$44,2,FALSE),"-- Error --")</f>
        <v>-- Error --</v>
      </c>
      <c r="Q593" s="17" t="str">
        <f>IFERROR(RiskRegister[[#This Row],[Inherent Impact Rating]]*RiskRegister[[#This Row],[Inherent Likelihood Rating]],"-- Error --")</f>
        <v>-- Error --</v>
      </c>
      <c r="R593" s="16" t="s">
        <v>98</v>
      </c>
      <c r="T593" s="16" t="s">
        <v>99</v>
      </c>
      <c r="U593" s="17" t="e" cm="1">
        <f t="array" aca="1" ref="U593" ca="1">+U593:Y1019VLOOKUP(RiskRegister[[#This Row],[Residual Impact Level]],'Rating factors'!$F$4:$G$9,2,FALSE)</f>
        <v>#NAME?</v>
      </c>
      <c r="V593" s="16" t="s">
        <v>79</v>
      </c>
      <c r="W593" s="17" t="str">
        <f>VLOOKUP(RiskRegister[[#This Row],[Residual Likelihood Level]],'Rating factors'!$F$16:$G$21,2,FALSE)</f>
        <v>--- Error ---</v>
      </c>
      <c r="X593" s="17" t="str">
        <f ca="1">IFERROR(VLOOKUP(RiskRegister[[#This Row],[Residual Risk Rating]],'Rating factors'!$F$30:$G$44,2,FALSE),"-- Error --")</f>
        <v>-- Error --</v>
      </c>
      <c r="Y593" s="17" t="str">
        <f ca="1">IFERROR(RiskRegister[[#This Row],[Residual Impact Rating]]*RiskRegister[[#This Row],[Residual Likelihood Rating]],"-- Error --")</f>
        <v>-- Error --</v>
      </c>
      <c r="Z593" s="16" t="s">
        <v>100</v>
      </c>
      <c r="AB593" s="39"/>
      <c r="AD593" s="20"/>
    </row>
    <row r="594" spans="1:30" s="16" customFormat="1" hidden="1" x14ac:dyDescent="0.25">
      <c r="A594" s="16">
        <v>591</v>
      </c>
      <c r="G594" s="16" t="s">
        <v>77</v>
      </c>
      <c r="I594" s="16" t="s">
        <v>75</v>
      </c>
      <c r="L594" s="105" t="s">
        <v>99</v>
      </c>
      <c r="M594" s="17" t="str">
        <f>VLOOKUP(RiskRegister[[#This Row],[Inherent Impact LevelL3:L1020D1007L3:L1019]],'Rating factors'!$F$4:$G$9,2,FALSE)</f>
        <v>--- Error ---</v>
      </c>
      <c r="N594" s="16" t="s">
        <v>79</v>
      </c>
      <c r="O594" s="17" t="str">
        <f>VLOOKUP(RiskRegister[[#This Row],[Inherent Likelihood Level]],'Rating factors'!$F$16:$G$21,2,FALSE)</f>
        <v>--- Error ---</v>
      </c>
      <c r="P594" s="17" t="str">
        <f>IFERROR(VLOOKUP(RiskRegister[[#This Row],[Inherent Risk Rating]],'Rating factors'!$F$30:$G$44,2,FALSE),"-- Error --")</f>
        <v>-- Error --</v>
      </c>
      <c r="Q594" s="17" t="str">
        <f>IFERROR(RiskRegister[[#This Row],[Inherent Impact Rating]]*RiskRegister[[#This Row],[Inherent Likelihood Rating]],"-- Error --")</f>
        <v>-- Error --</v>
      </c>
      <c r="R594" s="16" t="s">
        <v>98</v>
      </c>
      <c r="T594" s="16" t="s">
        <v>99</v>
      </c>
      <c r="U594" s="17" t="e" cm="1">
        <f t="array" aca="1" ref="U594" ca="1">+U594:Y1019VLOOKUP(RiskRegister[[#This Row],[Residual Impact Level]],'Rating factors'!$F$4:$G$9,2,FALSE)</f>
        <v>#NAME?</v>
      </c>
      <c r="V594" s="16" t="s">
        <v>79</v>
      </c>
      <c r="W594" s="17" t="str">
        <f>VLOOKUP(RiskRegister[[#This Row],[Residual Likelihood Level]],'Rating factors'!$F$16:$G$21,2,FALSE)</f>
        <v>--- Error ---</v>
      </c>
      <c r="X594" s="17" t="str">
        <f ca="1">IFERROR(VLOOKUP(RiskRegister[[#This Row],[Residual Risk Rating]],'Rating factors'!$F$30:$G$44,2,FALSE),"-- Error --")</f>
        <v>-- Error --</v>
      </c>
      <c r="Y594" s="17" t="str">
        <f ca="1">IFERROR(RiskRegister[[#This Row],[Residual Impact Rating]]*RiskRegister[[#This Row],[Residual Likelihood Rating]],"-- Error --")</f>
        <v>-- Error --</v>
      </c>
      <c r="Z594" s="16" t="s">
        <v>100</v>
      </c>
      <c r="AB594" s="39"/>
      <c r="AD594" s="20"/>
    </row>
    <row r="595" spans="1:30" s="16" customFormat="1" hidden="1" x14ac:dyDescent="0.25">
      <c r="A595" s="16">
        <v>592</v>
      </c>
      <c r="G595" s="16" t="s">
        <v>77</v>
      </c>
      <c r="I595" s="16" t="s">
        <v>75</v>
      </c>
      <c r="L595" s="105" t="s">
        <v>99</v>
      </c>
      <c r="M595" s="17" t="str">
        <f>VLOOKUP(RiskRegister[[#This Row],[Inherent Impact LevelL3:L1020D1007L3:L1019]],'Rating factors'!$F$4:$G$9,2,FALSE)</f>
        <v>--- Error ---</v>
      </c>
      <c r="N595" s="16" t="s">
        <v>79</v>
      </c>
      <c r="O595" s="17" t="str">
        <f>VLOOKUP(RiskRegister[[#This Row],[Inherent Likelihood Level]],'Rating factors'!$F$16:$G$21,2,FALSE)</f>
        <v>--- Error ---</v>
      </c>
      <c r="P595" s="17" t="str">
        <f>IFERROR(VLOOKUP(RiskRegister[[#This Row],[Inherent Risk Rating]],'Rating factors'!$F$30:$G$44,2,FALSE),"-- Error --")</f>
        <v>-- Error --</v>
      </c>
      <c r="Q595" s="17" t="str">
        <f>IFERROR(RiskRegister[[#This Row],[Inherent Impact Rating]]*RiskRegister[[#This Row],[Inherent Likelihood Rating]],"-- Error --")</f>
        <v>-- Error --</v>
      </c>
      <c r="R595" s="16" t="s">
        <v>98</v>
      </c>
      <c r="T595" s="16" t="s">
        <v>99</v>
      </c>
      <c r="U595" s="17" t="e" cm="1">
        <f t="array" aca="1" ref="U595" ca="1">+U595:Y1019VLOOKUP(RiskRegister[[#This Row],[Residual Impact Level]],'Rating factors'!$F$4:$G$9,2,FALSE)</f>
        <v>#NAME?</v>
      </c>
      <c r="V595" s="16" t="s">
        <v>79</v>
      </c>
      <c r="W595" s="17" t="str">
        <f>VLOOKUP(RiskRegister[[#This Row],[Residual Likelihood Level]],'Rating factors'!$F$16:$G$21,2,FALSE)</f>
        <v>--- Error ---</v>
      </c>
      <c r="X595" s="17" t="str">
        <f ca="1">IFERROR(VLOOKUP(RiskRegister[[#This Row],[Residual Risk Rating]],'Rating factors'!$F$30:$G$44,2,FALSE),"-- Error --")</f>
        <v>-- Error --</v>
      </c>
      <c r="Y595" s="17" t="str">
        <f ca="1">IFERROR(RiskRegister[[#This Row],[Residual Impact Rating]]*RiskRegister[[#This Row],[Residual Likelihood Rating]],"-- Error --")</f>
        <v>-- Error --</v>
      </c>
      <c r="Z595" s="16" t="s">
        <v>100</v>
      </c>
      <c r="AB595" s="39"/>
      <c r="AD595" s="20"/>
    </row>
    <row r="596" spans="1:30" s="16" customFormat="1" hidden="1" x14ac:dyDescent="0.25">
      <c r="A596" s="16">
        <v>593</v>
      </c>
      <c r="G596" s="16" t="s">
        <v>77</v>
      </c>
      <c r="I596" s="16" t="s">
        <v>75</v>
      </c>
      <c r="L596" s="105" t="s">
        <v>99</v>
      </c>
      <c r="M596" s="17" t="str">
        <f>VLOOKUP(RiskRegister[[#This Row],[Inherent Impact LevelL3:L1020D1007L3:L1019]],'Rating factors'!$F$4:$G$9,2,FALSE)</f>
        <v>--- Error ---</v>
      </c>
      <c r="N596" s="16" t="s">
        <v>79</v>
      </c>
      <c r="O596" s="17" t="str">
        <f>VLOOKUP(RiskRegister[[#This Row],[Inherent Likelihood Level]],'Rating factors'!$F$16:$G$21,2,FALSE)</f>
        <v>--- Error ---</v>
      </c>
      <c r="P596" s="17" t="str">
        <f>IFERROR(VLOOKUP(RiskRegister[[#This Row],[Inherent Risk Rating]],'Rating factors'!$F$30:$G$44,2,FALSE),"-- Error --")</f>
        <v>-- Error --</v>
      </c>
      <c r="Q596" s="17" t="str">
        <f>IFERROR(RiskRegister[[#This Row],[Inherent Impact Rating]]*RiskRegister[[#This Row],[Inherent Likelihood Rating]],"-- Error --")</f>
        <v>-- Error --</v>
      </c>
      <c r="R596" s="16" t="s">
        <v>98</v>
      </c>
      <c r="T596" s="16" t="s">
        <v>99</v>
      </c>
      <c r="U596" s="17" t="e" cm="1">
        <f t="array" aca="1" ref="U596" ca="1">+U596:Y1019VLOOKUP(RiskRegister[[#This Row],[Residual Impact Level]],'Rating factors'!$F$4:$G$9,2,FALSE)</f>
        <v>#NAME?</v>
      </c>
      <c r="V596" s="16" t="s">
        <v>79</v>
      </c>
      <c r="W596" s="17" t="str">
        <f>VLOOKUP(RiskRegister[[#This Row],[Residual Likelihood Level]],'Rating factors'!$F$16:$G$21,2,FALSE)</f>
        <v>--- Error ---</v>
      </c>
      <c r="X596" s="17" t="str">
        <f ca="1">IFERROR(VLOOKUP(RiskRegister[[#This Row],[Residual Risk Rating]],'Rating factors'!$F$30:$G$44,2,FALSE),"-- Error --")</f>
        <v>-- Error --</v>
      </c>
      <c r="Y596" s="17" t="str">
        <f ca="1">IFERROR(RiskRegister[[#This Row],[Residual Impact Rating]]*RiskRegister[[#This Row],[Residual Likelihood Rating]],"-- Error --")</f>
        <v>-- Error --</v>
      </c>
      <c r="Z596" s="16" t="s">
        <v>100</v>
      </c>
      <c r="AB596" s="39"/>
      <c r="AD596" s="20"/>
    </row>
    <row r="597" spans="1:30" s="16" customFormat="1" hidden="1" x14ac:dyDescent="0.25">
      <c r="A597" s="16">
        <v>594</v>
      </c>
      <c r="G597" s="16" t="s">
        <v>77</v>
      </c>
      <c r="I597" s="16" t="s">
        <v>75</v>
      </c>
      <c r="L597" s="105" t="s">
        <v>99</v>
      </c>
      <c r="M597" s="17" t="str">
        <f>VLOOKUP(RiskRegister[[#This Row],[Inherent Impact LevelL3:L1020D1007L3:L1019]],'Rating factors'!$F$4:$G$9,2,FALSE)</f>
        <v>--- Error ---</v>
      </c>
      <c r="N597" s="16" t="s">
        <v>79</v>
      </c>
      <c r="O597" s="17" t="str">
        <f>VLOOKUP(RiskRegister[[#This Row],[Inherent Likelihood Level]],'Rating factors'!$F$16:$G$21,2,FALSE)</f>
        <v>--- Error ---</v>
      </c>
      <c r="P597" s="17" t="str">
        <f>IFERROR(VLOOKUP(RiskRegister[[#This Row],[Inherent Risk Rating]],'Rating factors'!$F$30:$G$44,2,FALSE),"-- Error --")</f>
        <v>-- Error --</v>
      </c>
      <c r="Q597" s="17" t="str">
        <f>IFERROR(RiskRegister[[#This Row],[Inherent Impact Rating]]*RiskRegister[[#This Row],[Inherent Likelihood Rating]],"-- Error --")</f>
        <v>-- Error --</v>
      </c>
      <c r="R597" s="16" t="s">
        <v>98</v>
      </c>
      <c r="T597" s="16" t="s">
        <v>99</v>
      </c>
      <c r="U597" s="17" t="e" cm="1">
        <f t="array" aca="1" ref="U597" ca="1">+U597:Y1019VLOOKUP(RiskRegister[[#This Row],[Residual Impact Level]],'Rating factors'!$F$4:$G$9,2,FALSE)</f>
        <v>#NAME?</v>
      </c>
      <c r="V597" s="16" t="s">
        <v>79</v>
      </c>
      <c r="W597" s="17" t="str">
        <f>VLOOKUP(RiskRegister[[#This Row],[Residual Likelihood Level]],'Rating factors'!$F$16:$G$21,2,FALSE)</f>
        <v>--- Error ---</v>
      </c>
      <c r="X597" s="17" t="str">
        <f ca="1">IFERROR(VLOOKUP(RiskRegister[[#This Row],[Residual Risk Rating]],'Rating factors'!$F$30:$G$44,2,FALSE),"-- Error --")</f>
        <v>-- Error --</v>
      </c>
      <c r="Y597" s="17" t="str">
        <f ca="1">IFERROR(RiskRegister[[#This Row],[Residual Impact Rating]]*RiskRegister[[#This Row],[Residual Likelihood Rating]],"-- Error --")</f>
        <v>-- Error --</v>
      </c>
      <c r="Z597" s="16" t="s">
        <v>100</v>
      </c>
      <c r="AB597" s="39"/>
      <c r="AD597" s="20"/>
    </row>
    <row r="598" spans="1:30" s="16" customFormat="1" hidden="1" x14ac:dyDescent="0.25">
      <c r="A598" s="16">
        <v>595</v>
      </c>
      <c r="G598" s="16" t="s">
        <v>77</v>
      </c>
      <c r="I598" s="16" t="s">
        <v>75</v>
      </c>
      <c r="L598" s="105" t="s">
        <v>99</v>
      </c>
      <c r="M598" s="17" t="str">
        <f>VLOOKUP(RiskRegister[[#This Row],[Inherent Impact LevelL3:L1020D1007L3:L1019]],'Rating factors'!$F$4:$G$9,2,FALSE)</f>
        <v>--- Error ---</v>
      </c>
      <c r="N598" s="16" t="s">
        <v>79</v>
      </c>
      <c r="O598" s="17" t="str">
        <f>VLOOKUP(RiskRegister[[#This Row],[Inherent Likelihood Level]],'Rating factors'!$F$16:$G$21,2,FALSE)</f>
        <v>--- Error ---</v>
      </c>
      <c r="P598" s="17" t="str">
        <f>IFERROR(VLOOKUP(RiskRegister[[#This Row],[Inherent Risk Rating]],'Rating factors'!$F$30:$G$44,2,FALSE),"-- Error --")</f>
        <v>-- Error --</v>
      </c>
      <c r="Q598" s="17" t="str">
        <f>IFERROR(RiskRegister[[#This Row],[Inherent Impact Rating]]*RiskRegister[[#This Row],[Inherent Likelihood Rating]],"-- Error --")</f>
        <v>-- Error --</v>
      </c>
      <c r="R598" s="16" t="s">
        <v>98</v>
      </c>
      <c r="T598" s="16" t="s">
        <v>99</v>
      </c>
      <c r="U598" s="17" t="e" cm="1">
        <f t="array" aca="1" ref="U598" ca="1">+U598:Y1019VLOOKUP(RiskRegister[[#This Row],[Residual Impact Level]],'Rating factors'!$F$4:$G$9,2,FALSE)</f>
        <v>#NAME?</v>
      </c>
      <c r="V598" s="16" t="s">
        <v>79</v>
      </c>
      <c r="W598" s="17" t="str">
        <f>VLOOKUP(RiskRegister[[#This Row],[Residual Likelihood Level]],'Rating factors'!$F$16:$G$21,2,FALSE)</f>
        <v>--- Error ---</v>
      </c>
      <c r="X598" s="17" t="str">
        <f ca="1">IFERROR(VLOOKUP(RiskRegister[[#This Row],[Residual Risk Rating]],'Rating factors'!$F$30:$G$44,2,FALSE),"-- Error --")</f>
        <v>-- Error --</v>
      </c>
      <c r="Y598" s="17" t="str">
        <f ca="1">IFERROR(RiskRegister[[#This Row],[Residual Impact Rating]]*RiskRegister[[#This Row],[Residual Likelihood Rating]],"-- Error --")</f>
        <v>-- Error --</v>
      </c>
      <c r="Z598" s="16" t="s">
        <v>100</v>
      </c>
      <c r="AB598" s="39"/>
      <c r="AD598" s="20"/>
    </row>
    <row r="599" spans="1:30" s="16" customFormat="1" hidden="1" x14ac:dyDescent="0.25">
      <c r="A599" s="16">
        <v>596</v>
      </c>
      <c r="G599" s="16" t="s">
        <v>77</v>
      </c>
      <c r="I599" s="16" t="s">
        <v>75</v>
      </c>
      <c r="L599" s="105" t="s">
        <v>99</v>
      </c>
      <c r="M599" s="17" t="str">
        <f>VLOOKUP(RiskRegister[[#This Row],[Inherent Impact LevelL3:L1020D1007L3:L1019]],'Rating factors'!$F$4:$G$9,2,FALSE)</f>
        <v>--- Error ---</v>
      </c>
      <c r="N599" s="16" t="s">
        <v>79</v>
      </c>
      <c r="O599" s="17" t="str">
        <f>VLOOKUP(RiskRegister[[#This Row],[Inherent Likelihood Level]],'Rating factors'!$F$16:$G$21,2,FALSE)</f>
        <v>--- Error ---</v>
      </c>
      <c r="P599" s="17" t="str">
        <f>IFERROR(VLOOKUP(RiskRegister[[#This Row],[Inherent Risk Rating]],'Rating factors'!$F$30:$G$44,2,FALSE),"-- Error --")</f>
        <v>-- Error --</v>
      </c>
      <c r="Q599" s="17" t="str">
        <f>IFERROR(RiskRegister[[#This Row],[Inherent Impact Rating]]*RiskRegister[[#This Row],[Inherent Likelihood Rating]],"-- Error --")</f>
        <v>-- Error --</v>
      </c>
      <c r="R599" s="16" t="s">
        <v>98</v>
      </c>
      <c r="T599" s="16" t="s">
        <v>99</v>
      </c>
      <c r="U599" s="17" t="e" cm="1">
        <f t="array" aca="1" ref="U599" ca="1">+U599:Y1019VLOOKUP(RiskRegister[[#This Row],[Residual Impact Level]],'Rating factors'!$F$4:$G$9,2,FALSE)</f>
        <v>#NAME?</v>
      </c>
      <c r="V599" s="16" t="s">
        <v>79</v>
      </c>
      <c r="W599" s="17" t="str">
        <f>VLOOKUP(RiskRegister[[#This Row],[Residual Likelihood Level]],'Rating factors'!$F$16:$G$21,2,FALSE)</f>
        <v>--- Error ---</v>
      </c>
      <c r="X599" s="17" t="str">
        <f ca="1">IFERROR(VLOOKUP(RiskRegister[[#This Row],[Residual Risk Rating]],'Rating factors'!$F$30:$G$44,2,FALSE),"-- Error --")</f>
        <v>-- Error --</v>
      </c>
      <c r="Y599" s="17" t="str">
        <f ca="1">IFERROR(RiskRegister[[#This Row],[Residual Impact Rating]]*RiskRegister[[#This Row],[Residual Likelihood Rating]],"-- Error --")</f>
        <v>-- Error --</v>
      </c>
      <c r="Z599" s="16" t="s">
        <v>100</v>
      </c>
      <c r="AB599" s="39"/>
      <c r="AD599" s="20"/>
    </row>
    <row r="600" spans="1:30" s="16" customFormat="1" hidden="1" x14ac:dyDescent="0.25">
      <c r="A600" s="16">
        <v>597</v>
      </c>
      <c r="G600" s="16" t="s">
        <v>77</v>
      </c>
      <c r="I600" s="16" t="s">
        <v>75</v>
      </c>
      <c r="L600" s="105" t="s">
        <v>99</v>
      </c>
      <c r="M600" s="17" t="str">
        <f>VLOOKUP(RiskRegister[[#This Row],[Inherent Impact LevelL3:L1020D1007L3:L1019]],'Rating factors'!$F$4:$G$9,2,FALSE)</f>
        <v>--- Error ---</v>
      </c>
      <c r="N600" s="16" t="s">
        <v>79</v>
      </c>
      <c r="O600" s="17" t="str">
        <f>VLOOKUP(RiskRegister[[#This Row],[Inherent Likelihood Level]],'Rating factors'!$F$16:$G$21,2,FALSE)</f>
        <v>--- Error ---</v>
      </c>
      <c r="P600" s="17" t="str">
        <f>IFERROR(VLOOKUP(RiskRegister[[#This Row],[Inherent Risk Rating]],'Rating factors'!$F$30:$G$44,2,FALSE),"-- Error --")</f>
        <v>-- Error --</v>
      </c>
      <c r="Q600" s="17" t="str">
        <f>IFERROR(RiskRegister[[#This Row],[Inherent Impact Rating]]*RiskRegister[[#This Row],[Inherent Likelihood Rating]],"-- Error --")</f>
        <v>-- Error --</v>
      </c>
      <c r="R600" s="16" t="s">
        <v>98</v>
      </c>
      <c r="T600" s="16" t="s">
        <v>99</v>
      </c>
      <c r="U600" s="17" t="e" cm="1">
        <f t="array" aca="1" ref="U600" ca="1">+U600:Y1019VLOOKUP(RiskRegister[[#This Row],[Residual Impact Level]],'Rating factors'!$F$4:$G$9,2,FALSE)</f>
        <v>#NAME?</v>
      </c>
      <c r="V600" s="16" t="s">
        <v>79</v>
      </c>
      <c r="W600" s="17" t="str">
        <f>VLOOKUP(RiskRegister[[#This Row],[Residual Likelihood Level]],'Rating factors'!$F$16:$G$21,2,FALSE)</f>
        <v>--- Error ---</v>
      </c>
      <c r="X600" s="17" t="str">
        <f ca="1">IFERROR(VLOOKUP(RiskRegister[[#This Row],[Residual Risk Rating]],'Rating factors'!$F$30:$G$44,2,FALSE),"-- Error --")</f>
        <v>-- Error --</v>
      </c>
      <c r="Y600" s="17" t="str">
        <f ca="1">IFERROR(RiskRegister[[#This Row],[Residual Impact Rating]]*RiskRegister[[#This Row],[Residual Likelihood Rating]],"-- Error --")</f>
        <v>-- Error --</v>
      </c>
      <c r="Z600" s="16" t="s">
        <v>100</v>
      </c>
      <c r="AB600" s="39"/>
      <c r="AD600" s="20"/>
    </row>
    <row r="601" spans="1:30" s="16" customFormat="1" hidden="1" x14ac:dyDescent="0.25">
      <c r="A601" s="16">
        <v>598</v>
      </c>
      <c r="G601" s="16" t="s">
        <v>77</v>
      </c>
      <c r="I601" s="16" t="s">
        <v>75</v>
      </c>
      <c r="L601" s="105" t="s">
        <v>99</v>
      </c>
      <c r="M601" s="17" t="str">
        <f>VLOOKUP(RiskRegister[[#This Row],[Inherent Impact LevelL3:L1020D1007L3:L1019]],'Rating factors'!$F$4:$G$9,2,FALSE)</f>
        <v>--- Error ---</v>
      </c>
      <c r="N601" s="16" t="s">
        <v>79</v>
      </c>
      <c r="O601" s="17" t="str">
        <f>VLOOKUP(RiskRegister[[#This Row],[Inherent Likelihood Level]],'Rating factors'!$F$16:$G$21,2,FALSE)</f>
        <v>--- Error ---</v>
      </c>
      <c r="P601" s="17" t="str">
        <f>IFERROR(VLOOKUP(RiskRegister[[#This Row],[Inherent Risk Rating]],'Rating factors'!$F$30:$G$44,2,FALSE),"-- Error --")</f>
        <v>-- Error --</v>
      </c>
      <c r="Q601" s="17" t="str">
        <f>IFERROR(RiskRegister[[#This Row],[Inherent Impact Rating]]*RiskRegister[[#This Row],[Inherent Likelihood Rating]],"-- Error --")</f>
        <v>-- Error --</v>
      </c>
      <c r="R601" s="16" t="s">
        <v>98</v>
      </c>
      <c r="T601" s="16" t="s">
        <v>99</v>
      </c>
      <c r="U601" s="17" t="e" cm="1">
        <f t="array" aca="1" ref="U601" ca="1">+U601:Y1019VLOOKUP(RiskRegister[[#This Row],[Residual Impact Level]],'Rating factors'!$F$4:$G$9,2,FALSE)</f>
        <v>#NAME?</v>
      </c>
      <c r="V601" s="16" t="s">
        <v>79</v>
      </c>
      <c r="W601" s="17" t="str">
        <f>VLOOKUP(RiskRegister[[#This Row],[Residual Likelihood Level]],'Rating factors'!$F$16:$G$21,2,FALSE)</f>
        <v>--- Error ---</v>
      </c>
      <c r="X601" s="17" t="str">
        <f ca="1">IFERROR(VLOOKUP(RiskRegister[[#This Row],[Residual Risk Rating]],'Rating factors'!$F$30:$G$44,2,FALSE),"-- Error --")</f>
        <v>-- Error --</v>
      </c>
      <c r="Y601" s="17" t="str">
        <f ca="1">IFERROR(RiskRegister[[#This Row],[Residual Impact Rating]]*RiskRegister[[#This Row],[Residual Likelihood Rating]],"-- Error --")</f>
        <v>-- Error --</v>
      </c>
      <c r="Z601" s="16" t="s">
        <v>100</v>
      </c>
      <c r="AB601" s="39"/>
      <c r="AD601" s="20"/>
    </row>
    <row r="602" spans="1:30" s="16" customFormat="1" hidden="1" x14ac:dyDescent="0.25">
      <c r="A602" s="16">
        <v>599</v>
      </c>
      <c r="G602" s="16" t="s">
        <v>77</v>
      </c>
      <c r="I602" s="16" t="s">
        <v>75</v>
      </c>
      <c r="L602" s="105" t="s">
        <v>99</v>
      </c>
      <c r="M602" s="17" t="str">
        <f>VLOOKUP(RiskRegister[[#This Row],[Inherent Impact LevelL3:L1020D1007L3:L1019]],'Rating factors'!$F$4:$G$9,2,FALSE)</f>
        <v>--- Error ---</v>
      </c>
      <c r="N602" s="16" t="s">
        <v>79</v>
      </c>
      <c r="O602" s="17" t="str">
        <f>VLOOKUP(RiskRegister[[#This Row],[Inherent Likelihood Level]],'Rating factors'!$F$16:$G$21,2,FALSE)</f>
        <v>--- Error ---</v>
      </c>
      <c r="P602" s="17" t="str">
        <f>IFERROR(VLOOKUP(RiskRegister[[#This Row],[Inherent Risk Rating]],'Rating factors'!$F$30:$G$44,2,FALSE),"-- Error --")</f>
        <v>-- Error --</v>
      </c>
      <c r="Q602" s="17" t="str">
        <f>IFERROR(RiskRegister[[#This Row],[Inherent Impact Rating]]*RiskRegister[[#This Row],[Inherent Likelihood Rating]],"-- Error --")</f>
        <v>-- Error --</v>
      </c>
      <c r="R602" s="16" t="s">
        <v>98</v>
      </c>
      <c r="T602" s="16" t="s">
        <v>99</v>
      </c>
      <c r="U602" s="17" t="e" cm="1">
        <f t="array" aca="1" ref="U602" ca="1">+U602:Y1019VLOOKUP(RiskRegister[[#This Row],[Residual Impact Level]],'Rating factors'!$F$4:$G$9,2,FALSE)</f>
        <v>#NAME?</v>
      </c>
      <c r="V602" s="16" t="s">
        <v>79</v>
      </c>
      <c r="W602" s="17" t="str">
        <f>VLOOKUP(RiskRegister[[#This Row],[Residual Likelihood Level]],'Rating factors'!$F$16:$G$21,2,FALSE)</f>
        <v>--- Error ---</v>
      </c>
      <c r="X602" s="17" t="str">
        <f ca="1">IFERROR(VLOOKUP(RiskRegister[[#This Row],[Residual Risk Rating]],'Rating factors'!$F$30:$G$44,2,FALSE),"-- Error --")</f>
        <v>-- Error --</v>
      </c>
      <c r="Y602" s="17" t="str">
        <f ca="1">IFERROR(RiskRegister[[#This Row],[Residual Impact Rating]]*RiskRegister[[#This Row],[Residual Likelihood Rating]],"-- Error --")</f>
        <v>-- Error --</v>
      </c>
      <c r="Z602" s="16" t="s">
        <v>100</v>
      </c>
      <c r="AB602" s="39"/>
      <c r="AD602" s="20"/>
    </row>
    <row r="603" spans="1:30" s="16" customFormat="1" hidden="1" x14ac:dyDescent="0.25">
      <c r="A603" s="16">
        <v>600</v>
      </c>
      <c r="G603" s="16" t="s">
        <v>77</v>
      </c>
      <c r="I603" s="16" t="s">
        <v>75</v>
      </c>
      <c r="L603" s="105" t="s">
        <v>99</v>
      </c>
      <c r="M603" s="17" t="str">
        <f>VLOOKUP(RiskRegister[[#This Row],[Inherent Impact LevelL3:L1020D1007L3:L1019]],'Rating factors'!$F$4:$G$9,2,FALSE)</f>
        <v>--- Error ---</v>
      </c>
      <c r="N603" s="16" t="s">
        <v>79</v>
      </c>
      <c r="O603" s="17" t="str">
        <f>VLOOKUP(RiskRegister[[#This Row],[Inherent Likelihood Level]],'Rating factors'!$F$16:$G$21,2,FALSE)</f>
        <v>--- Error ---</v>
      </c>
      <c r="P603" s="17" t="str">
        <f>IFERROR(VLOOKUP(RiskRegister[[#This Row],[Inherent Risk Rating]],'Rating factors'!$F$30:$G$44,2,FALSE),"-- Error --")</f>
        <v>-- Error --</v>
      </c>
      <c r="Q603" s="17" t="str">
        <f>IFERROR(RiskRegister[[#This Row],[Inherent Impact Rating]]*RiskRegister[[#This Row],[Inherent Likelihood Rating]],"-- Error --")</f>
        <v>-- Error --</v>
      </c>
      <c r="R603" s="16" t="s">
        <v>98</v>
      </c>
      <c r="T603" s="16" t="s">
        <v>99</v>
      </c>
      <c r="U603" s="17" t="e" cm="1">
        <f t="array" aca="1" ref="U603" ca="1">+U603:Y1019VLOOKUP(RiskRegister[[#This Row],[Residual Impact Level]],'Rating factors'!$F$4:$G$9,2,FALSE)</f>
        <v>#NAME?</v>
      </c>
      <c r="V603" s="16" t="s">
        <v>79</v>
      </c>
      <c r="W603" s="17" t="str">
        <f>VLOOKUP(RiskRegister[[#This Row],[Residual Likelihood Level]],'Rating factors'!$F$16:$G$21,2,FALSE)</f>
        <v>--- Error ---</v>
      </c>
      <c r="X603" s="17" t="str">
        <f ca="1">IFERROR(VLOOKUP(RiskRegister[[#This Row],[Residual Risk Rating]],'Rating factors'!$F$30:$G$44,2,FALSE),"-- Error --")</f>
        <v>-- Error --</v>
      </c>
      <c r="Y603" s="17" t="str">
        <f ca="1">IFERROR(RiskRegister[[#This Row],[Residual Impact Rating]]*RiskRegister[[#This Row],[Residual Likelihood Rating]],"-- Error --")</f>
        <v>-- Error --</v>
      </c>
      <c r="Z603" s="16" t="s">
        <v>100</v>
      </c>
      <c r="AB603" s="39"/>
      <c r="AD603" s="20"/>
    </row>
    <row r="604" spans="1:30" s="16" customFormat="1" hidden="1" x14ac:dyDescent="0.25">
      <c r="A604" s="16">
        <v>601</v>
      </c>
      <c r="G604" s="16" t="s">
        <v>77</v>
      </c>
      <c r="I604" s="16" t="s">
        <v>75</v>
      </c>
      <c r="L604" s="105" t="s">
        <v>99</v>
      </c>
      <c r="M604" s="17" t="str">
        <f>VLOOKUP(RiskRegister[[#This Row],[Inherent Impact LevelL3:L1020D1007L3:L1019]],'Rating factors'!$F$4:$G$9,2,FALSE)</f>
        <v>--- Error ---</v>
      </c>
      <c r="N604" s="16" t="s">
        <v>79</v>
      </c>
      <c r="O604" s="17" t="str">
        <f>VLOOKUP(RiskRegister[[#This Row],[Inherent Likelihood Level]],'Rating factors'!$F$16:$G$21,2,FALSE)</f>
        <v>--- Error ---</v>
      </c>
      <c r="P604" s="17" t="str">
        <f>IFERROR(VLOOKUP(RiskRegister[[#This Row],[Inherent Risk Rating]],'Rating factors'!$F$30:$G$44,2,FALSE),"-- Error --")</f>
        <v>-- Error --</v>
      </c>
      <c r="Q604" s="17" t="str">
        <f>IFERROR(RiskRegister[[#This Row],[Inherent Impact Rating]]*RiskRegister[[#This Row],[Inherent Likelihood Rating]],"-- Error --")</f>
        <v>-- Error --</v>
      </c>
      <c r="R604" s="16" t="s">
        <v>98</v>
      </c>
      <c r="T604" s="16" t="s">
        <v>99</v>
      </c>
      <c r="U604" s="17" t="e" cm="1">
        <f t="array" aca="1" ref="U604" ca="1">+U604:Y1019VLOOKUP(RiskRegister[[#This Row],[Residual Impact Level]],'Rating factors'!$F$4:$G$9,2,FALSE)</f>
        <v>#NAME?</v>
      </c>
      <c r="V604" s="16" t="s">
        <v>79</v>
      </c>
      <c r="W604" s="17" t="str">
        <f>VLOOKUP(RiskRegister[[#This Row],[Residual Likelihood Level]],'Rating factors'!$F$16:$G$21,2,FALSE)</f>
        <v>--- Error ---</v>
      </c>
      <c r="X604" s="17" t="str">
        <f ca="1">IFERROR(VLOOKUP(RiskRegister[[#This Row],[Residual Risk Rating]],'Rating factors'!$F$30:$G$44,2,FALSE),"-- Error --")</f>
        <v>-- Error --</v>
      </c>
      <c r="Y604" s="17" t="str">
        <f ca="1">IFERROR(RiskRegister[[#This Row],[Residual Impact Rating]]*RiskRegister[[#This Row],[Residual Likelihood Rating]],"-- Error --")</f>
        <v>-- Error --</v>
      </c>
      <c r="Z604" s="16" t="s">
        <v>100</v>
      </c>
      <c r="AB604" s="39"/>
      <c r="AD604" s="20"/>
    </row>
    <row r="605" spans="1:30" s="16" customFormat="1" hidden="1" x14ac:dyDescent="0.25">
      <c r="A605" s="16">
        <v>602</v>
      </c>
      <c r="G605" s="16" t="s">
        <v>77</v>
      </c>
      <c r="I605" s="16" t="s">
        <v>75</v>
      </c>
      <c r="L605" s="105" t="s">
        <v>99</v>
      </c>
      <c r="M605" s="17" t="str">
        <f>VLOOKUP(RiskRegister[[#This Row],[Inherent Impact LevelL3:L1020D1007L3:L1019]],'Rating factors'!$F$4:$G$9,2,FALSE)</f>
        <v>--- Error ---</v>
      </c>
      <c r="N605" s="16" t="s">
        <v>79</v>
      </c>
      <c r="O605" s="17" t="str">
        <f>VLOOKUP(RiskRegister[[#This Row],[Inherent Likelihood Level]],'Rating factors'!$F$16:$G$21,2,FALSE)</f>
        <v>--- Error ---</v>
      </c>
      <c r="P605" s="17" t="str">
        <f>IFERROR(VLOOKUP(RiskRegister[[#This Row],[Inherent Risk Rating]],'Rating factors'!$F$30:$G$44,2,FALSE),"-- Error --")</f>
        <v>-- Error --</v>
      </c>
      <c r="Q605" s="17" t="str">
        <f>IFERROR(RiskRegister[[#This Row],[Inherent Impact Rating]]*RiskRegister[[#This Row],[Inherent Likelihood Rating]],"-- Error --")</f>
        <v>-- Error --</v>
      </c>
      <c r="R605" s="16" t="s">
        <v>98</v>
      </c>
      <c r="T605" s="16" t="s">
        <v>99</v>
      </c>
      <c r="U605" s="17" t="e" cm="1">
        <f t="array" aca="1" ref="U605" ca="1">+U605:Y1019VLOOKUP(RiskRegister[[#This Row],[Residual Impact Level]],'Rating factors'!$F$4:$G$9,2,FALSE)</f>
        <v>#NAME?</v>
      </c>
      <c r="V605" s="16" t="s">
        <v>79</v>
      </c>
      <c r="W605" s="17" t="str">
        <f>VLOOKUP(RiskRegister[[#This Row],[Residual Likelihood Level]],'Rating factors'!$F$16:$G$21,2,FALSE)</f>
        <v>--- Error ---</v>
      </c>
      <c r="X605" s="17" t="str">
        <f ca="1">IFERROR(VLOOKUP(RiskRegister[[#This Row],[Residual Risk Rating]],'Rating factors'!$F$30:$G$44,2,FALSE),"-- Error --")</f>
        <v>-- Error --</v>
      </c>
      <c r="Y605" s="17" t="str">
        <f ca="1">IFERROR(RiskRegister[[#This Row],[Residual Impact Rating]]*RiskRegister[[#This Row],[Residual Likelihood Rating]],"-- Error --")</f>
        <v>-- Error --</v>
      </c>
      <c r="Z605" s="16" t="s">
        <v>100</v>
      </c>
      <c r="AB605" s="39"/>
      <c r="AD605" s="20"/>
    </row>
    <row r="606" spans="1:30" s="16" customFormat="1" hidden="1" x14ac:dyDescent="0.25">
      <c r="A606" s="16">
        <v>603</v>
      </c>
      <c r="G606" s="16" t="s">
        <v>77</v>
      </c>
      <c r="I606" s="16" t="s">
        <v>75</v>
      </c>
      <c r="L606" s="105" t="s">
        <v>99</v>
      </c>
      <c r="M606" s="17" t="str">
        <f>VLOOKUP(RiskRegister[[#This Row],[Inherent Impact LevelL3:L1020D1007L3:L1019]],'Rating factors'!$F$4:$G$9,2,FALSE)</f>
        <v>--- Error ---</v>
      </c>
      <c r="N606" s="16" t="s">
        <v>79</v>
      </c>
      <c r="O606" s="17" t="str">
        <f>VLOOKUP(RiskRegister[[#This Row],[Inherent Likelihood Level]],'Rating factors'!$F$16:$G$21,2,FALSE)</f>
        <v>--- Error ---</v>
      </c>
      <c r="P606" s="17" t="str">
        <f>IFERROR(VLOOKUP(RiskRegister[[#This Row],[Inherent Risk Rating]],'Rating factors'!$F$30:$G$44,2,FALSE),"-- Error --")</f>
        <v>-- Error --</v>
      </c>
      <c r="Q606" s="17" t="str">
        <f>IFERROR(RiskRegister[[#This Row],[Inherent Impact Rating]]*RiskRegister[[#This Row],[Inherent Likelihood Rating]],"-- Error --")</f>
        <v>-- Error --</v>
      </c>
      <c r="R606" s="16" t="s">
        <v>98</v>
      </c>
      <c r="T606" s="16" t="s">
        <v>99</v>
      </c>
      <c r="U606" s="17" t="e" cm="1">
        <f t="array" aca="1" ref="U606" ca="1">+U606:Y1019VLOOKUP(RiskRegister[[#This Row],[Residual Impact Level]],'Rating factors'!$F$4:$G$9,2,FALSE)</f>
        <v>#NAME?</v>
      </c>
      <c r="V606" s="16" t="s">
        <v>79</v>
      </c>
      <c r="W606" s="17" t="str">
        <f>VLOOKUP(RiskRegister[[#This Row],[Residual Likelihood Level]],'Rating factors'!$F$16:$G$21,2,FALSE)</f>
        <v>--- Error ---</v>
      </c>
      <c r="X606" s="17" t="str">
        <f ca="1">IFERROR(VLOOKUP(RiskRegister[[#This Row],[Residual Risk Rating]],'Rating factors'!$F$30:$G$44,2,FALSE),"-- Error --")</f>
        <v>-- Error --</v>
      </c>
      <c r="Y606" s="17" t="str">
        <f ca="1">IFERROR(RiskRegister[[#This Row],[Residual Impact Rating]]*RiskRegister[[#This Row],[Residual Likelihood Rating]],"-- Error --")</f>
        <v>-- Error --</v>
      </c>
      <c r="Z606" s="16" t="s">
        <v>100</v>
      </c>
      <c r="AB606" s="39"/>
      <c r="AD606" s="20"/>
    </row>
    <row r="607" spans="1:30" s="16" customFormat="1" hidden="1" x14ac:dyDescent="0.25">
      <c r="A607" s="16">
        <v>604</v>
      </c>
      <c r="G607" s="16" t="s">
        <v>77</v>
      </c>
      <c r="I607" s="16" t="s">
        <v>75</v>
      </c>
      <c r="L607" s="105" t="s">
        <v>99</v>
      </c>
      <c r="M607" s="17" t="str">
        <f>VLOOKUP(RiskRegister[[#This Row],[Inherent Impact LevelL3:L1020D1007L3:L1019]],'Rating factors'!$F$4:$G$9,2,FALSE)</f>
        <v>--- Error ---</v>
      </c>
      <c r="N607" s="16" t="s">
        <v>79</v>
      </c>
      <c r="O607" s="17" t="str">
        <f>VLOOKUP(RiskRegister[[#This Row],[Inherent Likelihood Level]],'Rating factors'!$F$16:$G$21,2,FALSE)</f>
        <v>--- Error ---</v>
      </c>
      <c r="P607" s="17" t="str">
        <f>IFERROR(VLOOKUP(RiskRegister[[#This Row],[Inherent Risk Rating]],'Rating factors'!$F$30:$G$44,2,FALSE),"-- Error --")</f>
        <v>-- Error --</v>
      </c>
      <c r="Q607" s="17" t="str">
        <f>IFERROR(RiskRegister[[#This Row],[Inherent Impact Rating]]*RiskRegister[[#This Row],[Inherent Likelihood Rating]],"-- Error --")</f>
        <v>-- Error --</v>
      </c>
      <c r="R607" s="16" t="s">
        <v>98</v>
      </c>
      <c r="T607" s="16" t="s">
        <v>99</v>
      </c>
      <c r="U607" s="17" t="e" cm="1">
        <f t="array" aca="1" ref="U607" ca="1">+U607:Y1019VLOOKUP(RiskRegister[[#This Row],[Residual Impact Level]],'Rating factors'!$F$4:$G$9,2,FALSE)</f>
        <v>#NAME?</v>
      </c>
      <c r="V607" s="16" t="s">
        <v>79</v>
      </c>
      <c r="W607" s="17" t="str">
        <f>VLOOKUP(RiskRegister[[#This Row],[Residual Likelihood Level]],'Rating factors'!$F$16:$G$21,2,FALSE)</f>
        <v>--- Error ---</v>
      </c>
      <c r="X607" s="17" t="str">
        <f ca="1">IFERROR(VLOOKUP(RiskRegister[[#This Row],[Residual Risk Rating]],'Rating factors'!$F$30:$G$44,2,FALSE),"-- Error --")</f>
        <v>-- Error --</v>
      </c>
      <c r="Y607" s="17" t="str">
        <f ca="1">IFERROR(RiskRegister[[#This Row],[Residual Impact Rating]]*RiskRegister[[#This Row],[Residual Likelihood Rating]],"-- Error --")</f>
        <v>-- Error --</v>
      </c>
      <c r="Z607" s="16" t="s">
        <v>100</v>
      </c>
      <c r="AB607" s="39"/>
      <c r="AD607" s="20"/>
    </row>
    <row r="608" spans="1:30" s="16" customFormat="1" hidden="1" x14ac:dyDescent="0.25">
      <c r="A608" s="16">
        <v>605</v>
      </c>
      <c r="G608" s="16" t="s">
        <v>77</v>
      </c>
      <c r="I608" s="16" t="s">
        <v>75</v>
      </c>
      <c r="L608" s="105" t="s">
        <v>99</v>
      </c>
      <c r="M608" s="17" t="str">
        <f>VLOOKUP(RiskRegister[[#This Row],[Inherent Impact LevelL3:L1020D1007L3:L1019]],'Rating factors'!$F$4:$G$9,2,FALSE)</f>
        <v>--- Error ---</v>
      </c>
      <c r="N608" s="16" t="s">
        <v>79</v>
      </c>
      <c r="O608" s="17" t="str">
        <f>VLOOKUP(RiskRegister[[#This Row],[Inherent Likelihood Level]],'Rating factors'!$F$16:$G$21,2,FALSE)</f>
        <v>--- Error ---</v>
      </c>
      <c r="P608" s="17" t="str">
        <f>IFERROR(VLOOKUP(RiskRegister[[#This Row],[Inherent Risk Rating]],'Rating factors'!$F$30:$G$44,2,FALSE),"-- Error --")</f>
        <v>-- Error --</v>
      </c>
      <c r="Q608" s="17" t="str">
        <f>IFERROR(RiskRegister[[#This Row],[Inherent Impact Rating]]*RiskRegister[[#This Row],[Inherent Likelihood Rating]],"-- Error --")</f>
        <v>-- Error --</v>
      </c>
      <c r="R608" s="16" t="s">
        <v>98</v>
      </c>
      <c r="T608" s="16" t="s">
        <v>99</v>
      </c>
      <c r="U608" s="17" t="e" cm="1">
        <f t="array" aca="1" ref="U608" ca="1">+U608:Y1019VLOOKUP(RiskRegister[[#This Row],[Residual Impact Level]],'Rating factors'!$F$4:$G$9,2,FALSE)</f>
        <v>#NAME?</v>
      </c>
      <c r="V608" s="16" t="s">
        <v>79</v>
      </c>
      <c r="W608" s="17" t="str">
        <f>VLOOKUP(RiskRegister[[#This Row],[Residual Likelihood Level]],'Rating factors'!$F$16:$G$21,2,FALSE)</f>
        <v>--- Error ---</v>
      </c>
      <c r="X608" s="17" t="str">
        <f ca="1">IFERROR(VLOOKUP(RiskRegister[[#This Row],[Residual Risk Rating]],'Rating factors'!$F$30:$G$44,2,FALSE),"-- Error --")</f>
        <v>-- Error --</v>
      </c>
      <c r="Y608" s="17" t="str">
        <f ca="1">IFERROR(RiskRegister[[#This Row],[Residual Impact Rating]]*RiskRegister[[#This Row],[Residual Likelihood Rating]],"-- Error --")</f>
        <v>-- Error --</v>
      </c>
      <c r="Z608" s="16" t="s">
        <v>100</v>
      </c>
      <c r="AB608" s="39"/>
      <c r="AD608" s="20"/>
    </row>
    <row r="609" spans="1:30" s="16" customFormat="1" hidden="1" x14ac:dyDescent="0.25">
      <c r="A609" s="16">
        <v>606</v>
      </c>
      <c r="G609" s="16" t="s">
        <v>77</v>
      </c>
      <c r="I609" s="16" t="s">
        <v>75</v>
      </c>
      <c r="L609" s="105" t="s">
        <v>99</v>
      </c>
      <c r="M609" s="17" t="str">
        <f>VLOOKUP(RiskRegister[[#This Row],[Inherent Impact LevelL3:L1020D1007L3:L1019]],'Rating factors'!$F$4:$G$9,2,FALSE)</f>
        <v>--- Error ---</v>
      </c>
      <c r="N609" s="16" t="s">
        <v>79</v>
      </c>
      <c r="O609" s="17" t="str">
        <f>VLOOKUP(RiskRegister[[#This Row],[Inherent Likelihood Level]],'Rating factors'!$F$16:$G$21,2,FALSE)</f>
        <v>--- Error ---</v>
      </c>
      <c r="P609" s="17" t="str">
        <f>IFERROR(VLOOKUP(RiskRegister[[#This Row],[Inherent Risk Rating]],'Rating factors'!$F$30:$G$44,2,FALSE),"-- Error --")</f>
        <v>-- Error --</v>
      </c>
      <c r="Q609" s="17" t="str">
        <f>IFERROR(RiskRegister[[#This Row],[Inherent Impact Rating]]*RiskRegister[[#This Row],[Inherent Likelihood Rating]],"-- Error --")</f>
        <v>-- Error --</v>
      </c>
      <c r="R609" s="16" t="s">
        <v>98</v>
      </c>
      <c r="T609" s="16" t="s">
        <v>99</v>
      </c>
      <c r="U609" s="17" t="e" cm="1">
        <f t="array" aca="1" ref="U609" ca="1">+U609:Y1019VLOOKUP(RiskRegister[[#This Row],[Residual Impact Level]],'Rating factors'!$F$4:$G$9,2,FALSE)</f>
        <v>#NAME?</v>
      </c>
      <c r="V609" s="16" t="s">
        <v>79</v>
      </c>
      <c r="W609" s="17" t="str">
        <f>VLOOKUP(RiskRegister[[#This Row],[Residual Likelihood Level]],'Rating factors'!$F$16:$G$21,2,FALSE)</f>
        <v>--- Error ---</v>
      </c>
      <c r="X609" s="17" t="str">
        <f ca="1">IFERROR(VLOOKUP(RiskRegister[[#This Row],[Residual Risk Rating]],'Rating factors'!$F$30:$G$44,2,FALSE),"-- Error --")</f>
        <v>-- Error --</v>
      </c>
      <c r="Y609" s="17" t="str">
        <f ca="1">IFERROR(RiskRegister[[#This Row],[Residual Impact Rating]]*RiskRegister[[#This Row],[Residual Likelihood Rating]],"-- Error --")</f>
        <v>-- Error --</v>
      </c>
      <c r="Z609" s="16" t="s">
        <v>100</v>
      </c>
      <c r="AB609" s="39"/>
      <c r="AD609" s="20"/>
    </row>
    <row r="610" spans="1:30" s="16" customFormat="1" hidden="1" x14ac:dyDescent="0.25">
      <c r="A610" s="16">
        <v>607</v>
      </c>
      <c r="G610" s="16" t="s">
        <v>77</v>
      </c>
      <c r="I610" s="16" t="s">
        <v>75</v>
      </c>
      <c r="L610" s="105" t="s">
        <v>99</v>
      </c>
      <c r="M610" s="17" t="str">
        <f>VLOOKUP(RiskRegister[[#This Row],[Inherent Impact LevelL3:L1020D1007L3:L1019]],'Rating factors'!$F$4:$G$9,2,FALSE)</f>
        <v>--- Error ---</v>
      </c>
      <c r="N610" s="16" t="s">
        <v>79</v>
      </c>
      <c r="O610" s="17" t="str">
        <f>VLOOKUP(RiskRegister[[#This Row],[Inherent Likelihood Level]],'Rating factors'!$F$16:$G$21,2,FALSE)</f>
        <v>--- Error ---</v>
      </c>
      <c r="P610" s="17" t="str">
        <f>IFERROR(VLOOKUP(RiskRegister[[#This Row],[Inherent Risk Rating]],'Rating factors'!$F$30:$G$44,2,FALSE),"-- Error --")</f>
        <v>-- Error --</v>
      </c>
      <c r="Q610" s="17" t="str">
        <f>IFERROR(RiskRegister[[#This Row],[Inherent Impact Rating]]*RiskRegister[[#This Row],[Inherent Likelihood Rating]],"-- Error --")</f>
        <v>-- Error --</v>
      </c>
      <c r="R610" s="16" t="s">
        <v>98</v>
      </c>
      <c r="T610" s="16" t="s">
        <v>99</v>
      </c>
      <c r="U610" s="17" t="e" cm="1">
        <f t="array" aca="1" ref="U610" ca="1">+U610:Y1019VLOOKUP(RiskRegister[[#This Row],[Residual Impact Level]],'Rating factors'!$F$4:$G$9,2,FALSE)</f>
        <v>#NAME?</v>
      </c>
      <c r="V610" s="16" t="s">
        <v>79</v>
      </c>
      <c r="W610" s="17" t="str">
        <f>VLOOKUP(RiskRegister[[#This Row],[Residual Likelihood Level]],'Rating factors'!$F$16:$G$21,2,FALSE)</f>
        <v>--- Error ---</v>
      </c>
      <c r="X610" s="17" t="str">
        <f ca="1">IFERROR(VLOOKUP(RiskRegister[[#This Row],[Residual Risk Rating]],'Rating factors'!$F$30:$G$44,2,FALSE),"-- Error --")</f>
        <v>-- Error --</v>
      </c>
      <c r="Y610" s="17" t="str">
        <f ca="1">IFERROR(RiskRegister[[#This Row],[Residual Impact Rating]]*RiskRegister[[#This Row],[Residual Likelihood Rating]],"-- Error --")</f>
        <v>-- Error --</v>
      </c>
      <c r="Z610" s="16" t="s">
        <v>100</v>
      </c>
      <c r="AB610" s="39"/>
      <c r="AD610" s="20"/>
    </row>
    <row r="611" spans="1:30" s="16" customFormat="1" hidden="1" x14ac:dyDescent="0.25">
      <c r="A611" s="16">
        <v>608</v>
      </c>
      <c r="G611" s="16" t="s">
        <v>77</v>
      </c>
      <c r="I611" s="16" t="s">
        <v>75</v>
      </c>
      <c r="L611" s="105" t="s">
        <v>99</v>
      </c>
      <c r="M611" s="17" t="str">
        <f>VLOOKUP(RiskRegister[[#This Row],[Inherent Impact LevelL3:L1020D1007L3:L1019]],'Rating factors'!$F$4:$G$9,2,FALSE)</f>
        <v>--- Error ---</v>
      </c>
      <c r="N611" s="16" t="s">
        <v>79</v>
      </c>
      <c r="O611" s="17" t="str">
        <f>VLOOKUP(RiskRegister[[#This Row],[Inherent Likelihood Level]],'Rating factors'!$F$16:$G$21,2,FALSE)</f>
        <v>--- Error ---</v>
      </c>
      <c r="P611" s="17" t="str">
        <f>IFERROR(VLOOKUP(RiskRegister[[#This Row],[Inherent Risk Rating]],'Rating factors'!$F$30:$G$44,2,FALSE),"-- Error --")</f>
        <v>-- Error --</v>
      </c>
      <c r="Q611" s="17" t="str">
        <f>IFERROR(RiskRegister[[#This Row],[Inherent Impact Rating]]*RiskRegister[[#This Row],[Inherent Likelihood Rating]],"-- Error --")</f>
        <v>-- Error --</v>
      </c>
      <c r="R611" s="16" t="s">
        <v>98</v>
      </c>
      <c r="T611" s="16" t="s">
        <v>99</v>
      </c>
      <c r="U611" s="17" t="e" cm="1">
        <f t="array" aca="1" ref="U611" ca="1">+U611:Y1019VLOOKUP(RiskRegister[[#This Row],[Residual Impact Level]],'Rating factors'!$F$4:$G$9,2,FALSE)</f>
        <v>#NAME?</v>
      </c>
      <c r="V611" s="16" t="s">
        <v>79</v>
      </c>
      <c r="W611" s="17" t="str">
        <f>VLOOKUP(RiskRegister[[#This Row],[Residual Likelihood Level]],'Rating factors'!$F$16:$G$21,2,FALSE)</f>
        <v>--- Error ---</v>
      </c>
      <c r="X611" s="17" t="str">
        <f ca="1">IFERROR(VLOOKUP(RiskRegister[[#This Row],[Residual Risk Rating]],'Rating factors'!$F$30:$G$44,2,FALSE),"-- Error --")</f>
        <v>-- Error --</v>
      </c>
      <c r="Y611" s="17" t="str">
        <f ca="1">IFERROR(RiskRegister[[#This Row],[Residual Impact Rating]]*RiskRegister[[#This Row],[Residual Likelihood Rating]],"-- Error --")</f>
        <v>-- Error --</v>
      </c>
      <c r="Z611" s="16" t="s">
        <v>100</v>
      </c>
      <c r="AB611" s="39"/>
      <c r="AD611" s="20"/>
    </row>
    <row r="612" spans="1:30" s="16" customFormat="1" hidden="1" x14ac:dyDescent="0.25">
      <c r="A612" s="16">
        <v>609</v>
      </c>
      <c r="G612" s="16" t="s">
        <v>77</v>
      </c>
      <c r="I612" s="16" t="s">
        <v>75</v>
      </c>
      <c r="L612" s="105" t="s">
        <v>99</v>
      </c>
      <c r="M612" s="17" t="str">
        <f>VLOOKUP(RiskRegister[[#This Row],[Inherent Impact LevelL3:L1020D1007L3:L1019]],'Rating factors'!$F$4:$G$9,2,FALSE)</f>
        <v>--- Error ---</v>
      </c>
      <c r="N612" s="16" t="s">
        <v>79</v>
      </c>
      <c r="O612" s="17" t="str">
        <f>VLOOKUP(RiskRegister[[#This Row],[Inherent Likelihood Level]],'Rating factors'!$F$16:$G$21,2,FALSE)</f>
        <v>--- Error ---</v>
      </c>
      <c r="P612" s="17" t="str">
        <f>IFERROR(VLOOKUP(RiskRegister[[#This Row],[Inherent Risk Rating]],'Rating factors'!$F$30:$G$44,2,FALSE),"-- Error --")</f>
        <v>-- Error --</v>
      </c>
      <c r="Q612" s="17" t="str">
        <f>IFERROR(RiskRegister[[#This Row],[Inherent Impact Rating]]*RiskRegister[[#This Row],[Inherent Likelihood Rating]],"-- Error --")</f>
        <v>-- Error --</v>
      </c>
      <c r="R612" s="16" t="s">
        <v>98</v>
      </c>
      <c r="T612" s="16" t="s">
        <v>99</v>
      </c>
      <c r="U612" s="17" t="e" cm="1">
        <f t="array" aca="1" ref="U612" ca="1">+U612:Y1019VLOOKUP(RiskRegister[[#This Row],[Residual Impact Level]],'Rating factors'!$F$4:$G$9,2,FALSE)</f>
        <v>#NAME?</v>
      </c>
      <c r="V612" s="16" t="s">
        <v>79</v>
      </c>
      <c r="W612" s="17" t="str">
        <f>VLOOKUP(RiskRegister[[#This Row],[Residual Likelihood Level]],'Rating factors'!$F$16:$G$21,2,FALSE)</f>
        <v>--- Error ---</v>
      </c>
      <c r="X612" s="17" t="str">
        <f ca="1">IFERROR(VLOOKUP(RiskRegister[[#This Row],[Residual Risk Rating]],'Rating factors'!$F$30:$G$44,2,FALSE),"-- Error --")</f>
        <v>-- Error --</v>
      </c>
      <c r="Y612" s="17" t="str">
        <f ca="1">IFERROR(RiskRegister[[#This Row],[Residual Impact Rating]]*RiskRegister[[#This Row],[Residual Likelihood Rating]],"-- Error --")</f>
        <v>-- Error --</v>
      </c>
      <c r="Z612" s="16" t="s">
        <v>100</v>
      </c>
      <c r="AB612" s="39"/>
      <c r="AD612" s="20"/>
    </row>
    <row r="613" spans="1:30" s="16" customFormat="1" hidden="1" x14ac:dyDescent="0.25">
      <c r="A613" s="16">
        <v>610</v>
      </c>
      <c r="G613" s="16" t="s">
        <v>77</v>
      </c>
      <c r="I613" s="16" t="s">
        <v>75</v>
      </c>
      <c r="L613" s="105" t="s">
        <v>99</v>
      </c>
      <c r="M613" s="17" t="str">
        <f>VLOOKUP(RiskRegister[[#This Row],[Inherent Impact LevelL3:L1020D1007L3:L1019]],'Rating factors'!$F$4:$G$9,2,FALSE)</f>
        <v>--- Error ---</v>
      </c>
      <c r="N613" s="16" t="s">
        <v>79</v>
      </c>
      <c r="O613" s="17" t="str">
        <f>VLOOKUP(RiskRegister[[#This Row],[Inherent Likelihood Level]],'Rating factors'!$F$16:$G$21,2,FALSE)</f>
        <v>--- Error ---</v>
      </c>
      <c r="P613" s="17" t="str">
        <f>IFERROR(VLOOKUP(RiskRegister[[#This Row],[Inherent Risk Rating]],'Rating factors'!$F$30:$G$44,2,FALSE),"-- Error --")</f>
        <v>-- Error --</v>
      </c>
      <c r="Q613" s="17" t="str">
        <f>IFERROR(RiskRegister[[#This Row],[Inherent Impact Rating]]*RiskRegister[[#This Row],[Inherent Likelihood Rating]],"-- Error --")</f>
        <v>-- Error --</v>
      </c>
      <c r="R613" s="16" t="s">
        <v>98</v>
      </c>
      <c r="T613" s="16" t="s">
        <v>99</v>
      </c>
      <c r="U613" s="17" t="e" cm="1">
        <f t="array" aca="1" ref="U613" ca="1">+U613:Y1019VLOOKUP(RiskRegister[[#This Row],[Residual Impact Level]],'Rating factors'!$F$4:$G$9,2,FALSE)</f>
        <v>#NAME?</v>
      </c>
      <c r="V613" s="16" t="s">
        <v>79</v>
      </c>
      <c r="W613" s="17" t="str">
        <f>VLOOKUP(RiskRegister[[#This Row],[Residual Likelihood Level]],'Rating factors'!$F$16:$G$21,2,FALSE)</f>
        <v>--- Error ---</v>
      </c>
      <c r="X613" s="17" t="str">
        <f ca="1">IFERROR(VLOOKUP(RiskRegister[[#This Row],[Residual Risk Rating]],'Rating factors'!$F$30:$G$44,2,FALSE),"-- Error --")</f>
        <v>-- Error --</v>
      </c>
      <c r="Y613" s="17" t="str">
        <f ca="1">IFERROR(RiskRegister[[#This Row],[Residual Impact Rating]]*RiskRegister[[#This Row],[Residual Likelihood Rating]],"-- Error --")</f>
        <v>-- Error --</v>
      </c>
      <c r="Z613" s="16" t="s">
        <v>100</v>
      </c>
      <c r="AB613" s="39"/>
      <c r="AD613" s="20"/>
    </row>
    <row r="614" spans="1:30" s="16" customFormat="1" hidden="1" x14ac:dyDescent="0.25">
      <c r="A614" s="16">
        <v>611</v>
      </c>
      <c r="G614" s="16" t="s">
        <v>77</v>
      </c>
      <c r="I614" s="16" t="s">
        <v>75</v>
      </c>
      <c r="L614" s="105" t="s">
        <v>99</v>
      </c>
      <c r="M614" s="17" t="str">
        <f>VLOOKUP(RiskRegister[[#This Row],[Inherent Impact LevelL3:L1020D1007L3:L1019]],'Rating factors'!$F$4:$G$9,2,FALSE)</f>
        <v>--- Error ---</v>
      </c>
      <c r="N614" s="16" t="s">
        <v>79</v>
      </c>
      <c r="O614" s="17" t="str">
        <f>VLOOKUP(RiskRegister[[#This Row],[Inherent Likelihood Level]],'Rating factors'!$F$16:$G$21,2,FALSE)</f>
        <v>--- Error ---</v>
      </c>
      <c r="P614" s="17" t="str">
        <f>IFERROR(VLOOKUP(RiskRegister[[#This Row],[Inherent Risk Rating]],'Rating factors'!$F$30:$G$44,2,FALSE),"-- Error --")</f>
        <v>-- Error --</v>
      </c>
      <c r="Q614" s="17" t="str">
        <f>IFERROR(RiskRegister[[#This Row],[Inherent Impact Rating]]*RiskRegister[[#This Row],[Inherent Likelihood Rating]],"-- Error --")</f>
        <v>-- Error --</v>
      </c>
      <c r="R614" s="16" t="s">
        <v>98</v>
      </c>
      <c r="T614" s="16" t="s">
        <v>99</v>
      </c>
      <c r="U614" s="17" t="e" cm="1">
        <f t="array" aca="1" ref="U614" ca="1">+U614:Y1019VLOOKUP(RiskRegister[[#This Row],[Residual Impact Level]],'Rating factors'!$F$4:$G$9,2,FALSE)</f>
        <v>#NAME?</v>
      </c>
      <c r="V614" s="16" t="s">
        <v>79</v>
      </c>
      <c r="W614" s="17" t="str">
        <f>VLOOKUP(RiskRegister[[#This Row],[Residual Likelihood Level]],'Rating factors'!$F$16:$G$21,2,FALSE)</f>
        <v>--- Error ---</v>
      </c>
      <c r="X614" s="17" t="str">
        <f ca="1">IFERROR(VLOOKUP(RiskRegister[[#This Row],[Residual Risk Rating]],'Rating factors'!$F$30:$G$44,2,FALSE),"-- Error --")</f>
        <v>-- Error --</v>
      </c>
      <c r="Y614" s="17" t="str">
        <f ca="1">IFERROR(RiskRegister[[#This Row],[Residual Impact Rating]]*RiskRegister[[#This Row],[Residual Likelihood Rating]],"-- Error --")</f>
        <v>-- Error --</v>
      </c>
      <c r="Z614" s="16" t="s">
        <v>100</v>
      </c>
      <c r="AB614" s="39"/>
      <c r="AD614" s="20"/>
    </row>
    <row r="615" spans="1:30" s="16" customFormat="1" hidden="1" x14ac:dyDescent="0.25">
      <c r="A615" s="16">
        <v>612</v>
      </c>
      <c r="G615" s="16" t="s">
        <v>77</v>
      </c>
      <c r="I615" s="16" t="s">
        <v>75</v>
      </c>
      <c r="L615" s="105" t="s">
        <v>99</v>
      </c>
      <c r="M615" s="17" t="str">
        <f>VLOOKUP(RiskRegister[[#This Row],[Inherent Impact LevelL3:L1020D1007L3:L1019]],'Rating factors'!$F$4:$G$9,2,FALSE)</f>
        <v>--- Error ---</v>
      </c>
      <c r="N615" s="16" t="s">
        <v>79</v>
      </c>
      <c r="O615" s="17" t="str">
        <f>VLOOKUP(RiskRegister[[#This Row],[Inherent Likelihood Level]],'Rating factors'!$F$16:$G$21,2,FALSE)</f>
        <v>--- Error ---</v>
      </c>
      <c r="P615" s="17" t="str">
        <f>IFERROR(VLOOKUP(RiskRegister[[#This Row],[Inherent Risk Rating]],'Rating factors'!$F$30:$G$44,2,FALSE),"-- Error --")</f>
        <v>-- Error --</v>
      </c>
      <c r="Q615" s="17" t="str">
        <f>IFERROR(RiskRegister[[#This Row],[Inherent Impact Rating]]*RiskRegister[[#This Row],[Inherent Likelihood Rating]],"-- Error --")</f>
        <v>-- Error --</v>
      </c>
      <c r="R615" s="16" t="s">
        <v>98</v>
      </c>
      <c r="T615" s="16" t="s">
        <v>99</v>
      </c>
      <c r="U615" s="17" t="e" cm="1">
        <f t="array" aca="1" ref="U615" ca="1">+U615:Y1019VLOOKUP(RiskRegister[[#This Row],[Residual Impact Level]],'Rating factors'!$F$4:$G$9,2,FALSE)</f>
        <v>#NAME?</v>
      </c>
      <c r="V615" s="16" t="s">
        <v>79</v>
      </c>
      <c r="W615" s="17" t="str">
        <f>VLOOKUP(RiskRegister[[#This Row],[Residual Likelihood Level]],'Rating factors'!$F$16:$G$21,2,FALSE)</f>
        <v>--- Error ---</v>
      </c>
      <c r="X615" s="17" t="str">
        <f ca="1">IFERROR(VLOOKUP(RiskRegister[[#This Row],[Residual Risk Rating]],'Rating factors'!$F$30:$G$44,2,FALSE),"-- Error --")</f>
        <v>-- Error --</v>
      </c>
      <c r="Y615" s="17" t="str">
        <f ca="1">IFERROR(RiskRegister[[#This Row],[Residual Impact Rating]]*RiskRegister[[#This Row],[Residual Likelihood Rating]],"-- Error --")</f>
        <v>-- Error --</v>
      </c>
      <c r="Z615" s="16" t="s">
        <v>100</v>
      </c>
      <c r="AB615" s="39"/>
      <c r="AD615" s="20"/>
    </row>
    <row r="616" spans="1:30" s="16" customFormat="1" hidden="1" x14ac:dyDescent="0.25">
      <c r="A616" s="16">
        <v>613</v>
      </c>
      <c r="G616" s="16" t="s">
        <v>77</v>
      </c>
      <c r="I616" s="16" t="s">
        <v>75</v>
      </c>
      <c r="L616" s="105" t="s">
        <v>99</v>
      </c>
      <c r="M616" s="17" t="str">
        <f>VLOOKUP(RiskRegister[[#This Row],[Inherent Impact LevelL3:L1020D1007L3:L1019]],'Rating factors'!$F$4:$G$9,2,FALSE)</f>
        <v>--- Error ---</v>
      </c>
      <c r="N616" s="16" t="s">
        <v>79</v>
      </c>
      <c r="O616" s="17" t="str">
        <f>VLOOKUP(RiskRegister[[#This Row],[Inherent Likelihood Level]],'Rating factors'!$F$16:$G$21,2,FALSE)</f>
        <v>--- Error ---</v>
      </c>
      <c r="P616" s="17" t="str">
        <f>IFERROR(VLOOKUP(RiskRegister[[#This Row],[Inherent Risk Rating]],'Rating factors'!$F$30:$G$44,2,FALSE),"-- Error --")</f>
        <v>-- Error --</v>
      </c>
      <c r="Q616" s="17" t="str">
        <f>IFERROR(RiskRegister[[#This Row],[Inherent Impact Rating]]*RiskRegister[[#This Row],[Inherent Likelihood Rating]],"-- Error --")</f>
        <v>-- Error --</v>
      </c>
      <c r="R616" s="16" t="s">
        <v>98</v>
      </c>
      <c r="T616" s="16" t="s">
        <v>99</v>
      </c>
      <c r="U616" s="17" t="e" cm="1">
        <f t="array" aca="1" ref="U616" ca="1">+U616:Y1019VLOOKUP(RiskRegister[[#This Row],[Residual Impact Level]],'Rating factors'!$F$4:$G$9,2,FALSE)</f>
        <v>#NAME?</v>
      </c>
      <c r="V616" s="16" t="s">
        <v>79</v>
      </c>
      <c r="W616" s="17" t="str">
        <f>VLOOKUP(RiskRegister[[#This Row],[Residual Likelihood Level]],'Rating factors'!$F$16:$G$21,2,FALSE)</f>
        <v>--- Error ---</v>
      </c>
      <c r="X616" s="17" t="str">
        <f ca="1">IFERROR(VLOOKUP(RiskRegister[[#This Row],[Residual Risk Rating]],'Rating factors'!$F$30:$G$44,2,FALSE),"-- Error --")</f>
        <v>-- Error --</v>
      </c>
      <c r="Y616" s="17" t="str">
        <f ca="1">IFERROR(RiskRegister[[#This Row],[Residual Impact Rating]]*RiskRegister[[#This Row],[Residual Likelihood Rating]],"-- Error --")</f>
        <v>-- Error --</v>
      </c>
      <c r="Z616" s="16" t="s">
        <v>100</v>
      </c>
      <c r="AB616" s="39"/>
      <c r="AD616" s="20"/>
    </row>
    <row r="617" spans="1:30" s="16" customFormat="1" hidden="1" x14ac:dyDescent="0.25">
      <c r="A617" s="16">
        <v>614</v>
      </c>
      <c r="G617" s="16" t="s">
        <v>77</v>
      </c>
      <c r="I617" s="16" t="s">
        <v>75</v>
      </c>
      <c r="L617" s="105" t="s">
        <v>99</v>
      </c>
      <c r="M617" s="17" t="str">
        <f>VLOOKUP(RiskRegister[[#This Row],[Inherent Impact LevelL3:L1020D1007L3:L1019]],'Rating factors'!$F$4:$G$9,2,FALSE)</f>
        <v>--- Error ---</v>
      </c>
      <c r="N617" s="16" t="s">
        <v>79</v>
      </c>
      <c r="O617" s="17" t="str">
        <f>VLOOKUP(RiskRegister[[#This Row],[Inherent Likelihood Level]],'Rating factors'!$F$16:$G$21,2,FALSE)</f>
        <v>--- Error ---</v>
      </c>
      <c r="P617" s="17" t="str">
        <f>IFERROR(VLOOKUP(RiskRegister[[#This Row],[Inherent Risk Rating]],'Rating factors'!$F$30:$G$44,2,FALSE),"-- Error --")</f>
        <v>-- Error --</v>
      </c>
      <c r="Q617" s="17" t="str">
        <f>IFERROR(RiskRegister[[#This Row],[Inherent Impact Rating]]*RiskRegister[[#This Row],[Inherent Likelihood Rating]],"-- Error --")</f>
        <v>-- Error --</v>
      </c>
      <c r="R617" s="16" t="s">
        <v>98</v>
      </c>
      <c r="T617" s="16" t="s">
        <v>99</v>
      </c>
      <c r="U617" s="17" t="e" cm="1">
        <f t="array" aca="1" ref="U617" ca="1">+U617:Y1019VLOOKUP(RiskRegister[[#This Row],[Residual Impact Level]],'Rating factors'!$F$4:$G$9,2,FALSE)</f>
        <v>#NAME?</v>
      </c>
      <c r="V617" s="16" t="s">
        <v>79</v>
      </c>
      <c r="W617" s="17" t="str">
        <f>VLOOKUP(RiskRegister[[#This Row],[Residual Likelihood Level]],'Rating factors'!$F$16:$G$21,2,FALSE)</f>
        <v>--- Error ---</v>
      </c>
      <c r="X617" s="17" t="str">
        <f ca="1">IFERROR(VLOOKUP(RiskRegister[[#This Row],[Residual Risk Rating]],'Rating factors'!$F$30:$G$44,2,FALSE),"-- Error --")</f>
        <v>-- Error --</v>
      </c>
      <c r="Y617" s="17" t="str">
        <f ca="1">IFERROR(RiskRegister[[#This Row],[Residual Impact Rating]]*RiskRegister[[#This Row],[Residual Likelihood Rating]],"-- Error --")</f>
        <v>-- Error --</v>
      </c>
      <c r="Z617" s="16" t="s">
        <v>100</v>
      </c>
      <c r="AB617" s="39"/>
      <c r="AD617" s="20"/>
    </row>
    <row r="618" spans="1:30" s="16" customFormat="1" hidden="1" x14ac:dyDescent="0.25">
      <c r="A618" s="16">
        <v>615</v>
      </c>
      <c r="G618" s="16" t="s">
        <v>77</v>
      </c>
      <c r="I618" s="16" t="s">
        <v>75</v>
      </c>
      <c r="L618" s="105" t="s">
        <v>99</v>
      </c>
      <c r="M618" s="17" t="str">
        <f>VLOOKUP(RiskRegister[[#This Row],[Inherent Impact LevelL3:L1020D1007L3:L1019]],'Rating factors'!$F$4:$G$9,2,FALSE)</f>
        <v>--- Error ---</v>
      </c>
      <c r="N618" s="16" t="s">
        <v>79</v>
      </c>
      <c r="O618" s="17" t="str">
        <f>VLOOKUP(RiskRegister[[#This Row],[Inherent Likelihood Level]],'Rating factors'!$F$16:$G$21,2,FALSE)</f>
        <v>--- Error ---</v>
      </c>
      <c r="P618" s="17" t="str">
        <f>IFERROR(VLOOKUP(RiskRegister[[#This Row],[Inherent Risk Rating]],'Rating factors'!$F$30:$G$44,2,FALSE),"-- Error --")</f>
        <v>-- Error --</v>
      </c>
      <c r="Q618" s="17" t="str">
        <f>IFERROR(RiskRegister[[#This Row],[Inherent Impact Rating]]*RiskRegister[[#This Row],[Inherent Likelihood Rating]],"-- Error --")</f>
        <v>-- Error --</v>
      </c>
      <c r="R618" s="16" t="s">
        <v>98</v>
      </c>
      <c r="T618" s="16" t="s">
        <v>99</v>
      </c>
      <c r="U618" s="17" t="e" cm="1">
        <f t="array" aca="1" ref="U618" ca="1">+U618:Y1019VLOOKUP(RiskRegister[[#This Row],[Residual Impact Level]],'Rating factors'!$F$4:$G$9,2,FALSE)</f>
        <v>#NAME?</v>
      </c>
      <c r="V618" s="16" t="s">
        <v>79</v>
      </c>
      <c r="W618" s="17" t="str">
        <f>VLOOKUP(RiskRegister[[#This Row],[Residual Likelihood Level]],'Rating factors'!$F$16:$G$21,2,FALSE)</f>
        <v>--- Error ---</v>
      </c>
      <c r="X618" s="17" t="str">
        <f ca="1">IFERROR(VLOOKUP(RiskRegister[[#This Row],[Residual Risk Rating]],'Rating factors'!$F$30:$G$44,2,FALSE),"-- Error --")</f>
        <v>-- Error --</v>
      </c>
      <c r="Y618" s="17" t="str">
        <f ca="1">IFERROR(RiskRegister[[#This Row],[Residual Impact Rating]]*RiskRegister[[#This Row],[Residual Likelihood Rating]],"-- Error --")</f>
        <v>-- Error --</v>
      </c>
      <c r="Z618" s="16" t="s">
        <v>100</v>
      </c>
      <c r="AB618" s="39"/>
      <c r="AD618" s="20"/>
    </row>
    <row r="619" spans="1:30" s="16" customFormat="1" hidden="1" x14ac:dyDescent="0.25">
      <c r="A619" s="16">
        <v>616</v>
      </c>
      <c r="G619" s="16" t="s">
        <v>77</v>
      </c>
      <c r="I619" s="16" t="s">
        <v>75</v>
      </c>
      <c r="L619" s="105" t="s">
        <v>99</v>
      </c>
      <c r="M619" s="17" t="str">
        <f>VLOOKUP(RiskRegister[[#This Row],[Inherent Impact LevelL3:L1020D1007L3:L1019]],'Rating factors'!$F$4:$G$9,2,FALSE)</f>
        <v>--- Error ---</v>
      </c>
      <c r="N619" s="16" t="s">
        <v>79</v>
      </c>
      <c r="O619" s="17" t="str">
        <f>VLOOKUP(RiskRegister[[#This Row],[Inherent Likelihood Level]],'Rating factors'!$F$16:$G$21,2,FALSE)</f>
        <v>--- Error ---</v>
      </c>
      <c r="P619" s="17" t="str">
        <f>IFERROR(VLOOKUP(RiskRegister[[#This Row],[Inherent Risk Rating]],'Rating factors'!$F$30:$G$44,2,FALSE),"-- Error --")</f>
        <v>-- Error --</v>
      </c>
      <c r="Q619" s="17" t="str">
        <f>IFERROR(RiskRegister[[#This Row],[Inherent Impact Rating]]*RiskRegister[[#This Row],[Inherent Likelihood Rating]],"-- Error --")</f>
        <v>-- Error --</v>
      </c>
      <c r="R619" s="16" t="s">
        <v>98</v>
      </c>
      <c r="T619" s="16" t="s">
        <v>99</v>
      </c>
      <c r="U619" s="17" t="e" cm="1">
        <f t="array" aca="1" ref="U619" ca="1">+U619:Y1019VLOOKUP(RiskRegister[[#This Row],[Residual Impact Level]],'Rating factors'!$F$4:$G$9,2,FALSE)</f>
        <v>#NAME?</v>
      </c>
      <c r="V619" s="16" t="s">
        <v>79</v>
      </c>
      <c r="W619" s="17" t="str">
        <f>VLOOKUP(RiskRegister[[#This Row],[Residual Likelihood Level]],'Rating factors'!$F$16:$G$21,2,FALSE)</f>
        <v>--- Error ---</v>
      </c>
      <c r="X619" s="17" t="str">
        <f ca="1">IFERROR(VLOOKUP(RiskRegister[[#This Row],[Residual Risk Rating]],'Rating factors'!$F$30:$G$44,2,FALSE),"-- Error --")</f>
        <v>-- Error --</v>
      </c>
      <c r="Y619" s="17" t="str">
        <f ca="1">IFERROR(RiskRegister[[#This Row],[Residual Impact Rating]]*RiskRegister[[#This Row],[Residual Likelihood Rating]],"-- Error --")</f>
        <v>-- Error --</v>
      </c>
      <c r="Z619" s="16" t="s">
        <v>100</v>
      </c>
      <c r="AB619" s="39"/>
      <c r="AD619" s="20"/>
    </row>
    <row r="620" spans="1:30" s="16" customFormat="1" hidden="1" x14ac:dyDescent="0.25">
      <c r="A620" s="16">
        <v>617</v>
      </c>
      <c r="G620" s="16" t="s">
        <v>77</v>
      </c>
      <c r="I620" s="16" t="s">
        <v>75</v>
      </c>
      <c r="L620" s="105" t="s">
        <v>99</v>
      </c>
      <c r="M620" s="17" t="str">
        <f>VLOOKUP(RiskRegister[[#This Row],[Inherent Impact LevelL3:L1020D1007L3:L1019]],'Rating factors'!$F$4:$G$9,2,FALSE)</f>
        <v>--- Error ---</v>
      </c>
      <c r="N620" s="16" t="s">
        <v>79</v>
      </c>
      <c r="O620" s="17" t="str">
        <f>VLOOKUP(RiskRegister[[#This Row],[Inherent Likelihood Level]],'Rating factors'!$F$16:$G$21,2,FALSE)</f>
        <v>--- Error ---</v>
      </c>
      <c r="P620" s="17" t="str">
        <f>IFERROR(VLOOKUP(RiskRegister[[#This Row],[Inherent Risk Rating]],'Rating factors'!$F$30:$G$44,2,FALSE),"-- Error --")</f>
        <v>-- Error --</v>
      </c>
      <c r="Q620" s="17" t="str">
        <f>IFERROR(RiskRegister[[#This Row],[Inherent Impact Rating]]*RiskRegister[[#This Row],[Inherent Likelihood Rating]],"-- Error --")</f>
        <v>-- Error --</v>
      </c>
      <c r="R620" s="16" t="s">
        <v>98</v>
      </c>
      <c r="T620" s="16" t="s">
        <v>99</v>
      </c>
      <c r="U620" s="17" t="e" cm="1">
        <f t="array" aca="1" ref="U620" ca="1">+U620:Y1019VLOOKUP(RiskRegister[[#This Row],[Residual Impact Level]],'Rating factors'!$F$4:$G$9,2,FALSE)</f>
        <v>#NAME?</v>
      </c>
      <c r="V620" s="16" t="s">
        <v>79</v>
      </c>
      <c r="W620" s="17" t="str">
        <f>VLOOKUP(RiskRegister[[#This Row],[Residual Likelihood Level]],'Rating factors'!$F$16:$G$21,2,FALSE)</f>
        <v>--- Error ---</v>
      </c>
      <c r="X620" s="17" t="str">
        <f ca="1">IFERROR(VLOOKUP(RiskRegister[[#This Row],[Residual Risk Rating]],'Rating factors'!$F$30:$G$44,2,FALSE),"-- Error --")</f>
        <v>-- Error --</v>
      </c>
      <c r="Y620" s="17" t="str">
        <f ca="1">IFERROR(RiskRegister[[#This Row],[Residual Impact Rating]]*RiskRegister[[#This Row],[Residual Likelihood Rating]],"-- Error --")</f>
        <v>-- Error --</v>
      </c>
      <c r="Z620" s="16" t="s">
        <v>100</v>
      </c>
      <c r="AB620" s="39"/>
      <c r="AD620" s="20"/>
    </row>
    <row r="621" spans="1:30" s="16" customFormat="1" hidden="1" x14ac:dyDescent="0.25">
      <c r="A621" s="16">
        <v>618</v>
      </c>
      <c r="G621" s="16" t="s">
        <v>77</v>
      </c>
      <c r="I621" s="16" t="s">
        <v>75</v>
      </c>
      <c r="L621" s="105" t="s">
        <v>99</v>
      </c>
      <c r="M621" s="17" t="str">
        <f>VLOOKUP(RiskRegister[[#This Row],[Inherent Impact LevelL3:L1020D1007L3:L1019]],'Rating factors'!$F$4:$G$9,2,FALSE)</f>
        <v>--- Error ---</v>
      </c>
      <c r="N621" s="16" t="s">
        <v>79</v>
      </c>
      <c r="O621" s="17" t="str">
        <f>VLOOKUP(RiskRegister[[#This Row],[Inherent Likelihood Level]],'Rating factors'!$F$16:$G$21,2,FALSE)</f>
        <v>--- Error ---</v>
      </c>
      <c r="P621" s="17" t="str">
        <f>IFERROR(VLOOKUP(RiskRegister[[#This Row],[Inherent Risk Rating]],'Rating factors'!$F$30:$G$44,2,FALSE),"-- Error --")</f>
        <v>-- Error --</v>
      </c>
      <c r="Q621" s="17" t="str">
        <f>IFERROR(RiskRegister[[#This Row],[Inherent Impact Rating]]*RiskRegister[[#This Row],[Inherent Likelihood Rating]],"-- Error --")</f>
        <v>-- Error --</v>
      </c>
      <c r="R621" s="16" t="s">
        <v>98</v>
      </c>
      <c r="T621" s="16" t="s">
        <v>99</v>
      </c>
      <c r="U621" s="17" t="e" cm="1">
        <f t="array" aca="1" ref="U621" ca="1">+U621:Y1019VLOOKUP(RiskRegister[[#This Row],[Residual Impact Level]],'Rating factors'!$F$4:$G$9,2,FALSE)</f>
        <v>#NAME?</v>
      </c>
      <c r="V621" s="16" t="s">
        <v>79</v>
      </c>
      <c r="W621" s="17" t="str">
        <f>VLOOKUP(RiskRegister[[#This Row],[Residual Likelihood Level]],'Rating factors'!$F$16:$G$21,2,FALSE)</f>
        <v>--- Error ---</v>
      </c>
      <c r="X621" s="17" t="str">
        <f ca="1">IFERROR(VLOOKUP(RiskRegister[[#This Row],[Residual Risk Rating]],'Rating factors'!$F$30:$G$44,2,FALSE),"-- Error --")</f>
        <v>-- Error --</v>
      </c>
      <c r="Y621" s="17" t="str">
        <f ca="1">IFERROR(RiskRegister[[#This Row],[Residual Impact Rating]]*RiskRegister[[#This Row],[Residual Likelihood Rating]],"-- Error --")</f>
        <v>-- Error --</v>
      </c>
      <c r="Z621" s="16" t="s">
        <v>100</v>
      </c>
      <c r="AB621" s="39"/>
      <c r="AD621" s="20"/>
    </row>
    <row r="622" spans="1:30" s="16" customFormat="1" hidden="1" x14ac:dyDescent="0.25">
      <c r="A622" s="16">
        <v>619</v>
      </c>
      <c r="G622" s="16" t="s">
        <v>77</v>
      </c>
      <c r="I622" s="16" t="s">
        <v>75</v>
      </c>
      <c r="L622" s="105" t="s">
        <v>99</v>
      </c>
      <c r="M622" s="17" t="str">
        <f>VLOOKUP(RiskRegister[[#This Row],[Inherent Impact LevelL3:L1020D1007L3:L1019]],'Rating factors'!$F$4:$G$9,2,FALSE)</f>
        <v>--- Error ---</v>
      </c>
      <c r="N622" s="16" t="s">
        <v>79</v>
      </c>
      <c r="O622" s="17" t="str">
        <f>VLOOKUP(RiskRegister[[#This Row],[Inherent Likelihood Level]],'Rating factors'!$F$16:$G$21,2,FALSE)</f>
        <v>--- Error ---</v>
      </c>
      <c r="P622" s="17" t="str">
        <f>IFERROR(VLOOKUP(RiskRegister[[#This Row],[Inherent Risk Rating]],'Rating factors'!$F$30:$G$44,2,FALSE),"-- Error --")</f>
        <v>-- Error --</v>
      </c>
      <c r="Q622" s="17" t="str">
        <f>IFERROR(RiskRegister[[#This Row],[Inherent Impact Rating]]*RiskRegister[[#This Row],[Inherent Likelihood Rating]],"-- Error --")</f>
        <v>-- Error --</v>
      </c>
      <c r="R622" s="16" t="s">
        <v>98</v>
      </c>
      <c r="T622" s="16" t="s">
        <v>99</v>
      </c>
      <c r="U622" s="17" t="e" cm="1">
        <f t="array" aca="1" ref="U622" ca="1">+U622:Y1019VLOOKUP(RiskRegister[[#This Row],[Residual Impact Level]],'Rating factors'!$F$4:$G$9,2,FALSE)</f>
        <v>#NAME?</v>
      </c>
      <c r="V622" s="16" t="s">
        <v>79</v>
      </c>
      <c r="W622" s="17" t="str">
        <f>VLOOKUP(RiskRegister[[#This Row],[Residual Likelihood Level]],'Rating factors'!$F$16:$G$21,2,FALSE)</f>
        <v>--- Error ---</v>
      </c>
      <c r="X622" s="17" t="str">
        <f ca="1">IFERROR(VLOOKUP(RiskRegister[[#This Row],[Residual Risk Rating]],'Rating factors'!$F$30:$G$44,2,FALSE),"-- Error --")</f>
        <v>-- Error --</v>
      </c>
      <c r="Y622" s="17" t="str">
        <f ca="1">IFERROR(RiskRegister[[#This Row],[Residual Impact Rating]]*RiskRegister[[#This Row],[Residual Likelihood Rating]],"-- Error --")</f>
        <v>-- Error --</v>
      </c>
      <c r="Z622" s="16" t="s">
        <v>100</v>
      </c>
      <c r="AB622" s="39"/>
      <c r="AD622" s="20"/>
    </row>
    <row r="623" spans="1:30" s="16" customFormat="1" hidden="1" x14ac:dyDescent="0.25">
      <c r="A623" s="16">
        <v>620</v>
      </c>
      <c r="G623" s="16" t="s">
        <v>77</v>
      </c>
      <c r="I623" s="16" t="s">
        <v>75</v>
      </c>
      <c r="L623" s="105" t="s">
        <v>99</v>
      </c>
      <c r="M623" s="17" t="str">
        <f>VLOOKUP(RiskRegister[[#This Row],[Inherent Impact LevelL3:L1020D1007L3:L1019]],'Rating factors'!$F$4:$G$9,2,FALSE)</f>
        <v>--- Error ---</v>
      </c>
      <c r="N623" s="16" t="s">
        <v>79</v>
      </c>
      <c r="O623" s="17" t="str">
        <f>VLOOKUP(RiskRegister[[#This Row],[Inherent Likelihood Level]],'Rating factors'!$F$16:$G$21,2,FALSE)</f>
        <v>--- Error ---</v>
      </c>
      <c r="P623" s="17" t="str">
        <f>IFERROR(VLOOKUP(RiskRegister[[#This Row],[Inherent Risk Rating]],'Rating factors'!$F$30:$G$44,2,FALSE),"-- Error --")</f>
        <v>-- Error --</v>
      </c>
      <c r="Q623" s="17" t="str">
        <f>IFERROR(RiskRegister[[#This Row],[Inherent Impact Rating]]*RiskRegister[[#This Row],[Inherent Likelihood Rating]],"-- Error --")</f>
        <v>-- Error --</v>
      </c>
      <c r="R623" s="16" t="s">
        <v>98</v>
      </c>
      <c r="T623" s="16" t="s">
        <v>99</v>
      </c>
      <c r="U623" s="17" t="e" cm="1">
        <f t="array" aca="1" ref="U623" ca="1">+U623:Y1019VLOOKUP(RiskRegister[[#This Row],[Residual Impact Level]],'Rating factors'!$F$4:$G$9,2,FALSE)</f>
        <v>#NAME?</v>
      </c>
      <c r="V623" s="16" t="s">
        <v>79</v>
      </c>
      <c r="W623" s="17" t="str">
        <f>VLOOKUP(RiskRegister[[#This Row],[Residual Likelihood Level]],'Rating factors'!$F$16:$G$21,2,FALSE)</f>
        <v>--- Error ---</v>
      </c>
      <c r="X623" s="17" t="str">
        <f ca="1">IFERROR(VLOOKUP(RiskRegister[[#This Row],[Residual Risk Rating]],'Rating factors'!$F$30:$G$44,2,FALSE),"-- Error --")</f>
        <v>-- Error --</v>
      </c>
      <c r="Y623" s="17" t="str">
        <f ca="1">IFERROR(RiskRegister[[#This Row],[Residual Impact Rating]]*RiskRegister[[#This Row],[Residual Likelihood Rating]],"-- Error --")</f>
        <v>-- Error --</v>
      </c>
      <c r="Z623" s="16" t="s">
        <v>100</v>
      </c>
      <c r="AB623" s="39"/>
      <c r="AD623" s="20"/>
    </row>
    <row r="624" spans="1:30" s="16" customFormat="1" hidden="1" x14ac:dyDescent="0.25">
      <c r="A624" s="16">
        <v>621</v>
      </c>
      <c r="G624" s="16" t="s">
        <v>77</v>
      </c>
      <c r="I624" s="16" t="s">
        <v>75</v>
      </c>
      <c r="L624" s="105" t="s">
        <v>99</v>
      </c>
      <c r="M624" s="17" t="str">
        <f>VLOOKUP(RiskRegister[[#This Row],[Inherent Impact LevelL3:L1020D1007L3:L1019]],'Rating factors'!$F$4:$G$9,2,FALSE)</f>
        <v>--- Error ---</v>
      </c>
      <c r="N624" s="16" t="s">
        <v>79</v>
      </c>
      <c r="O624" s="17" t="str">
        <f>VLOOKUP(RiskRegister[[#This Row],[Inherent Likelihood Level]],'Rating factors'!$F$16:$G$21,2,FALSE)</f>
        <v>--- Error ---</v>
      </c>
      <c r="P624" s="17" t="str">
        <f>IFERROR(VLOOKUP(RiskRegister[[#This Row],[Inherent Risk Rating]],'Rating factors'!$F$30:$G$44,2,FALSE),"-- Error --")</f>
        <v>-- Error --</v>
      </c>
      <c r="Q624" s="17" t="str">
        <f>IFERROR(RiskRegister[[#This Row],[Inherent Impact Rating]]*RiskRegister[[#This Row],[Inherent Likelihood Rating]],"-- Error --")</f>
        <v>-- Error --</v>
      </c>
      <c r="R624" s="16" t="s">
        <v>98</v>
      </c>
      <c r="T624" s="16" t="s">
        <v>99</v>
      </c>
      <c r="U624" s="17" t="e" cm="1">
        <f t="array" aca="1" ref="U624" ca="1">+U624:Y1019VLOOKUP(RiskRegister[[#This Row],[Residual Impact Level]],'Rating factors'!$F$4:$G$9,2,FALSE)</f>
        <v>#NAME?</v>
      </c>
      <c r="V624" s="16" t="s">
        <v>79</v>
      </c>
      <c r="W624" s="17" t="str">
        <f>VLOOKUP(RiskRegister[[#This Row],[Residual Likelihood Level]],'Rating factors'!$F$16:$G$21,2,FALSE)</f>
        <v>--- Error ---</v>
      </c>
      <c r="X624" s="17" t="str">
        <f ca="1">IFERROR(VLOOKUP(RiskRegister[[#This Row],[Residual Risk Rating]],'Rating factors'!$F$30:$G$44,2,FALSE),"-- Error --")</f>
        <v>-- Error --</v>
      </c>
      <c r="Y624" s="17" t="str">
        <f ca="1">IFERROR(RiskRegister[[#This Row],[Residual Impact Rating]]*RiskRegister[[#This Row],[Residual Likelihood Rating]],"-- Error --")</f>
        <v>-- Error --</v>
      </c>
      <c r="Z624" s="16" t="s">
        <v>100</v>
      </c>
      <c r="AB624" s="39"/>
      <c r="AD624" s="20"/>
    </row>
    <row r="625" spans="1:30" s="16" customFormat="1" hidden="1" x14ac:dyDescent="0.25">
      <c r="A625" s="16">
        <v>622</v>
      </c>
      <c r="G625" s="16" t="s">
        <v>77</v>
      </c>
      <c r="I625" s="16" t="s">
        <v>75</v>
      </c>
      <c r="L625" s="105" t="s">
        <v>99</v>
      </c>
      <c r="M625" s="17" t="str">
        <f>VLOOKUP(RiskRegister[[#This Row],[Inherent Impact LevelL3:L1020D1007L3:L1019]],'Rating factors'!$F$4:$G$9,2,FALSE)</f>
        <v>--- Error ---</v>
      </c>
      <c r="N625" s="16" t="s">
        <v>79</v>
      </c>
      <c r="O625" s="17" t="str">
        <f>VLOOKUP(RiskRegister[[#This Row],[Inherent Likelihood Level]],'Rating factors'!$F$16:$G$21,2,FALSE)</f>
        <v>--- Error ---</v>
      </c>
      <c r="P625" s="17" t="str">
        <f>IFERROR(VLOOKUP(RiskRegister[[#This Row],[Inherent Risk Rating]],'Rating factors'!$F$30:$G$44,2,FALSE),"-- Error --")</f>
        <v>-- Error --</v>
      </c>
      <c r="Q625" s="17" t="str">
        <f>IFERROR(RiskRegister[[#This Row],[Inherent Impact Rating]]*RiskRegister[[#This Row],[Inherent Likelihood Rating]],"-- Error --")</f>
        <v>-- Error --</v>
      </c>
      <c r="R625" s="16" t="s">
        <v>98</v>
      </c>
      <c r="T625" s="16" t="s">
        <v>99</v>
      </c>
      <c r="U625" s="17" t="e" cm="1">
        <f t="array" aca="1" ref="U625" ca="1">+U625:Y1019VLOOKUP(RiskRegister[[#This Row],[Residual Impact Level]],'Rating factors'!$F$4:$G$9,2,FALSE)</f>
        <v>#NAME?</v>
      </c>
      <c r="V625" s="16" t="s">
        <v>79</v>
      </c>
      <c r="W625" s="17" t="str">
        <f>VLOOKUP(RiskRegister[[#This Row],[Residual Likelihood Level]],'Rating factors'!$F$16:$G$21,2,FALSE)</f>
        <v>--- Error ---</v>
      </c>
      <c r="X625" s="17" t="str">
        <f ca="1">IFERROR(VLOOKUP(RiskRegister[[#This Row],[Residual Risk Rating]],'Rating factors'!$F$30:$G$44,2,FALSE),"-- Error --")</f>
        <v>-- Error --</v>
      </c>
      <c r="Y625" s="17" t="str">
        <f ca="1">IFERROR(RiskRegister[[#This Row],[Residual Impact Rating]]*RiskRegister[[#This Row],[Residual Likelihood Rating]],"-- Error --")</f>
        <v>-- Error --</v>
      </c>
      <c r="Z625" s="16" t="s">
        <v>100</v>
      </c>
      <c r="AB625" s="39"/>
      <c r="AD625" s="20"/>
    </row>
    <row r="626" spans="1:30" s="16" customFormat="1" hidden="1" x14ac:dyDescent="0.25">
      <c r="A626" s="16">
        <v>623</v>
      </c>
      <c r="G626" s="16" t="s">
        <v>77</v>
      </c>
      <c r="I626" s="16" t="s">
        <v>75</v>
      </c>
      <c r="L626" s="105" t="s">
        <v>99</v>
      </c>
      <c r="M626" s="17" t="str">
        <f>VLOOKUP(RiskRegister[[#This Row],[Inherent Impact LevelL3:L1020D1007L3:L1019]],'Rating factors'!$F$4:$G$9,2,FALSE)</f>
        <v>--- Error ---</v>
      </c>
      <c r="N626" s="16" t="s">
        <v>79</v>
      </c>
      <c r="O626" s="17" t="str">
        <f>VLOOKUP(RiskRegister[[#This Row],[Inherent Likelihood Level]],'Rating factors'!$F$16:$G$21,2,FALSE)</f>
        <v>--- Error ---</v>
      </c>
      <c r="P626" s="17" t="str">
        <f>IFERROR(VLOOKUP(RiskRegister[[#This Row],[Inherent Risk Rating]],'Rating factors'!$F$30:$G$44,2,FALSE),"-- Error --")</f>
        <v>-- Error --</v>
      </c>
      <c r="Q626" s="17" t="str">
        <f>IFERROR(RiskRegister[[#This Row],[Inherent Impact Rating]]*RiskRegister[[#This Row],[Inherent Likelihood Rating]],"-- Error --")</f>
        <v>-- Error --</v>
      </c>
      <c r="R626" s="16" t="s">
        <v>98</v>
      </c>
      <c r="T626" s="16" t="s">
        <v>99</v>
      </c>
      <c r="U626" s="17" t="e" cm="1">
        <f t="array" aca="1" ref="U626" ca="1">+U626:Y1019VLOOKUP(RiskRegister[[#This Row],[Residual Impact Level]],'Rating factors'!$F$4:$G$9,2,FALSE)</f>
        <v>#NAME?</v>
      </c>
      <c r="V626" s="16" t="s">
        <v>79</v>
      </c>
      <c r="W626" s="17" t="str">
        <f>VLOOKUP(RiskRegister[[#This Row],[Residual Likelihood Level]],'Rating factors'!$F$16:$G$21,2,FALSE)</f>
        <v>--- Error ---</v>
      </c>
      <c r="X626" s="17" t="str">
        <f ca="1">IFERROR(VLOOKUP(RiskRegister[[#This Row],[Residual Risk Rating]],'Rating factors'!$F$30:$G$44,2,FALSE),"-- Error --")</f>
        <v>-- Error --</v>
      </c>
      <c r="Y626" s="17" t="str">
        <f ca="1">IFERROR(RiskRegister[[#This Row],[Residual Impact Rating]]*RiskRegister[[#This Row],[Residual Likelihood Rating]],"-- Error --")</f>
        <v>-- Error --</v>
      </c>
      <c r="Z626" s="16" t="s">
        <v>100</v>
      </c>
      <c r="AB626" s="39"/>
      <c r="AD626" s="20"/>
    </row>
    <row r="627" spans="1:30" s="16" customFormat="1" hidden="1" x14ac:dyDescent="0.25">
      <c r="A627" s="16">
        <v>624</v>
      </c>
      <c r="G627" s="16" t="s">
        <v>77</v>
      </c>
      <c r="I627" s="16" t="s">
        <v>75</v>
      </c>
      <c r="L627" s="105" t="s">
        <v>99</v>
      </c>
      <c r="M627" s="17" t="str">
        <f>VLOOKUP(RiskRegister[[#This Row],[Inherent Impact LevelL3:L1020D1007L3:L1019]],'Rating factors'!$F$4:$G$9,2,FALSE)</f>
        <v>--- Error ---</v>
      </c>
      <c r="N627" s="16" t="s">
        <v>79</v>
      </c>
      <c r="O627" s="17" t="str">
        <f>VLOOKUP(RiskRegister[[#This Row],[Inherent Likelihood Level]],'Rating factors'!$F$16:$G$21,2,FALSE)</f>
        <v>--- Error ---</v>
      </c>
      <c r="P627" s="17" t="str">
        <f>IFERROR(VLOOKUP(RiskRegister[[#This Row],[Inherent Risk Rating]],'Rating factors'!$F$30:$G$44,2,FALSE),"-- Error --")</f>
        <v>-- Error --</v>
      </c>
      <c r="Q627" s="17" t="str">
        <f>IFERROR(RiskRegister[[#This Row],[Inherent Impact Rating]]*RiskRegister[[#This Row],[Inherent Likelihood Rating]],"-- Error --")</f>
        <v>-- Error --</v>
      </c>
      <c r="R627" s="16" t="s">
        <v>98</v>
      </c>
      <c r="T627" s="16" t="s">
        <v>99</v>
      </c>
      <c r="U627" s="17" t="e" cm="1">
        <f t="array" aca="1" ref="U627" ca="1">+U627:Y1019VLOOKUP(RiskRegister[[#This Row],[Residual Impact Level]],'Rating factors'!$F$4:$G$9,2,FALSE)</f>
        <v>#NAME?</v>
      </c>
      <c r="V627" s="16" t="s">
        <v>79</v>
      </c>
      <c r="W627" s="17" t="str">
        <f>VLOOKUP(RiskRegister[[#This Row],[Residual Likelihood Level]],'Rating factors'!$F$16:$G$21,2,FALSE)</f>
        <v>--- Error ---</v>
      </c>
      <c r="X627" s="17" t="str">
        <f ca="1">IFERROR(VLOOKUP(RiskRegister[[#This Row],[Residual Risk Rating]],'Rating factors'!$F$30:$G$44,2,FALSE),"-- Error --")</f>
        <v>-- Error --</v>
      </c>
      <c r="Y627" s="17" t="str">
        <f ca="1">IFERROR(RiskRegister[[#This Row],[Residual Impact Rating]]*RiskRegister[[#This Row],[Residual Likelihood Rating]],"-- Error --")</f>
        <v>-- Error --</v>
      </c>
      <c r="Z627" s="16" t="s">
        <v>100</v>
      </c>
      <c r="AB627" s="39"/>
      <c r="AD627" s="20"/>
    </row>
    <row r="628" spans="1:30" s="16" customFormat="1" hidden="1" x14ac:dyDescent="0.25">
      <c r="A628" s="16">
        <v>625</v>
      </c>
      <c r="G628" s="16" t="s">
        <v>77</v>
      </c>
      <c r="I628" s="16" t="s">
        <v>75</v>
      </c>
      <c r="L628" s="105" t="s">
        <v>99</v>
      </c>
      <c r="M628" s="17" t="str">
        <f>VLOOKUP(RiskRegister[[#This Row],[Inherent Impact LevelL3:L1020D1007L3:L1019]],'Rating factors'!$F$4:$G$9,2,FALSE)</f>
        <v>--- Error ---</v>
      </c>
      <c r="N628" s="16" t="s">
        <v>79</v>
      </c>
      <c r="O628" s="17" t="str">
        <f>VLOOKUP(RiskRegister[[#This Row],[Inherent Likelihood Level]],'Rating factors'!$F$16:$G$21,2,FALSE)</f>
        <v>--- Error ---</v>
      </c>
      <c r="P628" s="17" t="str">
        <f>IFERROR(VLOOKUP(RiskRegister[[#This Row],[Inherent Risk Rating]],'Rating factors'!$F$30:$G$44,2,FALSE),"-- Error --")</f>
        <v>-- Error --</v>
      </c>
      <c r="Q628" s="17" t="str">
        <f>IFERROR(RiskRegister[[#This Row],[Inherent Impact Rating]]*RiskRegister[[#This Row],[Inherent Likelihood Rating]],"-- Error --")</f>
        <v>-- Error --</v>
      </c>
      <c r="R628" s="16" t="s">
        <v>98</v>
      </c>
      <c r="T628" s="16" t="s">
        <v>99</v>
      </c>
      <c r="U628" s="17" t="e" cm="1">
        <f t="array" aca="1" ref="U628" ca="1">+U628:Y1019VLOOKUP(RiskRegister[[#This Row],[Residual Impact Level]],'Rating factors'!$F$4:$G$9,2,FALSE)</f>
        <v>#NAME?</v>
      </c>
      <c r="V628" s="16" t="s">
        <v>79</v>
      </c>
      <c r="W628" s="17" t="str">
        <f>VLOOKUP(RiskRegister[[#This Row],[Residual Likelihood Level]],'Rating factors'!$F$16:$G$21,2,FALSE)</f>
        <v>--- Error ---</v>
      </c>
      <c r="X628" s="17" t="str">
        <f ca="1">IFERROR(VLOOKUP(RiskRegister[[#This Row],[Residual Risk Rating]],'Rating factors'!$F$30:$G$44,2,FALSE),"-- Error --")</f>
        <v>-- Error --</v>
      </c>
      <c r="Y628" s="17" t="str">
        <f ca="1">IFERROR(RiskRegister[[#This Row],[Residual Impact Rating]]*RiskRegister[[#This Row],[Residual Likelihood Rating]],"-- Error --")</f>
        <v>-- Error --</v>
      </c>
      <c r="Z628" s="16" t="s">
        <v>100</v>
      </c>
      <c r="AB628" s="39"/>
      <c r="AD628" s="20"/>
    </row>
    <row r="629" spans="1:30" s="16" customFormat="1" hidden="1" x14ac:dyDescent="0.25">
      <c r="A629" s="16">
        <v>626</v>
      </c>
      <c r="G629" s="16" t="s">
        <v>77</v>
      </c>
      <c r="I629" s="16" t="s">
        <v>75</v>
      </c>
      <c r="L629" s="105" t="s">
        <v>99</v>
      </c>
      <c r="M629" s="17" t="str">
        <f>VLOOKUP(RiskRegister[[#This Row],[Inherent Impact LevelL3:L1020D1007L3:L1019]],'Rating factors'!$F$4:$G$9,2,FALSE)</f>
        <v>--- Error ---</v>
      </c>
      <c r="N629" s="16" t="s">
        <v>79</v>
      </c>
      <c r="O629" s="17" t="str">
        <f>VLOOKUP(RiskRegister[[#This Row],[Inherent Likelihood Level]],'Rating factors'!$F$16:$G$21,2,FALSE)</f>
        <v>--- Error ---</v>
      </c>
      <c r="P629" s="17" t="str">
        <f>IFERROR(VLOOKUP(RiskRegister[[#This Row],[Inherent Risk Rating]],'Rating factors'!$F$30:$G$44,2,FALSE),"-- Error --")</f>
        <v>-- Error --</v>
      </c>
      <c r="Q629" s="17" t="str">
        <f>IFERROR(RiskRegister[[#This Row],[Inherent Impact Rating]]*RiskRegister[[#This Row],[Inherent Likelihood Rating]],"-- Error --")</f>
        <v>-- Error --</v>
      </c>
      <c r="R629" s="16" t="s">
        <v>98</v>
      </c>
      <c r="T629" s="16" t="s">
        <v>99</v>
      </c>
      <c r="U629" s="17" t="e" cm="1">
        <f t="array" aca="1" ref="U629" ca="1">+U629:Y1019VLOOKUP(RiskRegister[[#This Row],[Residual Impact Level]],'Rating factors'!$F$4:$G$9,2,FALSE)</f>
        <v>#NAME?</v>
      </c>
      <c r="V629" s="16" t="s">
        <v>79</v>
      </c>
      <c r="W629" s="17" t="str">
        <f>VLOOKUP(RiskRegister[[#This Row],[Residual Likelihood Level]],'Rating factors'!$F$16:$G$21,2,FALSE)</f>
        <v>--- Error ---</v>
      </c>
      <c r="X629" s="17" t="str">
        <f ca="1">IFERROR(VLOOKUP(RiskRegister[[#This Row],[Residual Risk Rating]],'Rating factors'!$F$30:$G$44,2,FALSE),"-- Error --")</f>
        <v>-- Error --</v>
      </c>
      <c r="Y629" s="17" t="str">
        <f ca="1">IFERROR(RiskRegister[[#This Row],[Residual Impact Rating]]*RiskRegister[[#This Row],[Residual Likelihood Rating]],"-- Error --")</f>
        <v>-- Error --</v>
      </c>
      <c r="Z629" s="16" t="s">
        <v>100</v>
      </c>
      <c r="AB629" s="39"/>
      <c r="AD629" s="20"/>
    </row>
    <row r="630" spans="1:30" s="16" customFormat="1" hidden="1" x14ac:dyDescent="0.25">
      <c r="A630" s="16">
        <v>627</v>
      </c>
      <c r="G630" s="16" t="s">
        <v>77</v>
      </c>
      <c r="I630" s="16" t="s">
        <v>75</v>
      </c>
      <c r="L630" s="105" t="s">
        <v>99</v>
      </c>
      <c r="M630" s="17" t="str">
        <f>VLOOKUP(RiskRegister[[#This Row],[Inherent Impact LevelL3:L1020D1007L3:L1019]],'Rating factors'!$F$4:$G$9,2,FALSE)</f>
        <v>--- Error ---</v>
      </c>
      <c r="N630" s="16" t="s">
        <v>79</v>
      </c>
      <c r="O630" s="17" t="str">
        <f>VLOOKUP(RiskRegister[[#This Row],[Inherent Likelihood Level]],'Rating factors'!$F$16:$G$21,2,FALSE)</f>
        <v>--- Error ---</v>
      </c>
      <c r="P630" s="17" t="str">
        <f>IFERROR(VLOOKUP(RiskRegister[[#This Row],[Inherent Risk Rating]],'Rating factors'!$F$30:$G$44,2,FALSE),"-- Error --")</f>
        <v>-- Error --</v>
      </c>
      <c r="Q630" s="17" t="str">
        <f>IFERROR(RiskRegister[[#This Row],[Inherent Impact Rating]]*RiskRegister[[#This Row],[Inherent Likelihood Rating]],"-- Error --")</f>
        <v>-- Error --</v>
      </c>
      <c r="R630" s="16" t="s">
        <v>98</v>
      </c>
      <c r="T630" s="16" t="s">
        <v>99</v>
      </c>
      <c r="U630" s="17" t="e" cm="1">
        <f t="array" aca="1" ref="U630" ca="1">+U630:Y1019VLOOKUP(RiskRegister[[#This Row],[Residual Impact Level]],'Rating factors'!$F$4:$G$9,2,FALSE)</f>
        <v>#NAME?</v>
      </c>
      <c r="V630" s="16" t="s">
        <v>79</v>
      </c>
      <c r="W630" s="17" t="str">
        <f>VLOOKUP(RiskRegister[[#This Row],[Residual Likelihood Level]],'Rating factors'!$F$16:$G$21,2,FALSE)</f>
        <v>--- Error ---</v>
      </c>
      <c r="X630" s="17" t="str">
        <f ca="1">IFERROR(VLOOKUP(RiskRegister[[#This Row],[Residual Risk Rating]],'Rating factors'!$F$30:$G$44,2,FALSE),"-- Error --")</f>
        <v>-- Error --</v>
      </c>
      <c r="Y630" s="17" t="str">
        <f ca="1">IFERROR(RiskRegister[[#This Row],[Residual Impact Rating]]*RiskRegister[[#This Row],[Residual Likelihood Rating]],"-- Error --")</f>
        <v>-- Error --</v>
      </c>
      <c r="Z630" s="16" t="s">
        <v>100</v>
      </c>
      <c r="AB630" s="39"/>
      <c r="AD630" s="20"/>
    </row>
    <row r="631" spans="1:30" s="16" customFormat="1" hidden="1" x14ac:dyDescent="0.25">
      <c r="A631" s="16">
        <v>628</v>
      </c>
      <c r="G631" s="16" t="s">
        <v>77</v>
      </c>
      <c r="I631" s="16" t="s">
        <v>75</v>
      </c>
      <c r="L631" s="105" t="s">
        <v>99</v>
      </c>
      <c r="M631" s="17" t="str">
        <f>VLOOKUP(RiskRegister[[#This Row],[Inherent Impact LevelL3:L1020D1007L3:L1019]],'Rating factors'!$F$4:$G$9,2,FALSE)</f>
        <v>--- Error ---</v>
      </c>
      <c r="N631" s="16" t="s">
        <v>79</v>
      </c>
      <c r="O631" s="17" t="str">
        <f>VLOOKUP(RiskRegister[[#This Row],[Inherent Likelihood Level]],'Rating factors'!$F$16:$G$21,2,FALSE)</f>
        <v>--- Error ---</v>
      </c>
      <c r="P631" s="17" t="str">
        <f>IFERROR(VLOOKUP(RiskRegister[[#This Row],[Inherent Risk Rating]],'Rating factors'!$F$30:$G$44,2,FALSE),"-- Error --")</f>
        <v>-- Error --</v>
      </c>
      <c r="Q631" s="17" t="str">
        <f>IFERROR(RiskRegister[[#This Row],[Inherent Impact Rating]]*RiskRegister[[#This Row],[Inherent Likelihood Rating]],"-- Error --")</f>
        <v>-- Error --</v>
      </c>
      <c r="R631" s="16" t="s">
        <v>98</v>
      </c>
      <c r="T631" s="16" t="s">
        <v>99</v>
      </c>
      <c r="U631" s="17" t="e" cm="1">
        <f t="array" aca="1" ref="U631" ca="1">+U631:Y1019VLOOKUP(RiskRegister[[#This Row],[Residual Impact Level]],'Rating factors'!$F$4:$G$9,2,FALSE)</f>
        <v>#NAME?</v>
      </c>
      <c r="V631" s="16" t="s">
        <v>79</v>
      </c>
      <c r="W631" s="17" t="str">
        <f>VLOOKUP(RiskRegister[[#This Row],[Residual Likelihood Level]],'Rating factors'!$F$16:$G$21,2,FALSE)</f>
        <v>--- Error ---</v>
      </c>
      <c r="X631" s="17" t="str">
        <f ca="1">IFERROR(VLOOKUP(RiskRegister[[#This Row],[Residual Risk Rating]],'Rating factors'!$F$30:$G$44,2,FALSE),"-- Error --")</f>
        <v>-- Error --</v>
      </c>
      <c r="Y631" s="17" t="str">
        <f ca="1">IFERROR(RiskRegister[[#This Row],[Residual Impact Rating]]*RiskRegister[[#This Row],[Residual Likelihood Rating]],"-- Error --")</f>
        <v>-- Error --</v>
      </c>
      <c r="Z631" s="16" t="s">
        <v>100</v>
      </c>
      <c r="AB631" s="39"/>
      <c r="AD631" s="20"/>
    </row>
    <row r="632" spans="1:30" s="16" customFormat="1" hidden="1" x14ac:dyDescent="0.25">
      <c r="A632" s="16">
        <v>629</v>
      </c>
      <c r="G632" s="16" t="s">
        <v>77</v>
      </c>
      <c r="I632" s="16" t="s">
        <v>75</v>
      </c>
      <c r="L632" s="105" t="s">
        <v>99</v>
      </c>
      <c r="M632" s="17" t="str">
        <f>VLOOKUP(RiskRegister[[#This Row],[Inherent Impact LevelL3:L1020D1007L3:L1019]],'Rating factors'!$F$4:$G$9,2,FALSE)</f>
        <v>--- Error ---</v>
      </c>
      <c r="N632" s="16" t="s">
        <v>79</v>
      </c>
      <c r="O632" s="17" t="str">
        <f>VLOOKUP(RiskRegister[[#This Row],[Inherent Likelihood Level]],'Rating factors'!$F$16:$G$21,2,FALSE)</f>
        <v>--- Error ---</v>
      </c>
      <c r="P632" s="17" t="str">
        <f>IFERROR(VLOOKUP(RiskRegister[[#This Row],[Inherent Risk Rating]],'Rating factors'!$F$30:$G$44,2,FALSE),"-- Error --")</f>
        <v>-- Error --</v>
      </c>
      <c r="Q632" s="17" t="str">
        <f>IFERROR(RiskRegister[[#This Row],[Inherent Impact Rating]]*RiskRegister[[#This Row],[Inherent Likelihood Rating]],"-- Error --")</f>
        <v>-- Error --</v>
      </c>
      <c r="R632" s="16" t="s">
        <v>98</v>
      </c>
      <c r="T632" s="16" t="s">
        <v>99</v>
      </c>
      <c r="U632" s="17" t="e" cm="1">
        <f t="array" aca="1" ref="U632" ca="1">+U632:Y1019VLOOKUP(RiskRegister[[#This Row],[Residual Impact Level]],'Rating factors'!$F$4:$G$9,2,FALSE)</f>
        <v>#NAME?</v>
      </c>
      <c r="V632" s="16" t="s">
        <v>79</v>
      </c>
      <c r="W632" s="17" t="str">
        <f>VLOOKUP(RiskRegister[[#This Row],[Residual Likelihood Level]],'Rating factors'!$F$16:$G$21,2,FALSE)</f>
        <v>--- Error ---</v>
      </c>
      <c r="X632" s="17" t="str">
        <f ca="1">IFERROR(VLOOKUP(RiskRegister[[#This Row],[Residual Risk Rating]],'Rating factors'!$F$30:$G$44,2,FALSE),"-- Error --")</f>
        <v>-- Error --</v>
      </c>
      <c r="Y632" s="17" t="str">
        <f ca="1">IFERROR(RiskRegister[[#This Row],[Residual Impact Rating]]*RiskRegister[[#This Row],[Residual Likelihood Rating]],"-- Error --")</f>
        <v>-- Error --</v>
      </c>
      <c r="Z632" s="16" t="s">
        <v>100</v>
      </c>
      <c r="AB632" s="39"/>
      <c r="AD632" s="20"/>
    </row>
    <row r="633" spans="1:30" s="16" customFormat="1" hidden="1" x14ac:dyDescent="0.25">
      <c r="A633" s="16">
        <v>630</v>
      </c>
      <c r="G633" s="16" t="s">
        <v>77</v>
      </c>
      <c r="I633" s="16" t="s">
        <v>75</v>
      </c>
      <c r="L633" s="105" t="s">
        <v>99</v>
      </c>
      <c r="M633" s="17" t="str">
        <f>VLOOKUP(RiskRegister[[#This Row],[Inherent Impact LevelL3:L1020D1007L3:L1019]],'Rating factors'!$F$4:$G$9,2,FALSE)</f>
        <v>--- Error ---</v>
      </c>
      <c r="N633" s="16" t="s">
        <v>79</v>
      </c>
      <c r="O633" s="17" t="str">
        <f>VLOOKUP(RiskRegister[[#This Row],[Inherent Likelihood Level]],'Rating factors'!$F$16:$G$21,2,FALSE)</f>
        <v>--- Error ---</v>
      </c>
      <c r="P633" s="17" t="str">
        <f>IFERROR(VLOOKUP(RiskRegister[[#This Row],[Inherent Risk Rating]],'Rating factors'!$F$30:$G$44,2,FALSE),"-- Error --")</f>
        <v>-- Error --</v>
      </c>
      <c r="Q633" s="17" t="str">
        <f>IFERROR(RiskRegister[[#This Row],[Inherent Impact Rating]]*RiskRegister[[#This Row],[Inherent Likelihood Rating]],"-- Error --")</f>
        <v>-- Error --</v>
      </c>
      <c r="R633" s="16" t="s">
        <v>98</v>
      </c>
      <c r="T633" s="16" t="s">
        <v>99</v>
      </c>
      <c r="U633" s="17" t="e" cm="1">
        <f t="array" aca="1" ref="U633" ca="1">+U633:Y1019VLOOKUP(RiskRegister[[#This Row],[Residual Impact Level]],'Rating factors'!$F$4:$G$9,2,FALSE)</f>
        <v>#NAME?</v>
      </c>
      <c r="V633" s="16" t="s">
        <v>79</v>
      </c>
      <c r="W633" s="17" t="str">
        <f>VLOOKUP(RiskRegister[[#This Row],[Residual Likelihood Level]],'Rating factors'!$F$16:$G$21,2,FALSE)</f>
        <v>--- Error ---</v>
      </c>
      <c r="X633" s="17" t="str">
        <f ca="1">IFERROR(VLOOKUP(RiskRegister[[#This Row],[Residual Risk Rating]],'Rating factors'!$F$30:$G$44,2,FALSE),"-- Error --")</f>
        <v>-- Error --</v>
      </c>
      <c r="Y633" s="17" t="str">
        <f ca="1">IFERROR(RiskRegister[[#This Row],[Residual Impact Rating]]*RiskRegister[[#This Row],[Residual Likelihood Rating]],"-- Error --")</f>
        <v>-- Error --</v>
      </c>
      <c r="Z633" s="16" t="s">
        <v>100</v>
      </c>
      <c r="AB633" s="39"/>
      <c r="AD633" s="20"/>
    </row>
    <row r="634" spans="1:30" s="16" customFormat="1" hidden="1" x14ac:dyDescent="0.25">
      <c r="A634" s="16">
        <v>631</v>
      </c>
      <c r="G634" s="16" t="s">
        <v>77</v>
      </c>
      <c r="I634" s="16" t="s">
        <v>75</v>
      </c>
      <c r="L634" s="105" t="s">
        <v>99</v>
      </c>
      <c r="M634" s="17" t="str">
        <f>VLOOKUP(RiskRegister[[#This Row],[Inherent Impact LevelL3:L1020D1007L3:L1019]],'Rating factors'!$F$4:$G$9,2,FALSE)</f>
        <v>--- Error ---</v>
      </c>
      <c r="N634" s="16" t="s">
        <v>79</v>
      </c>
      <c r="O634" s="17" t="str">
        <f>VLOOKUP(RiskRegister[[#This Row],[Inherent Likelihood Level]],'Rating factors'!$F$16:$G$21,2,FALSE)</f>
        <v>--- Error ---</v>
      </c>
      <c r="P634" s="17" t="str">
        <f>IFERROR(VLOOKUP(RiskRegister[[#This Row],[Inherent Risk Rating]],'Rating factors'!$F$30:$G$44,2,FALSE),"-- Error --")</f>
        <v>-- Error --</v>
      </c>
      <c r="Q634" s="17" t="str">
        <f>IFERROR(RiskRegister[[#This Row],[Inherent Impact Rating]]*RiskRegister[[#This Row],[Inherent Likelihood Rating]],"-- Error --")</f>
        <v>-- Error --</v>
      </c>
      <c r="R634" s="16" t="s">
        <v>98</v>
      </c>
      <c r="T634" s="16" t="s">
        <v>99</v>
      </c>
      <c r="U634" s="17" t="e" cm="1">
        <f t="array" aca="1" ref="U634" ca="1">+U634:Y1019VLOOKUP(RiskRegister[[#This Row],[Residual Impact Level]],'Rating factors'!$F$4:$G$9,2,FALSE)</f>
        <v>#NAME?</v>
      </c>
      <c r="V634" s="16" t="s">
        <v>79</v>
      </c>
      <c r="W634" s="17" t="str">
        <f>VLOOKUP(RiskRegister[[#This Row],[Residual Likelihood Level]],'Rating factors'!$F$16:$G$21,2,FALSE)</f>
        <v>--- Error ---</v>
      </c>
      <c r="X634" s="17" t="str">
        <f ca="1">IFERROR(VLOOKUP(RiskRegister[[#This Row],[Residual Risk Rating]],'Rating factors'!$F$30:$G$44,2,FALSE),"-- Error --")</f>
        <v>-- Error --</v>
      </c>
      <c r="Y634" s="17" t="str">
        <f ca="1">IFERROR(RiskRegister[[#This Row],[Residual Impact Rating]]*RiskRegister[[#This Row],[Residual Likelihood Rating]],"-- Error --")</f>
        <v>-- Error --</v>
      </c>
      <c r="Z634" s="16" t="s">
        <v>100</v>
      </c>
      <c r="AB634" s="39"/>
      <c r="AD634" s="20"/>
    </row>
    <row r="635" spans="1:30" s="16" customFormat="1" hidden="1" x14ac:dyDescent="0.25">
      <c r="A635" s="16">
        <v>632</v>
      </c>
      <c r="G635" s="16" t="s">
        <v>77</v>
      </c>
      <c r="I635" s="16" t="s">
        <v>75</v>
      </c>
      <c r="L635" s="105" t="s">
        <v>99</v>
      </c>
      <c r="M635" s="17" t="str">
        <f>VLOOKUP(RiskRegister[[#This Row],[Inherent Impact LevelL3:L1020D1007L3:L1019]],'Rating factors'!$F$4:$G$9,2,FALSE)</f>
        <v>--- Error ---</v>
      </c>
      <c r="N635" s="16" t="s">
        <v>79</v>
      </c>
      <c r="O635" s="17" t="str">
        <f>VLOOKUP(RiskRegister[[#This Row],[Inherent Likelihood Level]],'Rating factors'!$F$16:$G$21,2,FALSE)</f>
        <v>--- Error ---</v>
      </c>
      <c r="P635" s="17" t="str">
        <f>IFERROR(VLOOKUP(RiskRegister[[#This Row],[Inherent Risk Rating]],'Rating factors'!$F$30:$G$44,2,FALSE),"-- Error --")</f>
        <v>-- Error --</v>
      </c>
      <c r="Q635" s="17" t="str">
        <f>IFERROR(RiskRegister[[#This Row],[Inherent Impact Rating]]*RiskRegister[[#This Row],[Inherent Likelihood Rating]],"-- Error --")</f>
        <v>-- Error --</v>
      </c>
      <c r="R635" s="16" t="s">
        <v>98</v>
      </c>
      <c r="T635" s="16" t="s">
        <v>99</v>
      </c>
      <c r="U635" s="17" t="e" cm="1">
        <f t="array" aca="1" ref="U635" ca="1">+U635:Y1019VLOOKUP(RiskRegister[[#This Row],[Residual Impact Level]],'Rating factors'!$F$4:$G$9,2,FALSE)</f>
        <v>#NAME?</v>
      </c>
      <c r="V635" s="16" t="s">
        <v>79</v>
      </c>
      <c r="W635" s="17" t="str">
        <f>VLOOKUP(RiskRegister[[#This Row],[Residual Likelihood Level]],'Rating factors'!$F$16:$G$21,2,FALSE)</f>
        <v>--- Error ---</v>
      </c>
      <c r="X635" s="17" t="str">
        <f ca="1">IFERROR(VLOOKUP(RiskRegister[[#This Row],[Residual Risk Rating]],'Rating factors'!$F$30:$G$44,2,FALSE),"-- Error --")</f>
        <v>-- Error --</v>
      </c>
      <c r="Y635" s="17" t="str">
        <f ca="1">IFERROR(RiskRegister[[#This Row],[Residual Impact Rating]]*RiskRegister[[#This Row],[Residual Likelihood Rating]],"-- Error --")</f>
        <v>-- Error --</v>
      </c>
      <c r="Z635" s="16" t="s">
        <v>100</v>
      </c>
      <c r="AB635" s="39"/>
      <c r="AD635" s="20"/>
    </row>
    <row r="636" spans="1:30" s="16" customFormat="1" hidden="1" x14ac:dyDescent="0.25">
      <c r="A636" s="16">
        <v>633</v>
      </c>
      <c r="G636" s="16" t="s">
        <v>77</v>
      </c>
      <c r="I636" s="16" t="s">
        <v>75</v>
      </c>
      <c r="L636" s="105" t="s">
        <v>99</v>
      </c>
      <c r="M636" s="17" t="str">
        <f>VLOOKUP(RiskRegister[[#This Row],[Inherent Impact LevelL3:L1020D1007L3:L1019]],'Rating factors'!$F$4:$G$9,2,FALSE)</f>
        <v>--- Error ---</v>
      </c>
      <c r="N636" s="16" t="s">
        <v>79</v>
      </c>
      <c r="O636" s="17" t="str">
        <f>VLOOKUP(RiskRegister[[#This Row],[Inherent Likelihood Level]],'Rating factors'!$F$16:$G$21,2,FALSE)</f>
        <v>--- Error ---</v>
      </c>
      <c r="P636" s="17" t="str">
        <f>IFERROR(VLOOKUP(RiskRegister[[#This Row],[Inherent Risk Rating]],'Rating factors'!$F$30:$G$44,2,FALSE),"-- Error --")</f>
        <v>-- Error --</v>
      </c>
      <c r="Q636" s="17" t="str">
        <f>IFERROR(RiskRegister[[#This Row],[Inherent Impact Rating]]*RiskRegister[[#This Row],[Inherent Likelihood Rating]],"-- Error --")</f>
        <v>-- Error --</v>
      </c>
      <c r="R636" s="16" t="s">
        <v>98</v>
      </c>
      <c r="T636" s="16" t="s">
        <v>99</v>
      </c>
      <c r="U636" s="17" t="e" cm="1">
        <f t="array" aca="1" ref="U636" ca="1">+U636:Y1019VLOOKUP(RiskRegister[[#This Row],[Residual Impact Level]],'Rating factors'!$F$4:$G$9,2,FALSE)</f>
        <v>#NAME?</v>
      </c>
      <c r="V636" s="16" t="s">
        <v>79</v>
      </c>
      <c r="W636" s="17" t="str">
        <f>VLOOKUP(RiskRegister[[#This Row],[Residual Likelihood Level]],'Rating factors'!$F$16:$G$21,2,FALSE)</f>
        <v>--- Error ---</v>
      </c>
      <c r="X636" s="17" t="str">
        <f ca="1">IFERROR(VLOOKUP(RiskRegister[[#This Row],[Residual Risk Rating]],'Rating factors'!$F$30:$G$44,2,FALSE),"-- Error --")</f>
        <v>-- Error --</v>
      </c>
      <c r="Y636" s="17" t="str">
        <f ca="1">IFERROR(RiskRegister[[#This Row],[Residual Impact Rating]]*RiskRegister[[#This Row],[Residual Likelihood Rating]],"-- Error --")</f>
        <v>-- Error --</v>
      </c>
      <c r="Z636" s="16" t="s">
        <v>100</v>
      </c>
      <c r="AB636" s="39"/>
      <c r="AD636" s="20"/>
    </row>
    <row r="637" spans="1:30" s="16" customFormat="1" hidden="1" x14ac:dyDescent="0.25">
      <c r="A637" s="16">
        <v>634</v>
      </c>
      <c r="G637" s="16" t="s">
        <v>77</v>
      </c>
      <c r="I637" s="16" t="s">
        <v>75</v>
      </c>
      <c r="L637" s="105" t="s">
        <v>99</v>
      </c>
      <c r="M637" s="17" t="str">
        <f>VLOOKUP(RiskRegister[[#This Row],[Inherent Impact LevelL3:L1020D1007L3:L1019]],'Rating factors'!$F$4:$G$9,2,FALSE)</f>
        <v>--- Error ---</v>
      </c>
      <c r="N637" s="16" t="s">
        <v>79</v>
      </c>
      <c r="O637" s="17" t="str">
        <f>VLOOKUP(RiskRegister[[#This Row],[Inherent Likelihood Level]],'Rating factors'!$F$16:$G$21,2,FALSE)</f>
        <v>--- Error ---</v>
      </c>
      <c r="P637" s="17" t="str">
        <f>IFERROR(VLOOKUP(RiskRegister[[#This Row],[Inherent Risk Rating]],'Rating factors'!$F$30:$G$44,2,FALSE),"-- Error --")</f>
        <v>-- Error --</v>
      </c>
      <c r="Q637" s="17" t="str">
        <f>IFERROR(RiskRegister[[#This Row],[Inherent Impact Rating]]*RiskRegister[[#This Row],[Inherent Likelihood Rating]],"-- Error --")</f>
        <v>-- Error --</v>
      </c>
      <c r="R637" s="16" t="s">
        <v>98</v>
      </c>
      <c r="T637" s="16" t="s">
        <v>99</v>
      </c>
      <c r="U637" s="17" t="e" cm="1">
        <f t="array" aca="1" ref="U637" ca="1">+U637:Y1019VLOOKUP(RiskRegister[[#This Row],[Residual Impact Level]],'Rating factors'!$F$4:$G$9,2,FALSE)</f>
        <v>#NAME?</v>
      </c>
      <c r="V637" s="16" t="s">
        <v>79</v>
      </c>
      <c r="W637" s="17" t="str">
        <f>VLOOKUP(RiskRegister[[#This Row],[Residual Likelihood Level]],'Rating factors'!$F$16:$G$21,2,FALSE)</f>
        <v>--- Error ---</v>
      </c>
      <c r="X637" s="17" t="str">
        <f ca="1">IFERROR(VLOOKUP(RiskRegister[[#This Row],[Residual Risk Rating]],'Rating factors'!$F$30:$G$44,2,FALSE),"-- Error --")</f>
        <v>-- Error --</v>
      </c>
      <c r="Y637" s="17" t="str">
        <f ca="1">IFERROR(RiskRegister[[#This Row],[Residual Impact Rating]]*RiskRegister[[#This Row],[Residual Likelihood Rating]],"-- Error --")</f>
        <v>-- Error --</v>
      </c>
      <c r="Z637" s="16" t="s">
        <v>100</v>
      </c>
      <c r="AB637" s="39"/>
      <c r="AD637" s="20"/>
    </row>
    <row r="638" spans="1:30" s="16" customFormat="1" hidden="1" x14ac:dyDescent="0.25">
      <c r="A638" s="16">
        <v>635</v>
      </c>
      <c r="G638" s="16" t="s">
        <v>77</v>
      </c>
      <c r="I638" s="16" t="s">
        <v>75</v>
      </c>
      <c r="L638" s="105" t="s">
        <v>99</v>
      </c>
      <c r="M638" s="17" t="str">
        <f>VLOOKUP(RiskRegister[[#This Row],[Inherent Impact LevelL3:L1020D1007L3:L1019]],'Rating factors'!$F$4:$G$9,2,FALSE)</f>
        <v>--- Error ---</v>
      </c>
      <c r="N638" s="16" t="s">
        <v>79</v>
      </c>
      <c r="O638" s="17" t="str">
        <f>VLOOKUP(RiskRegister[[#This Row],[Inherent Likelihood Level]],'Rating factors'!$F$16:$G$21,2,FALSE)</f>
        <v>--- Error ---</v>
      </c>
      <c r="P638" s="17" t="str">
        <f>IFERROR(VLOOKUP(RiskRegister[[#This Row],[Inherent Risk Rating]],'Rating factors'!$F$30:$G$44,2,FALSE),"-- Error --")</f>
        <v>-- Error --</v>
      </c>
      <c r="Q638" s="17" t="str">
        <f>IFERROR(RiskRegister[[#This Row],[Inherent Impact Rating]]*RiskRegister[[#This Row],[Inherent Likelihood Rating]],"-- Error --")</f>
        <v>-- Error --</v>
      </c>
      <c r="R638" s="16" t="s">
        <v>98</v>
      </c>
      <c r="T638" s="16" t="s">
        <v>99</v>
      </c>
      <c r="U638" s="17" t="e" cm="1">
        <f t="array" aca="1" ref="U638" ca="1">+U638:Y1019VLOOKUP(RiskRegister[[#This Row],[Residual Impact Level]],'Rating factors'!$F$4:$G$9,2,FALSE)</f>
        <v>#NAME?</v>
      </c>
      <c r="V638" s="16" t="s">
        <v>79</v>
      </c>
      <c r="W638" s="17" t="str">
        <f>VLOOKUP(RiskRegister[[#This Row],[Residual Likelihood Level]],'Rating factors'!$F$16:$G$21,2,FALSE)</f>
        <v>--- Error ---</v>
      </c>
      <c r="X638" s="17" t="str">
        <f ca="1">IFERROR(VLOOKUP(RiskRegister[[#This Row],[Residual Risk Rating]],'Rating factors'!$F$30:$G$44,2,FALSE),"-- Error --")</f>
        <v>-- Error --</v>
      </c>
      <c r="Y638" s="17" t="str">
        <f ca="1">IFERROR(RiskRegister[[#This Row],[Residual Impact Rating]]*RiskRegister[[#This Row],[Residual Likelihood Rating]],"-- Error --")</f>
        <v>-- Error --</v>
      </c>
      <c r="Z638" s="16" t="s">
        <v>100</v>
      </c>
      <c r="AB638" s="39"/>
      <c r="AD638" s="20"/>
    </row>
    <row r="639" spans="1:30" s="16" customFormat="1" hidden="1" x14ac:dyDescent="0.25">
      <c r="A639" s="16">
        <v>636</v>
      </c>
      <c r="G639" s="16" t="s">
        <v>77</v>
      </c>
      <c r="I639" s="16" t="s">
        <v>75</v>
      </c>
      <c r="L639" s="105" t="s">
        <v>99</v>
      </c>
      <c r="M639" s="17" t="str">
        <f>VLOOKUP(RiskRegister[[#This Row],[Inherent Impact LevelL3:L1020D1007L3:L1019]],'Rating factors'!$F$4:$G$9,2,FALSE)</f>
        <v>--- Error ---</v>
      </c>
      <c r="N639" s="16" t="s">
        <v>79</v>
      </c>
      <c r="O639" s="17" t="str">
        <f>VLOOKUP(RiskRegister[[#This Row],[Inherent Likelihood Level]],'Rating factors'!$F$16:$G$21,2,FALSE)</f>
        <v>--- Error ---</v>
      </c>
      <c r="P639" s="17" t="str">
        <f>IFERROR(VLOOKUP(RiskRegister[[#This Row],[Inherent Risk Rating]],'Rating factors'!$F$30:$G$44,2,FALSE),"-- Error --")</f>
        <v>-- Error --</v>
      </c>
      <c r="Q639" s="17" t="str">
        <f>IFERROR(RiskRegister[[#This Row],[Inherent Impact Rating]]*RiskRegister[[#This Row],[Inherent Likelihood Rating]],"-- Error --")</f>
        <v>-- Error --</v>
      </c>
      <c r="R639" s="16" t="s">
        <v>98</v>
      </c>
      <c r="T639" s="16" t="s">
        <v>99</v>
      </c>
      <c r="U639" s="17" t="e" cm="1">
        <f t="array" aca="1" ref="U639" ca="1">+U639:Y1019VLOOKUP(RiskRegister[[#This Row],[Residual Impact Level]],'Rating factors'!$F$4:$G$9,2,FALSE)</f>
        <v>#NAME?</v>
      </c>
      <c r="V639" s="16" t="s">
        <v>79</v>
      </c>
      <c r="W639" s="17" t="str">
        <f>VLOOKUP(RiskRegister[[#This Row],[Residual Likelihood Level]],'Rating factors'!$F$16:$G$21,2,FALSE)</f>
        <v>--- Error ---</v>
      </c>
      <c r="X639" s="17" t="str">
        <f ca="1">IFERROR(VLOOKUP(RiskRegister[[#This Row],[Residual Risk Rating]],'Rating factors'!$F$30:$G$44,2,FALSE),"-- Error --")</f>
        <v>-- Error --</v>
      </c>
      <c r="Y639" s="17" t="str">
        <f ca="1">IFERROR(RiskRegister[[#This Row],[Residual Impact Rating]]*RiskRegister[[#This Row],[Residual Likelihood Rating]],"-- Error --")</f>
        <v>-- Error --</v>
      </c>
      <c r="Z639" s="16" t="s">
        <v>100</v>
      </c>
      <c r="AB639" s="39"/>
      <c r="AD639" s="20"/>
    </row>
    <row r="640" spans="1:30" s="16" customFormat="1" hidden="1" x14ac:dyDescent="0.25">
      <c r="A640" s="16">
        <v>637</v>
      </c>
      <c r="G640" s="16" t="s">
        <v>77</v>
      </c>
      <c r="I640" s="16" t="s">
        <v>75</v>
      </c>
      <c r="L640" s="105" t="s">
        <v>99</v>
      </c>
      <c r="M640" s="17" t="str">
        <f>VLOOKUP(RiskRegister[[#This Row],[Inherent Impact LevelL3:L1020D1007L3:L1019]],'Rating factors'!$F$4:$G$9,2,FALSE)</f>
        <v>--- Error ---</v>
      </c>
      <c r="N640" s="16" t="s">
        <v>79</v>
      </c>
      <c r="O640" s="17" t="str">
        <f>VLOOKUP(RiskRegister[[#This Row],[Inherent Likelihood Level]],'Rating factors'!$F$16:$G$21,2,FALSE)</f>
        <v>--- Error ---</v>
      </c>
      <c r="P640" s="17" t="str">
        <f>IFERROR(VLOOKUP(RiskRegister[[#This Row],[Inherent Risk Rating]],'Rating factors'!$F$30:$G$44,2,FALSE),"-- Error --")</f>
        <v>-- Error --</v>
      </c>
      <c r="Q640" s="17" t="str">
        <f>IFERROR(RiskRegister[[#This Row],[Inherent Impact Rating]]*RiskRegister[[#This Row],[Inherent Likelihood Rating]],"-- Error --")</f>
        <v>-- Error --</v>
      </c>
      <c r="R640" s="16" t="s">
        <v>98</v>
      </c>
      <c r="T640" s="16" t="s">
        <v>99</v>
      </c>
      <c r="U640" s="17" t="e" cm="1">
        <f t="array" aca="1" ref="U640" ca="1">+U640:Y1019VLOOKUP(RiskRegister[[#This Row],[Residual Impact Level]],'Rating factors'!$F$4:$G$9,2,FALSE)</f>
        <v>#NAME?</v>
      </c>
      <c r="V640" s="16" t="s">
        <v>79</v>
      </c>
      <c r="W640" s="17" t="str">
        <f>VLOOKUP(RiskRegister[[#This Row],[Residual Likelihood Level]],'Rating factors'!$F$16:$G$21,2,FALSE)</f>
        <v>--- Error ---</v>
      </c>
      <c r="X640" s="17" t="str">
        <f ca="1">IFERROR(VLOOKUP(RiskRegister[[#This Row],[Residual Risk Rating]],'Rating factors'!$F$30:$G$44,2,FALSE),"-- Error --")</f>
        <v>-- Error --</v>
      </c>
      <c r="Y640" s="17" t="str">
        <f ca="1">IFERROR(RiskRegister[[#This Row],[Residual Impact Rating]]*RiskRegister[[#This Row],[Residual Likelihood Rating]],"-- Error --")</f>
        <v>-- Error --</v>
      </c>
      <c r="Z640" s="16" t="s">
        <v>100</v>
      </c>
      <c r="AB640" s="39"/>
      <c r="AD640" s="20"/>
    </row>
    <row r="641" spans="1:30" s="16" customFormat="1" hidden="1" x14ac:dyDescent="0.25">
      <c r="A641" s="16">
        <v>638</v>
      </c>
      <c r="G641" s="16" t="s">
        <v>77</v>
      </c>
      <c r="I641" s="16" t="s">
        <v>75</v>
      </c>
      <c r="L641" s="105" t="s">
        <v>99</v>
      </c>
      <c r="M641" s="17" t="str">
        <f>VLOOKUP(RiskRegister[[#This Row],[Inherent Impact LevelL3:L1020D1007L3:L1019]],'Rating factors'!$F$4:$G$9,2,FALSE)</f>
        <v>--- Error ---</v>
      </c>
      <c r="N641" s="16" t="s">
        <v>79</v>
      </c>
      <c r="O641" s="17" t="str">
        <f>VLOOKUP(RiskRegister[[#This Row],[Inherent Likelihood Level]],'Rating factors'!$F$16:$G$21,2,FALSE)</f>
        <v>--- Error ---</v>
      </c>
      <c r="P641" s="17" t="str">
        <f>IFERROR(VLOOKUP(RiskRegister[[#This Row],[Inherent Risk Rating]],'Rating factors'!$F$30:$G$44,2,FALSE),"-- Error --")</f>
        <v>-- Error --</v>
      </c>
      <c r="Q641" s="17" t="str">
        <f>IFERROR(RiskRegister[[#This Row],[Inherent Impact Rating]]*RiskRegister[[#This Row],[Inherent Likelihood Rating]],"-- Error --")</f>
        <v>-- Error --</v>
      </c>
      <c r="R641" s="16" t="s">
        <v>98</v>
      </c>
      <c r="T641" s="16" t="s">
        <v>99</v>
      </c>
      <c r="U641" s="17" t="e" cm="1">
        <f t="array" aca="1" ref="U641" ca="1">+U641:Y1019VLOOKUP(RiskRegister[[#This Row],[Residual Impact Level]],'Rating factors'!$F$4:$G$9,2,FALSE)</f>
        <v>#NAME?</v>
      </c>
      <c r="V641" s="16" t="s">
        <v>79</v>
      </c>
      <c r="W641" s="17" t="str">
        <f>VLOOKUP(RiskRegister[[#This Row],[Residual Likelihood Level]],'Rating factors'!$F$16:$G$21,2,FALSE)</f>
        <v>--- Error ---</v>
      </c>
      <c r="X641" s="17" t="str">
        <f ca="1">IFERROR(VLOOKUP(RiskRegister[[#This Row],[Residual Risk Rating]],'Rating factors'!$F$30:$G$44,2,FALSE),"-- Error --")</f>
        <v>-- Error --</v>
      </c>
      <c r="Y641" s="17" t="str">
        <f ca="1">IFERROR(RiskRegister[[#This Row],[Residual Impact Rating]]*RiskRegister[[#This Row],[Residual Likelihood Rating]],"-- Error --")</f>
        <v>-- Error --</v>
      </c>
      <c r="Z641" s="16" t="s">
        <v>100</v>
      </c>
      <c r="AB641" s="39"/>
      <c r="AD641" s="20"/>
    </row>
    <row r="642" spans="1:30" s="16" customFormat="1" hidden="1" x14ac:dyDescent="0.25">
      <c r="A642" s="16">
        <v>639</v>
      </c>
      <c r="G642" s="16" t="s">
        <v>77</v>
      </c>
      <c r="I642" s="16" t="s">
        <v>75</v>
      </c>
      <c r="L642" s="105" t="s">
        <v>99</v>
      </c>
      <c r="M642" s="17" t="str">
        <f>VLOOKUP(RiskRegister[[#This Row],[Inherent Impact LevelL3:L1020D1007L3:L1019]],'Rating factors'!$F$4:$G$9,2,FALSE)</f>
        <v>--- Error ---</v>
      </c>
      <c r="N642" s="16" t="s">
        <v>79</v>
      </c>
      <c r="O642" s="17" t="str">
        <f>VLOOKUP(RiskRegister[[#This Row],[Inherent Likelihood Level]],'Rating factors'!$F$16:$G$21,2,FALSE)</f>
        <v>--- Error ---</v>
      </c>
      <c r="P642" s="17" t="str">
        <f>IFERROR(VLOOKUP(RiskRegister[[#This Row],[Inherent Risk Rating]],'Rating factors'!$F$30:$G$44,2,FALSE),"-- Error --")</f>
        <v>-- Error --</v>
      </c>
      <c r="Q642" s="17" t="str">
        <f>IFERROR(RiskRegister[[#This Row],[Inherent Impact Rating]]*RiskRegister[[#This Row],[Inherent Likelihood Rating]],"-- Error --")</f>
        <v>-- Error --</v>
      </c>
      <c r="R642" s="16" t="s">
        <v>98</v>
      </c>
      <c r="T642" s="16" t="s">
        <v>99</v>
      </c>
      <c r="U642" s="17" t="e" cm="1">
        <f t="array" aca="1" ref="U642" ca="1">+U642:Y1019VLOOKUP(RiskRegister[[#This Row],[Residual Impact Level]],'Rating factors'!$F$4:$G$9,2,FALSE)</f>
        <v>#NAME?</v>
      </c>
      <c r="V642" s="16" t="s">
        <v>79</v>
      </c>
      <c r="W642" s="17" t="str">
        <f>VLOOKUP(RiskRegister[[#This Row],[Residual Likelihood Level]],'Rating factors'!$F$16:$G$21,2,FALSE)</f>
        <v>--- Error ---</v>
      </c>
      <c r="X642" s="17" t="str">
        <f ca="1">IFERROR(VLOOKUP(RiskRegister[[#This Row],[Residual Risk Rating]],'Rating factors'!$F$30:$G$44,2,FALSE),"-- Error --")</f>
        <v>-- Error --</v>
      </c>
      <c r="Y642" s="17" t="str">
        <f ca="1">IFERROR(RiskRegister[[#This Row],[Residual Impact Rating]]*RiskRegister[[#This Row],[Residual Likelihood Rating]],"-- Error --")</f>
        <v>-- Error --</v>
      </c>
      <c r="Z642" s="16" t="s">
        <v>100</v>
      </c>
      <c r="AB642" s="39"/>
      <c r="AD642" s="20"/>
    </row>
    <row r="643" spans="1:30" s="16" customFormat="1" hidden="1" x14ac:dyDescent="0.25">
      <c r="A643" s="16">
        <v>640</v>
      </c>
      <c r="G643" s="16" t="s">
        <v>77</v>
      </c>
      <c r="I643" s="16" t="s">
        <v>75</v>
      </c>
      <c r="L643" s="105" t="s">
        <v>99</v>
      </c>
      <c r="M643" s="17" t="str">
        <f>VLOOKUP(RiskRegister[[#This Row],[Inherent Impact LevelL3:L1020D1007L3:L1019]],'Rating factors'!$F$4:$G$9,2,FALSE)</f>
        <v>--- Error ---</v>
      </c>
      <c r="N643" s="16" t="s">
        <v>79</v>
      </c>
      <c r="O643" s="17" t="str">
        <f>VLOOKUP(RiskRegister[[#This Row],[Inherent Likelihood Level]],'Rating factors'!$F$16:$G$21,2,FALSE)</f>
        <v>--- Error ---</v>
      </c>
      <c r="P643" s="17" t="str">
        <f>IFERROR(VLOOKUP(RiskRegister[[#This Row],[Inherent Risk Rating]],'Rating factors'!$F$30:$G$44,2,FALSE),"-- Error --")</f>
        <v>-- Error --</v>
      </c>
      <c r="Q643" s="17" t="str">
        <f>IFERROR(RiskRegister[[#This Row],[Inherent Impact Rating]]*RiskRegister[[#This Row],[Inherent Likelihood Rating]],"-- Error --")</f>
        <v>-- Error --</v>
      </c>
      <c r="R643" s="16" t="s">
        <v>98</v>
      </c>
      <c r="T643" s="16" t="s">
        <v>99</v>
      </c>
      <c r="U643" s="17" t="e" cm="1">
        <f t="array" aca="1" ref="U643" ca="1">+U643:Y1019VLOOKUP(RiskRegister[[#This Row],[Residual Impact Level]],'Rating factors'!$F$4:$G$9,2,FALSE)</f>
        <v>#NAME?</v>
      </c>
      <c r="V643" s="16" t="s">
        <v>79</v>
      </c>
      <c r="W643" s="17" t="str">
        <f>VLOOKUP(RiskRegister[[#This Row],[Residual Likelihood Level]],'Rating factors'!$F$16:$G$21,2,FALSE)</f>
        <v>--- Error ---</v>
      </c>
      <c r="X643" s="17" t="str">
        <f ca="1">IFERROR(VLOOKUP(RiskRegister[[#This Row],[Residual Risk Rating]],'Rating factors'!$F$30:$G$44,2,FALSE),"-- Error --")</f>
        <v>-- Error --</v>
      </c>
      <c r="Y643" s="17" t="str">
        <f ca="1">IFERROR(RiskRegister[[#This Row],[Residual Impact Rating]]*RiskRegister[[#This Row],[Residual Likelihood Rating]],"-- Error --")</f>
        <v>-- Error --</v>
      </c>
      <c r="Z643" s="16" t="s">
        <v>100</v>
      </c>
      <c r="AB643" s="39"/>
      <c r="AD643" s="20"/>
    </row>
    <row r="644" spans="1:30" s="16" customFormat="1" hidden="1" x14ac:dyDescent="0.25">
      <c r="A644" s="16">
        <v>641</v>
      </c>
      <c r="G644" s="16" t="s">
        <v>77</v>
      </c>
      <c r="I644" s="16" t="s">
        <v>75</v>
      </c>
      <c r="L644" s="105" t="s">
        <v>99</v>
      </c>
      <c r="M644" s="17" t="str">
        <f>VLOOKUP(RiskRegister[[#This Row],[Inherent Impact LevelL3:L1020D1007L3:L1019]],'Rating factors'!$F$4:$G$9,2,FALSE)</f>
        <v>--- Error ---</v>
      </c>
      <c r="N644" s="16" t="s">
        <v>79</v>
      </c>
      <c r="O644" s="17" t="str">
        <f>VLOOKUP(RiskRegister[[#This Row],[Inherent Likelihood Level]],'Rating factors'!$F$16:$G$21,2,FALSE)</f>
        <v>--- Error ---</v>
      </c>
      <c r="P644" s="17" t="str">
        <f>IFERROR(VLOOKUP(RiskRegister[[#This Row],[Inherent Risk Rating]],'Rating factors'!$F$30:$G$44,2,FALSE),"-- Error --")</f>
        <v>-- Error --</v>
      </c>
      <c r="Q644" s="17" t="str">
        <f>IFERROR(RiskRegister[[#This Row],[Inherent Impact Rating]]*RiskRegister[[#This Row],[Inherent Likelihood Rating]],"-- Error --")</f>
        <v>-- Error --</v>
      </c>
      <c r="R644" s="16" t="s">
        <v>98</v>
      </c>
      <c r="T644" s="16" t="s">
        <v>99</v>
      </c>
      <c r="U644" s="17" t="e" cm="1">
        <f t="array" aca="1" ref="U644" ca="1">+U644:Y1019VLOOKUP(RiskRegister[[#This Row],[Residual Impact Level]],'Rating factors'!$F$4:$G$9,2,FALSE)</f>
        <v>#NAME?</v>
      </c>
      <c r="V644" s="16" t="s">
        <v>79</v>
      </c>
      <c r="W644" s="17" t="str">
        <f>VLOOKUP(RiskRegister[[#This Row],[Residual Likelihood Level]],'Rating factors'!$F$16:$G$21,2,FALSE)</f>
        <v>--- Error ---</v>
      </c>
      <c r="X644" s="17" t="str">
        <f ca="1">IFERROR(VLOOKUP(RiskRegister[[#This Row],[Residual Risk Rating]],'Rating factors'!$F$30:$G$44,2,FALSE),"-- Error --")</f>
        <v>-- Error --</v>
      </c>
      <c r="Y644" s="17" t="str">
        <f ca="1">IFERROR(RiskRegister[[#This Row],[Residual Impact Rating]]*RiskRegister[[#This Row],[Residual Likelihood Rating]],"-- Error --")</f>
        <v>-- Error --</v>
      </c>
      <c r="Z644" s="16" t="s">
        <v>100</v>
      </c>
      <c r="AB644" s="39"/>
      <c r="AD644" s="20"/>
    </row>
    <row r="645" spans="1:30" s="16" customFormat="1" hidden="1" x14ac:dyDescent="0.25">
      <c r="A645" s="16">
        <v>642</v>
      </c>
      <c r="G645" s="16" t="s">
        <v>77</v>
      </c>
      <c r="I645" s="16" t="s">
        <v>75</v>
      </c>
      <c r="L645" s="105" t="s">
        <v>99</v>
      </c>
      <c r="M645" s="17" t="str">
        <f>VLOOKUP(RiskRegister[[#This Row],[Inherent Impact LevelL3:L1020D1007L3:L1019]],'Rating factors'!$F$4:$G$9,2,FALSE)</f>
        <v>--- Error ---</v>
      </c>
      <c r="N645" s="16" t="s">
        <v>79</v>
      </c>
      <c r="O645" s="17" t="str">
        <f>VLOOKUP(RiskRegister[[#This Row],[Inherent Likelihood Level]],'Rating factors'!$F$16:$G$21,2,FALSE)</f>
        <v>--- Error ---</v>
      </c>
      <c r="P645" s="17" t="str">
        <f>IFERROR(VLOOKUP(RiskRegister[[#This Row],[Inherent Risk Rating]],'Rating factors'!$F$30:$G$44,2,FALSE),"-- Error --")</f>
        <v>-- Error --</v>
      </c>
      <c r="Q645" s="17" t="str">
        <f>IFERROR(RiskRegister[[#This Row],[Inherent Impact Rating]]*RiskRegister[[#This Row],[Inherent Likelihood Rating]],"-- Error --")</f>
        <v>-- Error --</v>
      </c>
      <c r="R645" s="16" t="s">
        <v>98</v>
      </c>
      <c r="T645" s="16" t="s">
        <v>99</v>
      </c>
      <c r="U645" s="17" t="e" cm="1">
        <f t="array" aca="1" ref="U645" ca="1">+U645:Y1019VLOOKUP(RiskRegister[[#This Row],[Residual Impact Level]],'Rating factors'!$F$4:$G$9,2,FALSE)</f>
        <v>#NAME?</v>
      </c>
      <c r="V645" s="16" t="s">
        <v>79</v>
      </c>
      <c r="W645" s="17" t="str">
        <f>VLOOKUP(RiskRegister[[#This Row],[Residual Likelihood Level]],'Rating factors'!$F$16:$G$21,2,FALSE)</f>
        <v>--- Error ---</v>
      </c>
      <c r="X645" s="17" t="str">
        <f ca="1">IFERROR(VLOOKUP(RiskRegister[[#This Row],[Residual Risk Rating]],'Rating factors'!$F$30:$G$44,2,FALSE),"-- Error --")</f>
        <v>-- Error --</v>
      </c>
      <c r="Y645" s="17" t="str">
        <f ca="1">IFERROR(RiskRegister[[#This Row],[Residual Impact Rating]]*RiskRegister[[#This Row],[Residual Likelihood Rating]],"-- Error --")</f>
        <v>-- Error --</v>
      </c>
      <c r="Z645" s="16" t="s">
        <v>100</v>
      </c>
      <c r="AB645" s="39"/>
      <c r="AD645" s="20"/>
    </row>
    <row r="646" spans="1:30" s="16" customFormat="1" hidden="1" x14ac:dyDescent="0.25">
      <c r="A646" s="16">
        <v>643</v>
      </c>
      <c r="G646" s="16" t="s">
        <v>77</v>
      </c>
      <c r="I646" s="16" t="s">
        <v>75</v>
      </c>
      <c r="L646" s="105" t="s">
        <v>99</v>
      </c>
      <c r="M646" s="17" t="str">
        <f>VLOOKUP(RiskRegister[[#This Row],[Inherent Impact LevelL3:L1020D1007L3:L1019]],'Rating factors'!$F$4:$G$9,2,FALSE)</f>
        <v>--- Error ---</v>
      </c>
      <c r="N646" s="16" t="s">
        <v>79</v>
      </c>
      <c r="O646" s="17" t="str">
        <f>VLOOKUP(RiskRegister[[#This Row],[Inherent Likelihood Level]],'Rating factors'!$F$16:$G$21,2,FALSE)</f>
        <v>--- Error ---</v>
      </c>
      <c r="P646" s="17" t="str">
        <f>IFERROR(VLOOKUP(RiskRegister[[#This Row],[Inherent Risk Rating]],'Rating factors'!$F$30:$G$44,2,FALSE),"-- Error --")</f>
        <v>-- Error --</v>
      </c>
      <c r="Q646" s="17" t="str">
        <f>IFERROR(RiskRegister[[#This Row],[Inherent Impact Rating]]*RiskRegister[[#This Row],[Inherent Likelihood Rating]],"-- Error --")</f>
        <v>-- Error --</v>
      </c>
      <c r="R646" s="16" t="s">
        <v>98</v>
      </c>
      <c r="T646" s="16" t="s">
        <v>99</v>
      </c>
      <c r="U646" s="17" t="e" cm="1">
        <f t="array" aca="1" ref="U646" ca="1">+U646:Y1019VLOOKUP(RiskRegister[[#This Row],[Residual Impact Level]],'Rating factors'!$F$4:$G$9,2,FALSE)</f>
        <v>#NAME?</v>
      </c>
      <c r="V646" s="16" t="s">
        <v>79</v>
      </c>
      <c r="W646" s="17" t="str">
        <f>VLOOKUP(RiskRegister[[#This Row],[Residual Likelihood Level]],'Rating factors'!$F$16:$G$21,2,FALSE)</f>
        <v>--- Error ---</v>
      </c>
      <c r="X646" s="17" t="str">
        <f ca="1">IFERROR(VLOOKUP(RiskRegister[[#This Row],[Residual Risk Rating]],'Rating factors'!$F$30:$G$44,2,FALSE),"-- Error --")</f>
        <v>-- Error --</v>
      </c>
      <c r="Y646" s="17" t="str">
        <f ca="1">IFERROR(RiskRegister[[#This Row],[Residual Impact Rating]]*RiskRegister[[#This Row],[Residual Likelihood Rating]],"-- Error --")</f>
        <v>-- Error --</v>
      </c>
      <c r="Z646" s="16" t="s">
        <v>100</v>
      </c>
      <c r="AB646" s="39"/>
      <c r="AD646" s="20"/>
    </row>
    <row r="647" spans="1:30" s="16" customFormat="1" hidden="1" x14ac:dyDescent="0.25">
      <c r="A647" s="16">
        <v>644</v>
      </c>
      <c r="G647" s="16" t="s">
        <v>77</v>
      </c>
      <c r="I647" s="16" t="s">
        <v>75</v>
      </c>
      <c r="L647" s="105" t="s">
        <v>99</v>
      </c>
      <c r="M647" s="17" t="str">
        <f>VLOOKUP(RiskRegister[[#This Row],[Inherent Impact LevelL3:L1020D1007L3:L1019]],'Rating factors'!$F$4:$G$9,2,FALSE)</f>
        <v>--- Error ---</v>
      </c>
      <c r="N647" s="16" t="s">
        <v>79</v>
      </c>
      <c r="O647" s="17" t="str">
        <f>VLOOKUP(RiskRegister[[#This Row],[Inherent Likelihood Level]],'Rating factors'!$F$16:$G$21,2,FALSE)</f>
        <v>--- Error ---</v>
      </c>
      <c r="P647" s="17" t="str">
        <f>IFERROR(VLOOKUP(RiskRegister[[#This Row],[Inherent Risk Rating]],'Rating factors'!$F$30:$G$44,2,FALSE),"-- Error --")</f>
        <v>-- Error --</v>
      </c>
      <c r="Q647" s="17" t="str">
        <f>IFERROR(RiskRegister[[#This Row],[Inherent Impact Rating]]*RiskRegister[[#This Row],[Inherent Likelihood Rating]],"-- Error --")</f>
        <v>-- Error --</v>
      </c>
      <c r="R647" s="16" t="s">
        <v>98</v>
      </c>
      <c r="T647" s="16" t="s">
        <v>99</v>
      </c>
      <c r="U647" s="17" t="e" cm="1">
        <f t="array" aca="1" ref="U647" ca="1">+U647:Y1019VLOOKUP(RiskRegister[[#This Row],[Residual Impact Level]],'Rating factors'!$F$4:$G$9,2,FALSE)</f>
        <v>#NAME?</v>
      </c>
      <c r="V647" s="16" t="s">
        <v>79</v>
      </c>
      <c r="W647" s="17" t="str">
        <f>VLOOKUP(RiskRegister[[#This Row],[Residual Likelihood Level]],'Rating factors'!$F$16:$G$21,2,FALSE)</f>
        <v>--- Error ---</v>
      </c>
      <c r="X647" s="17" t="str">
        <f ca="1">IFERROR(VLOOKUP(RiskRegister[[#This Row],[Residual Risk Rating]],'Rating factors'!$F$30:$G$44,2,FALSE),"-- Error --")</f>
        <v>-- Error --</v>
      </c>
      <c r="Y647" s="17" t="str">
        <f ca="1">IFERROR(RiskRegister[[#This Row],[Residual Impact Rating]]*RiskRegister[[#This Row],[Residual Likelihood Rating]],"-- Error --")</f>
        <v>-- Error --</v>
      </c>
      <c r="Z647" s="16" t="s">
        <v>100</v>
      </c>
      <c r="AB647" s="39"/>
      <c r="AD647" s="20"/>
    </row>
    <row r="648" spans="1:30" s="16" customFormat="1" hidden="1" x14ac:dyDescent="0.25">
      <c r="A648" s="16">
        <v>645</v>
      </c>
      <c r="G648" s="16" t="s">
        <v>77</v>
      </c>
      <c r="I648" s="16" t="s">
        <v>75</v>
      </c>
      <c r="L648" s="105" t="s">
        <v>99</v>
      </c>
      <c r="M648" s="17" t="str">
        <f>VLOOKUP(RiskRegister[[#This Row],[Inherent Impact LevelL3:L1020D1007L3:L1019]],'Rating factors'!$F$4:$G$9,2,FALSE)</f>
        <v>--- Error ---</v>
      </c>
      <c r="N648" s="16" t="s">
        <v>79</v>
      </c>
      <c r="O648" s="17" t="str">
        <f>VLOOKUP(RiskRegister[[#This Row],[Inherent Likelihood Level]],'Rating factors'!$F$16:$G$21,2,FALSE)</f>
        <v>--- Error ---</v>
      </c>
      <c r="P648" s="17" t="str">
        <f>IFERROR(VLOOKUP(RiskRegister[[#This Row],[Inherent Risk Rating]],'Rating factors'!$F$30:$G$44,2,FALSE),"-- Error --")</f>
        <v>-- Error --</v>
      </c>
      <c r="Q648" s="17" t="str">
        <f>IFERROR(RiskRegister[[#This Row],[Inherent Impact Rating]]*RiskRegister[[#This Row],[Inherent Likelihood Rating]],"-- Error --")</f>
        <v>-- Error --</v>
      </c>
      <c r="R648" s="16" t="s">
        <v>98</v>
      </c>
      <c r="T648" s="16" t="s">
        <v>99</v>
      </c>
      <c r="U648" s="17" t="e" cm="1">
        <f t="array" aca="1" ref="U648" ca="1">+U648:Y1019VLOOKUP(RiskRegister[[#This Row],[Residual Impact Level]],'Rating factors'!$F$4:$G$9,2,FALSE)</f>
        <v>#NAME?</v>
      </c>
      <c r="V648" s="16" t="s">
        <v>79</v>
      </c>
      <c r="W648" s="17" t="str">
        <f>VLOOKUP(RiskRegister[[#This Row],[Residual Likelihood Level]],'Rating factors'!$F$16:$G$21,2,FALSE)</f>
        <v>--- Error ---</v>
      </c>
      <c r="X648" s="17" t="str">
        <f ca="1">IFERROR(VLOOKUP(RiskRegister[[#This Row],[Residual Risk Rating]],'Rating factors'!$F$30:$G$44,2,FALSE),"-- Error --")</f>
        <v>-- Error --</v>
      </c>
      <c r="Y648" s="17" t="str">
        <f ca="1">IFERROR(RiskRegister[[#This Row],[Residual Impact Rating]]*RiskRegister[[#This Row],[Residual Likelihood Rating]],"-- Error --")</f>
        <v>-- Error --</v>
      </c>
      <c r="Z648" s="16" t="s">
        <v>100</v>
      </c>
      <c r="AB648" s="39"/>
      <c r="AD648" s="20"/>
    </row>
    <row r="649" spans="1:30" s="16" customFormat="1" hidden="1" x14ac:dyDescent="0.25">
      <c r="A649" s="16">
        <v>646</v>
      </c>
      <c r="G649" s="16" t="s">
        <v>77</v>
      </c>
      <c r="I649" s="16" t="s">
        <v>75</v>
      </c>
      <c r="L649" s="105" t="s">
        <v>99</v>
      </c>
      <c r="M649" s="17" t="str">
        <f>VLOOKUP(RiskRegister[[#This Row],[Inherent Impact LevelL3:L1020D1007L3:L1019]],'Rating factors'!$F$4:$G$9,2,FALSE)</f>
        <v>--- Error ---</v>
      </c>
      <c r="N649" s="16" t="s">
        <v>79</v>
      </c>
      <c r="O649" s="17" t="str">
        <f>VLOOKUP(RiskRegister[[#This Row],[Inherent Likelihood Level]],'Rating factors'!$F$16:$G$21,2,FALSE)</f>
        <v>--- Error ---</v>
      </c>
      <c r="P649" s="17" t="str">
        <f>IFERROR(VLOOKUP(RiskRegister[[#This Row],[Inherent Risk Rating]],'Rating factors'!$F$30:$G$44,2,FALSE),"-- Error --")</f>
        <v>-- Error --</v>
      </c>
      <c r="Q649" s="17" t="str">
        <f>IFERROR(RiskRegister[[#This Row],[Inherent Impact Rating]]*RiskRegister[[#This Row],[Inherent Likelihood Rating]],"-- Error --")</f>
        <v>-- Error --</v>
      </c>
      <c r="R649" s="16" t="s">
        <v>98</v>
      </c>
      <c r="T649" s="16" t="s">
        <v>99</v>
      </c>
      <c r="U649" s="17" t="e" cm="1">
        <f t="array" aca="1" ref="U649" ca="1">+U649:Y1019VLOOKUP(RiskRegister[[#This Row],[Residual Impact Level]],'Rating factors'!$F$4:$G$9,2,FALSE)</f>
        <v>#NAME?</v>
      </c>
      <c r="V649" s="16" t="s">
        <v>79</v>
      </c>
      <c r="W649" s="17" t="str">
        <f>VLOOKUP(RiskRegister[[#This Row],[Residual Likelihood Level]],'Rating factors'!$F$16:$G$21,2,FALSE)</f>
        <v>--- Error ---</v>
      </c>
      <c r="X649" s="17" t="str">
        <f ca="1">IFERROR(VLOOKUP(RiskRegister[[#This Row],[Residual Risk Rating]],'Rating factors'!$F$30:$G$44,2,FALSE),"-- Error --")</f>
        <v>-- Error --</v>
      </c>
      <c r="Y649" s="17" t="str">
        <f ca="1">IFERROR(RiskRegister[[#This Row],[Residual Impact Rating]]*RiskRegister[[#This Row],[Residual Likelihood Rating]],"-- Error --")</f>
        <v>-- Error --</v>
      </c>
      <c r="Z649" s="16" t="s">
        <v>100</v>
      </c>
      <c r="AB649" s="39"/>
      <c r="AD649" s="20"/>
    </row>
    <row r="650" spans="1:30" s="16" customFormat="1" hidden="1" x14ac:dyDescent="0.25">
      <c r="A650" s="16">
        <v>647</v>
      </c>
      <c r="G650" s="16" t="s">
        <v>77</v>
      </c>
      <c r="I650" s="16" t="s">
        <v>75</v>
      </c>
      <c r="L650" s="105" t="s">
        <v>99</v>
      </c>
      <c r="M650" s="17" t="str">
        <f>VLOOKUP(RiskRegister[[#This Row],[Inherent Impact LevelL3:L1020D1007L3:L1019]],'Rating factors'!$F$4:$G$9,2,FALSE)</f>
        <v>--- Error ---</v>
      </c>
      <c r="N650" s="16" t="s">
        <v>79</v>
      </c>
      <c r="O650" s="17" t="str">
        <f>VLOOKUP(RiskRegister[[#This Row],[Inherent Likelihood Level]],'Rating factors'!$F$16:$G$21,2,FALSE)</f>
        <v>--- Error ---</v>
      </c>
      <c r="P650" s="17" t="str">
        <f>IFERROR(VLOOKUP(RiskRegister[[#This Row],[Inherent Risk Rating]],'Rating factors'!$F$30:$G$44,2,FALSE),"-- Error --")</f>
        <v>-- Error --</v>
      </c>
      <c r="Q650" s="17" t="str">
        <f>IFERROR(RiskRegister[[#This Row],[Inherent Impact Rating]]*RiskRegister[[#This Row],[Inherent Likelihood Rating]],"-- Error --")</f>
        <v>-- Error --</v>
      </c>
      <c r="R650" s="16" t="s">
        <v>98</v>
      </c>
      <c r="T650" s="16" t="s">
        <v>99</v>
      </c>
      <c r="U650" s="17" t="e" cm="1">
        <f t="array" aca="1" ref="U650" ca="1">+U650:Y1019VLOOKUP(RiskRegister[[#This Row],[Residual Impact Level]],'Rating factors'!$F$4:$G$9,2,FALSE)</f>
        <v>#NAME?</v>
      </c>
      <c r="V650" s="16" t="s">
        <v>79</v>
      </c>
      <c r="W650" s="17" t="str">
        <f>VLOOKUP(RiskRegister[[#This Row],[Residual Likelihood Level]],'Rating factors'!$F$16:$G$21,2,FALSE)</f>
        <v>--- Error ---</v>
      </c>
      <c r="X650" s="17" t="str">
        <f ca="1">IFERROR(VLOOKUP(RiskRegister[[#This Row],[Residual Risk Rating]],'Rating factors'!$F$30:$G$44,2,FALSE),"-- Error --")</f>
        <v>-- Error --</v>
      </c>
      <c r="Y650" s="17" t="str">
        <f ca="1">IFERROR(RiskRegister[[#This Row],[Residual Impact Rating]]*RiskRegister[[#This Row],[Residual Likelihood Rating]],"-- Error --")</f>
        <v>-- Error --</v>
      </c>
      <c r="Z650" s="16" t="s">
        <v>100</v>
      </c>
      <c r="AB650" s="39"/>
      <c r="AD650" s="20"/>
    </row>
    <row r="651" spans="1:30" s="16" customFormat="1" hidden="1" x14ac:dyDescent="0.25">
      <c r="A651" s="16">
        <v>648</v>
      </c>
      <c r="G651" s="16" t="s">
        <v>77</v>
      </c>
      <c r="I651" s="16" t="s">
        <v>75</v>
      </c>
      <c r="L651" s="105" t="s">
        <v>99</v>
      </c>
      <c r="M651" s="17" t="str">
        <f>VLOOKUP(RiskRegister[[#This Row],[Inherent Impact LevelL3:L1020D1007L3:L1019]],'Rating factors'!$F$4:$G$9,2,FALSE)</f>
        <v>--- Error ---</v>
      </c>
      <c r="N651" s="16" t="s">
        <v>79</v>
      </c>
      <c r="O651" s="17" t="str">
        <f>VLOOKUP(RiskRegister[[#This Row],[Inherent Likelihood Level]],'Rating factors'!$F$16:$G$21,2,FALSE)</f>
        <v>--- Error ---</v>
      </c>
      <c r="P651" s="17" t="str">
        <f>IFERROR(VLOOKUP(RiskRegister[[#This Row],[Inherent Risk Rating]],'Rating factors'!$F$30:$G$44,2,FALSE),"-- Error --")</f>
        <v>-- Error --</v>
      </c>
      <c r="Q651" s="17" t="str">
        <f>IFERROR(RiskRegister[[#This Row],[Inherent Impact Rating]]*RiskRegister[[#This Row],[Inherent Likelihood Rating]],"-- Error --")</f>
        <v>-- Error --</v>
      </c>
      <c r="R651" s="16" t="s">
        <v>98</v>
      </c>
      <c r="T651" s="16" t="s">
        <v>99</v>
      </c>
      <c r="U651" s="17" t="e" cm="1">
        <f t="array" aca="1" ref="U651" ca="1">+U651:Y1019VLOOKUP(RiskRegister[[#This Row],[Residual Impact Level]],'Rating factors'!$F$4:$G$9,2,FALSE)</f>
        <v>#NAME?</v>
      </c>
      <c r="V651" s="16" t="s">
        <v>79</v>
      </c>
      <c r="W651" s="17" t="str">
        <f>VLOOKUP(RiskRegister[[#This Row],[Residual Likelihood Level]],'Rating factors'!$F$16:$G$21,2,FALSE)</f>
        <v>--- Error ---</v>
      </c>
      <c r="X651" s="17" t="str">
        <f ca="1">IFERROR(VLOOKUP(RiskRegister[[#This Row],[Residual Risk Rating]],'Rating factors'!$F$30:$G$44,2,FALSE),"-- Error --")</f>
        <v>-- Error --</v>
      </c>
      <c r="Y651" s="17" t="str">
        <f ca="1">IFERROR(RiskRegister[[#This Row],[Residual Impact Rating]]*RiskRegister[[#This Row],[Residual Likelihood Rating]],"-- Error --")</f>
        <v>-- Error --</v>
      </c>
      <c r="Z651" s="16" t="s">
        <v>100</v>
      </c>
      <c r="AB651" s="39"/>
      <c r="AD651" s="20"/>
    </row>
    <row r="652" spans="1:30" s="16" customFormat="1" hidden="1" x14ac:dyDescent="0.25">
      <c r="A652" s="16">
        <v>649</v>
      </c>
      <c r="G652" s="16" t="s">
        <v>77</v>
      </c>
      <c r="I652" s="16" t="s">
        <v>75</v>
      </c>
      <c r="L652" s="105" t="s">
        <v>99</v>
      </c>
      <c r="M652" s="17" t="str">
        <f>VLOOKUP(RiskRegister[[#This Row],[Inherent Impact LevelL3:L1020D1007L3:L1019]],'Rating factors'!$F$4:$G$9,2,FALSE)</f>
        <v>--- Error ---</v>
      </c>
      <c r="N652" s="16" t="s">
        <v>79</v>
      </c>
      <c r="O652" s="17" t="str">
        <f>VLOOKUP(RiskRegister[[#This Row],[Inherent Likelihood Level]],'Rating factors'!$F$16:$G$21,2,FALSE)</f>
        <v>--- Error ---</v>
      </c>
      <c r="P652" s="17" t="str">
        <f>IFERROR(VLOOKUP(RiskRegister[[#This Row],[Inherent Risk Rating]],'Rating factors'!$F$30:$G$44,2,FALSE),"-- Error --")</f>
        <v>-- Error --</v>
      </c>
      <c r="Q652" s="17" t="str">
        <f>IFERROR(RiskRegister[[#This Row],[Inherent Impact Rating]]*RiskRegister[[#This Row],[Inherent Likelihood Rating]],"-- Error --")</f>
        <v>-- Error --</v>
      </c>
      <c r="R652" s="16" t="s">
        <v>98</v>
      </c>
      <c r="T652" s="16" t="s">
        <v>99</v>
      </c>
      <c r="U652" s="17" t="e" cm="1">
        <f t="array" aca="1" ref="U652" ca="1">+U652:Y1019VLOOKUP(RiskRegister[[#This Row],[Residual Impact Level]],'Rating factors'!$F$4:$G$9,2,FALSE)</f>
        <v>#NAME?</v>
      </c>
      <c r="V652" s="16" t="s">
        <v>79</v>
      </c>
      <c r="W652" s="17" t="str">
        <f>VLOOKUP(RiskRegister[[#This Row],[Residual Likelihood Level]],'Rating factors'!$F$16:$G$21,2,FALSE)</f>
        <v>--- Error ---</v>
      </c>
      <c r="X652" s="17" t="str">
        <f ca="1">IFERROR(VLOOKUP(RiskRegister[[#This Row],[Residual Risk Rating]],'Rating factors'!$F$30:$G$44,2,FALSE),"-- Error --")</f>
        <v>-- Error --</v>
      </c>
      <c r="Y652" s="17" t="str">
        <f ca="1">IFERROR(RiskRegister[[#This Row],[Residual Impact Rating]]*RiskRegister[[#This Row],[Residual Likelihood Rating]],"-- Error --")</f>
        <v>-- Error --</v>
      </c>
      <c r="Z652" s="16" t="s">
        <v>100</v>
      </c>
      <c r="AB652" s="39"/>
      <c r="AD652" s="20"/>
    </row>
    <row r="653" spans="1:30" s="16" customFormat="1" hidden="1" x14ac:dyDescent="0.25">
      <c r="A653" s="16">
        <v>650</v>
      </c>
      <c r="G653" s="16" t="s">
        <v>77</v>
      </c>
      <c r="I653" s="16" t="s">
        <v>75</v>
      </c>
      <c r="L653" s="105" t="s">
        <v>99</v>
      </c>
      <c r="M653" s="17" t="str">
        <f>VLOOKUP(RiskRegister[[#This Row],[Inherent Impact LevelL3:L1020D1007L3:L1019]],'Rating factors'!$F$4:$G$9,2,FALSE)</f>
        <v>--- Error ---</v>
      </c>
      <c r="N653" s="16" t="s">
        <v>79</v>
      </c>
      <c r="O653" s="17" t="str">
        <f>VLOOKUP(RiskRegister[[#This Row],[Inherent Likelihood Level]],'Rating factors'!$F$16:$G$21,2,FALSE)</f>
        <v>--- Error ---</v>
      </c>
      <c r="P653" s="17" t="str">
        <f>IFERROR(VLOOKUP(RiskRegister[[#This Row],[Inherent Risk Rating]],'Rating factors'!$F$30:$G$44,2,FALSE),"-- Error --")</f>
        <v>-- Error --</v>
      </c>
      <c r="Q653" s="17" t="str">
        <f>IFERROR(RiskRegister[[#This Row],[Inherent Impact Rating]]*RiskRegister[[#This Row],[Inherent Likelihood Rating]],"-- Error --")</f>
        <v>-- Error --</v>
      </c>
      <c r="R653" s="16" t="s">
        <v>98</v>
      </c>
      <c r="T653" s="16" t="s">
        <v>99</v>
      </c>
      <c r="U653" s="17" t="e" cm="1">
        <f t="array" aca="1" ref="U653" ca="1">+U653:Y1019VLOOKUP(RiskRegister[[#This Row],[Residual Impact Level]],'Rating factors'!$F$4:$G$9,2,FALSE)</f>
        <v>#NAME?</v>
      </c>
      <c r="V653" s="16" t="s">
        <v>79</v>
      </c>
      <c r="W653" s="17" t="str">
        <f>VLOOKUP(RiskRegister[[#This Row],[Residual Likelihood Level]],'Rating factors'!$F$16:$G$21,2,FALSE)</f>
        <v>--- Error ---</v>
      </c>
      <c r="X653" s="17" t="str">
        <f ca="1">IFERROR(VLOOKUP(RiskRegister[[#This Row],[Residual Risk Rating]],'Rating factors'!$F$30:$G$44,2,FALSE),"-- Error --")</f>
        <v>-- Error --</v>
      </c>
      <c r="Y653" s="17" t="str">
        <f ca="1">IFERROR(RiskRegister[[#This Row],[Residual Impact Rating]]*RiskRegister[[#This Row],[Residual Likelihood Rating]],"-- Error --")</f>
        <v>-- Error --</v>
      </c>
      <c r="Z653" s="16" t="s">
        <v>100</v>
      </c>
      <c r="AB653" s="39"/>
      <c r="AD653" s="20"/>
    </row>
    <row r="654" spans="1:30" s="16" customFormat="1" hidden="1" x14ac:dyDescent="0.25">
      <c r="A654" s="16">
        <v>651</v>
      </c>
      <c r="G654" s="16" t="s">
        <v>77</v>
      </c>
      <c r="I654" s="16" t="s">
        <v>75</v>
      </c>
      <c r="L654" s="105" t="s">
        <v>99</v>
      </c>
      <c r="M654" s="17" t="str">
        <f>VLOOKUP(RiskRegister[[#This Row],[Inherent Impact LevelL3:L1020D1007L3:L1019]],'Rating factors'!$F$4:$G$9,2,FALSE)</f>
        <v>--- Error ---</v>
      </c>
      <c r="N654" s="16" t="s">
        <v>79</v>
      </c>
      <c r="O654" s="17" t="str">
        <f>VLOOKUP(RiskRegister[[#This Row],[Inherent Likelihood Level]],'Rating factors'!$F$16:$G$21,2,FALSE)</f>
        <v>--- Error ---</v>
      </c>
      <c r="P654" s="17" t="str">
        <f>IFERROR(VLOOKUP(RiskRegister[[#This Row],[Inherent Risk Rating]],'Rating factors'!$F$30:$G$44,2,FALSE),"-- Error --")</f>
        <v>-- Error --</v>
      </c>
      <c r="Q654" s="17" t="str">
        <f>IFERROR(RiskRegister[[#This Row],[Inherent Impact Rating]]*RiskRegister[[#This Row],[Inherent Likelihood Rating]],"-- Error --")</f>
        <v>-- Error --</v>
      </c>
      <c r="R654" s="16" t="s">
        <v>98</v>
      </c>
      <c r="T654" s="16" t="s">
        <v>99</v>
      </c>
      <c r="U654" s="17" t="e" cm="1">
        <f t="array" aca="1" ref="U654" ca="1">+U654:Y1019VLOOKUP(RiskRegister[[#This Row],[Residual Impact Level]],'Rating factors'!$F$4:$G$9,2,FALSE)</f>
        <v>#NAME?</v>
      </c>
      <c r="V654" s="16" t="s">
        <v>79</v>
      </c>
      <c r="W654" s="17" t="str">
        <f>VLOOKUP(RiskRegister[[#This Row],[Residual Likelihood Level]],'Rating factors'!$F$16:$G$21,2,FALSE)</f>
        <v>--- Error ---</v>
      </c>
      <c r="X654" s="17" t="str">
        <f ca="1">IFERROR(VLOOKUP(RiskRegister[[#This Row],[Residual Risk Rating]],'Rating factors'!$F$30:$G$44,2,FALSE),"-- Error --")</f>
        <v>-- Error --</v>
      </c>
      <c r="Y654" s="17" t="str">
        <f ca="1">IFERROR(RiskRegister[[#This Row],[Residual Impact Rating]]*RiskRegister[[#This Row],[Residual Likelihood Rating]],"-- Error --")</f>
        <v>-- Error --</v>
      </c>
      <c r="Z654" s="16" t="s">
        <v>100</v>
      </c>
      <c r="AB654" s="39"/>
      <c r="AD654" s="20"/>
    </row>
    <row r="655" spans="1:30" s="16" customFormat="1" hidden="1" x14ac:dyDescent="0.25">
      <c r="A655" s="16">
        <v>652</v>
      </c>
      <c r="G655" s="16" t="s">
        <v>77</v>
      </c>
      <c r="I655" s="16" t="s">
        <v>75</v>
      </c>
      <c r="L655" s="105" t="s">
        <v>99</v>
      </c>
      <c r="M655" s="17" t="str">
        <f>VLOOKUP(RiskRegister[[#This Row],[Inherent Impact LevelL3:L1020D1007L3:L1019]],'Rating factors'!$F$4:$G$9,2,FALSE)</f>
        <v>--- Error ---</v>
      </c>
      <c r="N655" s="16" t="s">
        <v>79</v>
      </c>
      <c r="O655" s="17" t="str">
        <f>VLOOKUP(RiskRegister[[#This Row],[Inherent Likelihood Level]],'Rating factors'!$F$16:$G$21,2,FALSE)</f>
        <v>--- Error ---</v>
      </c>
      <c r="P655" s="17" t="str">
        <f>IFERROR(VLOOKUP(RiskRegister[[#This Row],[Inherent Risk Rating]],'Rating factors'!$F$30:$G$44,2,FALSE),"-- Error --")</f>
        <v>-- Error --</v>
      </c>
      <c r="Q655" s="17" t="str">
        <f>IFERROR(RiskRegister[[#This Row],[Inherent Impact Rating]]*RiskRegister[[#This Row],[Inherent Likelihood Rating]],"-- Error --")</f>
        <v>-- Error --</v>
      </c>
      <c r="R655" s="16" t="s">
        <v>98</v>
      </c>
      <c r="T655" s="16" t="s">
        <v>99</v>
      </c>
      <c r="U655" s="17" t="e" cm="1">
        <f t="array" aca="1" ref="U655" ca="1">+U655:Y1019VLOOKUP(RiskRegister[[#This Row],[Residual Impact Level]],'Rating factors'!$F$4:$G$9,2,FALSE)</f>
        <v>#NAME?</v>
      </c>
      <c r="V655" s="16" t="s">
        <v>79</v>
      </c>
      <c r="W655" s="17" t="str">
        <f>VLOOKUP(RiskRegister[[#This Row],[Residual Likelihood Level]],'Rating factors'!$F$16:$G$21,2,FALSE)</f>
        <v>--- Error ---</v>
      </c>
      <c r="X655" s="17" t="str">
        <f ca="1">IFERROR(VLOOKUP(RiskRegister[[#This Row],[Residual Risk Rating]],'Rating factors'!$F$30:$G$44,2,FALSE),"-- Error --")</f>
        <v>-- Error --</v>
      </c>
      <c r="Y655" s="17" t="str">
        <f ca="1">IFERROR(RiskRegister[[#This Row],[Residual Impact Rating]]*RiskRegister[[#This Row],[Residual Likelihood Rating]],"-- Error --")</f>
        <v>-- Error --</v>
      </c>
      <c r="Z655" s="16" t="s">
        <v>100</v>
      </c>
      <c r="AB655" s="39"/>
      <c r="AD655" s="20"/>
    </row>
    <row r="656" spans="1:30" s="16" customFormat="1" hidden="1" x14ac:dyDescent="0.25">
      <c r="A656" s="16">
        <v>653</v>
      </c>
      <c r="G656" s="16" t="s">
        <v>77</v>
      </c>
      <c r="I656" s="16" t="s">
        <v>75</v>
      </c>
      <c r="L656" s="105" t="s">
        <v>99</v>
      </c>
      <c r="M656" s="17" t="str">
        <f>VLOOKUP(RiskRegister[[#This Row],[Inherent Impact LevelL3:L1020D1007L3:L1019]],'Rating factors'!$F$4:$G$9,2,FALSE)</f>
        <v>--- Error ---</v>
      </c>
      <c r="N656" s="16" t="s">
        <v>79</v>
      </c>
      <c r="O656" s="17" t="str">
        <f>VLOOKUP(RiskRegister[[#This Row],[Inherent Likelihood Level]],'Rating factors'!$F$16:$G$21,2,FALSE)</f>
        <v>--- Error ---</v>
      </c>
      <c r="P656" s="17" t="str">
        <f>IFERROR(VLOOKUP(RiskRegister[[#This Row],[Inherent Risk Rating]],'Rating factors'!$F$30:$G$44,2,FALSE),"-- Error --")</f>
        <v>-- Error --</v>
      </c>
      <c r="Q656" s="17" t="str">
        <f>IFERROR(RiskRegister[[#This Row],[Inherent Impact Rating]]*RiskRegister[[#This Row],[Inherent Likelihood Rating]],"-- Error --")</f>
        <v>-- Error --</v>
      </c>
      <c r="R656" s="16" t="s">
        <v>98</v>
      </c>
      <c r="T656" s="16" t="s">
        <v>99</v>
      </c>
      <c r="U656" s="17" t="e" cm="1">
        <f t="array" aca="1" ref="U656" ca="1">+U656:Y1019VLOOKUP(RiskRegister[[#This Row],[Residual Impact Level]],'Rating factors'!$F$4:$G$9,2,FALSE)</f>
        <v>#NAME?</v>
      </c>
      <c r="V656" s="16" t="s">
        <v>79</v>
      </c>
      <c r="W656" s="17" t="str">
        <f>VLOOKUP(RiskRegister[[#This Row],[Residual Likelihood Level]],'Rating factors'!$F$16:$G$21,2,FALSE)</f>
        <v>--- Error ---</v>
      </c>
      <c r="X656" s="17" t="str">
        <f ca="1">IFERROR(VLOOKUP(RiskRegister[[#This Row],[Residual Risk Rating]],'Rating factors'!$F$30:$G$44,2,FALSE),"-- Error --")</f>
        <v>-- Error --</v>
      </c>
      <c r="Y656" s="17" t="str">
        <f ca="1">IFERROR(RiskRegister[[#This Row],[Residual Impact Rating]]*RiskRegister[[#This Row],[Residual Likelihood Rating]],"-- Error --")</f>
        <v>-- Error --</v>
      </c>
      <c r="Z656" s="16" t="s">
        <v>100</v>
      </c>
      <c r="AB656" s="39"/>
      <c r="AD656" s="20"/>
    </row>
    <row r="657" spans="1:30" s="16" customFormat="1" hidden="1" x14ac:dyDescent="0.25">
      <c r="A657" s="16">
        <v>654</v>
      </c>
      <c r="G657" s="16" t="s">
        <v>77</v>
      </c>
      <c r="I657" s="16" t="s">
        <v>75</v>
      </c>
      <c r="L657" s="105" t="s">
        <v>99</v>
      </c>
      <c r="M657" s="17" t="str">
        <f>VLOOKUP(RiskRegister[[#This Row],[Inherent Impact LevelL3:L1020D1007L3:L1019]],'Rating factors'!$F$4:$G$9,2,FALSE)</f>
        <v>--- Error ---</v>
      </c>
      <c r="N657" s="16" t="s">
        <v>79</v>
      </c>
      <c r="O657" s="17" t="str">
        <f>VLOOKUP(RiskRegister[[#This Row],[Inherent Likelihood Level]],'Rating factors'!$F$16:$G$21,2,FALSE)</f>
        <v>--- Error ---</v>
      </c>
      <c r="P657" s="17" t="str">
        <f>IFERROR(VLOOKUP(RiskRegister[[#This Row],[Inherent Risk Rating]],'Rating factors'!$F$30:$G$44,2,FALSE),"-- Error --")</f>
        <v>-- Error --</v>
      </c>
      <c r="Q657" s="17" t="str">
        <f>IFERROR(RiskRegister[[#This Row],[Inherent Impact Rating]]*RiskRegister[[#This Row],[Inherent Likelihood Rating]],"-- Error --")</f>
        <v>-- Error --</v>
      </c>
      <c r="R657" s="16" t="s">
        <v>98</v>
      </c>
      <c r="T657" s="16" t="s">
        <v>99</v>
      </c>
      <c r="U657" s="17" t="e" cm="1">
        <f t="array" aca="1" ref="U657" ca="1">+U657:Y1019VLOOKUP(RiskRegister[[#This Row],[Residual Impact Level]],'Rating factors'!$F$4:$G$9,2,FALSE)</f>
        <v>#NAME?</v>
      </c>
      <c r="V657" s="16" t="s">
        <v>79</v>
      </c>
      <c r="W657" s="17" t="str">
        <f>VLOOKUP(RiskRegister[[#This Row],[Residual Likelihood Level]],'Rating factors'!$F$16:$G$21,2,FALSE)</f>
        <v>--- Error ---</v>
      </c>
      <c r="X657" s="17" t="str">
        <f ca="1">IFERROR(VLOOKUP(RiskRegister[[#This Row],[Residual Risk Rating]],'Rating factors'!$F$30:$G$44,2,FALSE),"-- Error --")</f>
        <v>-- Error --</v>
      </c>
      <c r="Y657" s="17" t="str">
        <f ca="1">IFERROR(RiskRegister[[#This Row],[Residual Impact Rating]]*RiskRegister[[#This Row],[Residual Likelihood Rating]],"-- Error --")</f>
        <v>-- Error --</v>
      </c>
      <c r="Z657" s="16" t="s">
        <v>100</v>
      </c>
      <c r="AB657" s="39"/>
      <c r="AD657" s="20"/>
    </row>
    <row r="658" spans="1:30" s="16" customFormat="1" hidden="1" x14ac:dyDescent="0.25">
      <c r="A658" s="16">
        <v>655</v>
      </c>
      <c r="G658" s="16" t="s">
        <v>77</v>
      </c>
      <c r="I658" s="16" t="s">
        <v>75</v>
      </c>
      <c r="L658" s="105" t="s">
        <v>99</v>
      </c>
      <c r="M658" s="17" t="str">
        <f>VLOOKUP(RiskRegister[[#This Row],[Inherent Impact LevelL3:L1020D1007L3:L1019]],'Rating factors'!$F$4:$G$9,2,FALSE)</f>
        <v>--- Error ---</v>
      </c>
      <c r="N658" s="16" t="s">
        <v>79</v>
      </c>
      <c r="O658" s="17" t="str">
        <f>VLOOKUP(RiskRegister[[#This Row],[Inherent Likelihood Level]],'Rating factors'!$F$16:$G$21,2,FALSE)</f>
        <v>--- Error ---</v>
      </c>
      <c r="P658" s="17" t="str">
        <f>IFERROR(VLOOKUP(RiskRegister[[#This Row],[Inherent Risk Rating]],'Rating factors'!$F$30:$G$44,2,FALSE),"-- Error --")</f>
        <v>-- Error --</v>
      </c>
      <c r="Q658" s="17" t="str">
        <f>IFERROR(RiskRegister[[#This Row],[Inherent Impact Rating]]*RiskRegister[[#This Row],[Inherent Likelihood Rating]],"-- Error --")</f>
        <v>-- Error --</v>
      </c>
      <c r="R658" s="16" t="s">
        <v>98</v>
      </c>
      <c r="T658" s="16" t="s">
        <v>99</v>
      </c>
      <c r="U658" s="17" t="e" cm="1">
        <f t="array" aca="1" ref="U658" ca="1">+U658:Y1019VLOOKUP(RiskRegister[[#This Row],[Residual Impact Level]],'Rating factors'!$F$4:$G$9,2,FALSE)</f>
        <v>#NAME?</v>
      </c>
      <c r="V658" s="16" t="s">
        <v>79</v>
      </c>
      <c r="W658" s="17" t="str">
        <f>VLOOKUP(RiskRegister[[#This Row],[Residual Likelihood Level]],'Rating factors'!$F$16:$G$21,2,FALSE)</f>
        <v>--- Error ---</v>
      </c>
      <c r="X658" s="17" t="str">
        <f ca="1">IFERROR(VLOOKUP(RiskRegister[[#This Row],[Residual Risk Rating]],'Rating factors'!$F$30:$G$44,2,FALSE),"-- Error --")</f>
        <v>-- Error --</v>
      </c>
      <c r="Y658" s="17" t="str">
        <f ca="1">IFERROR(RiskRegister[[#This Row],[Residual Impact Rating]]*RiskRegister[[#This Row],[Residual Likelihood Rating]],"-- Error --")</f>
        <v>-- Error --</v>
      </c>
      <c r="Z658" s="16" t="s">
        <v>100</v>
      </c>
      <c r="AB658" s="39"/>
      <c r="AD658" s="20"/>
    </row>
    <row r="659" spans="1:30" s="16" customFormat="1" hidden="1" x14ac:dyDescent="0.25">
      <c r="A659" s="16">
        <v>656</v>
      </c>
      <c r="G659" s="16" t="s">
        <v>77</v>
      </c>
      <c r="I659" s="16" t="s">
        <v>75</v>
      </c>
      <c r="L659" s="105" t="s">
        <v>99</v>
      </c>
      <c r="M659" s="17" t="str">
        <f>VLOOKUP(RiskRegister[[#This Row],[Inherent Impact LevelL3:L1020D1007L3:L1019]],'Rating factors'!$F$4:$G$9,2,FALSE)</f>
        <v>--- Error ---</v>
      </c>
      <c r="N659" s="16" t="s">
        <v>79</v>
      </c>
      <c r="O659" s="17" t="str">
        <f>VLOOKUP(RiskRegister[[#This Row],[Inherent Likelihood Level]],'Rating factors'!$F$16:$G$21,2,FALSE)</f>
        <v>--- Error ---</v>
      </c>
      <c r="P659" s="17" t="str">
        <f>IFERROR(VLOOKUP(RiskRegister[[#This Row],[Inherent Risk Rating]],'Rating factors'!$F$30:$G$44,2,FALSE),"-- Error --")</f>
        <v>-- Error --</v>
      </c>
      <c r="Q659" s="17" t="str">
        <f>IFERROR(RiskRegister[[#This Row],[Inherent Impact Rating]]*RiskRegister[[#This Row],[Inherent Likelihood Rating]],"-- Error --")</f>
        <v>-- Error --</v>
      </c>
      <c r="R659" s="16" t="s">
        <v>98</v>
      </c>
      <c r="T659" s="16" t="s">
        <v>99</v>
      </c>
      <c r="U659" s="17" t="e" cm="1">
        <f t="array" aca="1" ref="U659" ca="1">+U659:Y1019VLOOKUP(RiskRegister[[#This Row],[Residual Impact Level]],'Rating factors'!$F$4:$G$9,2,FALSE)</f>
        <v>#NAME?</v>
      </c>
      <c r="V659" s="16" t="s">
        <v>79</v>
      </c>
      <c r="W659" s="17" t="str">
        <f>VLOOKUP(RiskRegister[[#This Row],[Residual Likelihood Level]],'Rating factors'!$F$16:$G$21,2,FALSE)</f>
        <v>--- Error ---</v>
      </c>
      <c r="X659" s="17" t="str">
        <f ca="1">IFERROR(VLOOKUP(RiskRegister[[#This Row],[Residual Risk Rating]],'Rating factors'!$F$30:$G$44,2,FALSE),"-- Error --")</f>
        <v>-- Error --</v>
      </c>
      <c r="Y659" s="17" t="str">
        <f ca="1">IFERROR(RiskRegister[[#This Row],[Residual Impact Rating]]*RiskRegister[[#This Row],[Residual Likelihood Rating]],"-- Error --")</f>
        <v>-- Error --</v>
      </c>
      <c r="Z659" s="16" t="s">
        <v>100</v>
      </c>
      <c r="AB659" s="39"/>
      <c r="AD659" s="20"/>
    </row>
    <row r="660" spans="1:30" s="16" customFormat="1" hidden="1" x14ac:dyDescent="0.25">
      <c r="A660" s="16">
        <v>657</v>
      </c>
      <c r="G660" s="16" t="s">
        <v>77</v>
      </c>
      <c r="I660" s="16" t="s">
        <v>75</v>
      </c>
      <c r="L660" s="105" t="s">
        <v>99</v>
      </c>
      <c r="M660" s="17" t="str">
        <f>VLOOKUP(RiskRegister[[#This Row],[Inherent Impact LevelL3:L1020D1007L3:L1019]],'Rating factors'!$F$4:$G$9,2,FALSE)</f>
        <v>--- Error ---</v>
      </c>
      <c r="N660" s="16" t="s">
        <v>79</v>
      </c>
      <c r="O660" s="17" t="str">
        <f>VLOOKUP(RiskRegister[[#This Row],[Inherent Likelihood Level]],'Rating factors'!$F$16:$G$21,2,FALSE)</f>
        <v>--- Error ---</v>
      </c>
      <c r="P660" s="17" t="str">
        <f>IFERROR(VLOOKUP(RiskRegister[[#This Row],[Inherent Risk Rating]],'Rating factors'!$F$30:$G$44,2,FALSE),"-- Error --")</f>
        <v>-- Error --</v>
      </c>
      <c r="Q660" s="17" t="str">
        <f>IFERROR(RiskRegister[[#This Row],[Inherent Impact Rating]]*RiskRegister[[#This Row],[Inherent Likelihood Rating]],"-- Error --")</f>
        <v>-- Error --</v>
      </c>
      <c r="R660" s="16" t="s">
        <v>98</v>
      </c>
      <c r="T660" s="16" t="s">
        <v>99</v>
      </c>
      <c r="U660" s="17" t="e" cm="1">
        <f t="array" aca="1" ref="U660" ca="1">+U660:Y1019VLOOKUP(RiskRegister[[#This Row],[Residual Impact Level]],'Rating factors'!$F$4:$G$9,2,FALSE)</f>
        <v>#NAME?</v>
      </c>
      <c r="V660" s="16" t="s">
        <v>79</v>
      </c>
      <c r="W660" s="17" t="str">
        <f>VLOOKUP(RiskRegister[[#This Row],[Residual Likelihood Level]],'Rating factors'!$F$16:$G$21,2,FALSE)</f>
        <v>--- Error ---</v>
      </c>
      <c r="X660" s="17" t="str">
        <f ca="1">IFERROR(VLOOKUP(RiskRegister[[#This Row],[Residual Risk Rating]],'Rating factors'!$F$30:$G$44,2,FALSE),"-- Error --")</f>
        <v>-- Error --</v>
      </c>
      <c r="Y660" s="17" t="str">
        <f ca="1">IFERROR(RiskRegister[[#This Row],[Residual Impact Rating]]*RiskRegister[[#This Row],[Residual Likelihood Rating]],"-- Error --")</f>
        <v>-- Error --</v>
      </c>
      <c r="Z660" s="16" t="s">
        <v>100</v>
      </c>
      <c r="AB660" s="39"/>
      <c r="AD660" s="20"/>
    </row>
    <row r="661" spans="1:30" s="16" customFormat="1" hidden="1" x14ac:dyDescent="0.25">
      <c r="A661" s="16">
        <v>658</v>
      </c>
      <c r="G661" s="16" t="s">
        <v>77</v>
      </c>
      <c r="I661" s="16" t="s">
        <v>75</v>
      </c>
      <c r="L661" s="105" t="s">
        <v>99</v>
      </c>
      <c r="M661" s="17" t="str">
        <f>VLOOKUP(RiskRegister[[#This Row],[Inherent Impact LevelL3:L1020D1007L3:L1019]],'Rating factors'!$F$4:$G$9,2,FALSE)</f>
        <v>--- Error ---</v>
      </c>
      <c r="N661" s="16" t="s">
        <v>79</v>
      </c>
      <c r="O661" s="17" t="str">
        <f>VLOOKUP(RiskRegister[[#This Row],[Inherent Likelihood Level]],'Rating factors'!$F$16:$G$21,2,FALSE)</f>
        <v>--- Error ---</v>
      </c>
      <c r="P661" s="17" t="str">
        <f>IFERROR(VLOOKUP(RiskRegister[[#This Row],[Inherent Risk Rating]],'Rating factors'!$F$30:$G$44,2,FALSE),"-- Error --")</f>
        <v>-- Error --</v>
      </c>
      <c r="Q661" s="17" t="str">
        <f>IFERROR(RiskRegister[[#This Row],[Inherent Impact Rating]]*RiskRegister[[#This Row],[Inherent Likelihood Rating]],"-- Error --")</f>
        <v>-- Error --</v>
      </c>
      <c r="R661" s="16" t="s">
        <v>98</v>
      </c>
      <c r="T661" s="16" t="s">
        <v>99</v>
      </c>
      <c r="U661" s="17" t="e" cm="1">
        <f t="array" aca="1" ref="U661" ca="1">+U661:Y1019VLOOKUP(RiskRegister[[#This Row],[Residual Impact Level]],'Rating factors'!$F$4:$G$9,2,FALSE)</f>
        <v>#NAME?</v>
      </c>
      <c r="V661" s="16" t="s">
        <v>79</v>
      </c>
      <c r="W661" s="17" t="str">
        <f>VLOOKUP(RiskRegister[[#This Row],[Residual Likelihood Level]],'Rating factors'!$F$16:$G$21,2,FALSE)</f>
        <v>--- Error ---</v>
      </c>
      <c r="X661" s="17" t="str">
        <f ca="1">IFERROR(VLOOKUP(RiskRegister[[#This Row],[Residual Risk Rating]],'Rating factors'!$F$30:$G$44,2,FALSE),"-- Error --")</f>
        <v>-- Error --</v>
      </c>
      <c r="Y661" s="17" t="str">
        <f ca="1">IFERROR(RiskRegister[[#This Row],[Residual Impact Rating]]*RiskRegister[[#This Row],[Residual Likelihood Rating]],"-- Error --")</f>
        <v>-- Error --</v>
      </c>
      <c r="Z661" s="16" t="s">
        <v>100</v>
      </c>
      <c r="AB661" s="39"/>
      <c r="AD661" s="20"/>
    </row>
    <row r="662" spans="1:30" s="16" customFormat="1" hidden="1" x14ac:dyDescent="0.25">
      <c r="A662" s="16">
        <v>659</v>
      </c>
      <c r="G662" s="16" t="s">
        <v>77</v>
      </c>
      <c r="I662" s="16" t="s">
        <v>75</v>
      </c>
      <c r="L662" s="105" t="s">
        <v>99</v>
      </c>
      <c r="M662" s="17" t="str">
        <f>VLOOKUP(RiskRegister[[#This Row],[Inherent Impact LevelL3:L1020D1007L3:L1019]],'Rating factors'!$F$4:$G$9,2,FALSE)</f>
        <v>--- Error ---</v>
      </c>
      <c r="N662" s="16" t="s">
        <v>79</v>
      </c>
      <c r="O662" s="17" t="str">
        <f>VLOOKUP(RiskRegister[[#This Row],[Inherent Likelihood Level]],'Rating factors'!$F$16:$G$21,2,FALSE)</f>
        <v>--- Error ---</v>
      </c>
      <c r="P662" s="17" t="str">
        <f>IFERROR(VLOOKUP(RiskRegister[[#This Row],[Inherent Risk Rating]],'Rating factors'!$F$30:$G$44,2,FALSE),"-- Error --")</f>
        <v>-- Error --</v>
      </c>
      <c r="Q662" s="17" t="str">
        <f>IFERROR(RiskRegister[[#This Row],[Inherent Impact Rating]]*RiskRegister[[#This Row],[Inherent Likelihood Rating]],"-- Error --")</f>
        <v>-- Error --</v>
      </c>
      <c r="R662" s="16" t="s">
        <v>98</v>
      </c>
      <c r="T662" s="16" t="s">
        <v>99</v>
      </c>
      <c r="U662" s="17" t="e" cm="1">
        <f t="array" aca="1" ref="U662" ca="1">+U662:Y1019VLOOKUP(RiskRegister[[#This Row],[Residual Impact Level]],'Rating factors'!$F$4:$G$9,2,FALSE)</f>
        <v>#NAME?</v>
      </c>
      <c r="V662" s="16" t="s">
        <v>79</v>
      </c>
      <c r="W662" s="17" t="str">
        <f>VLOOKUP(RiskRegister[[#This Row],[Residual Likelihood Level]],'Rating factors'!$F$16:$G$21,2,FALSE)</f>
        <v>--- Error ---</v>
      </c>
      <c r="X662" s="17" t="str">
        <f ca="1">IFERROR(VLOOKUP(RiskRegister[[#This Row],[Residual Risk Rating]],'Rating factors'!$F$30:$G$44,2,FALSE),"-- Error --")</f>
        <v>-- Error --</v>
      </c>
      <c r="Y662" s="17" t="str">
        <f ca="1">IFERROR(RiskRegister[[#This Row],[Residual Impact Rating]]*RiskRegister[[#This Row],[Residual Likelihood Rating]],"-- Error --")</f>
        <v>-- Error --</v>
      </c>
      <c r="Z662" s="16" t="s">
        <v>100</v>
      </c>
      <c r="AB662" s="39"/>
      <c r="AD662" s="20"/>
    </row>
    <row r="663" spans="1:30" s="16" customFormat="1" hidden="1" x14ac:dyDescent="0.25">
      <c r="A663" s="16">
        <v>660</v>
      </c>
      <c r="G663" s="16" t="s">
        <v>77</v>
      </c>
      <c r="I663" s="16" t="s">
        <v>75</v>
      </c>
      <c r="L663" s="105" t="s">
        <v>99</v>
      </c>
      <c r="M663" s="17" t="str">
        <f>VLOOKUP(RiskRegister[[#This Row],[Inherent Impact LevelL3:L1020D1007L3:L1019]],'Rating factors'!$F$4:$G$9,2,FALSE)</f>
        <v>--- Error ---</v>
      </c>
      <c r="N663" s="16" t="s">
        <v>79</v>
      </c>
      <c r="O663" s="17" t="str">
        <f>VLOOKUP(RiskRegister[[#This Row],[Inherent Likelihood Level]],'Rating factors'!$F$16:$G$21,2,FALSE)</f>
        <v>--- Error ---</v>
      </c>
      <c r="P663" s="17" t="str">
        <f>IFERROR(VLOOKUP(RiskRegister[[#This Row],[Inherent Risk Rating]],'Rating factors'!$F$30:$G$44,2,FALSE),"-- Error --")</f>
        <v>-- Error --</v>
      </c>
      <c r="Q663" s="17" t="str">
        <f>IFERROR(RiskRegister[[#This Row],[Inherent Impact Rating]]*RiskRegister[[#This Row],[Inherent Likelihood Rating]],"-- Error --")</f>
        <v>-- Error --</v>
      </c>
      <c r="R663" s="16" t="s">
        <v>98</v>
      </c>
      <c r="T663" s="16" t="s">
        <v>99</v>
      </c>
      <c r="U663" s="17" t="e" cm="1">
        <f t="array" aca="1" ref="U663" ca="1">+U663:Y1019VLOOKUP(RiskRegister[[#This Row],[Residual Impact Level]],'Rating factors'!$F$4:$G$9,2,FALSE)</f>
        <v>#NAME?</v>
      </c>
      <c r="V663" s="16" t="s">
        <v>79</v>
      </c>
      <c r="W663" s="17" t="str">
        <f>VLOOKUP(RiskRegister[[#This Row],[Residual Likelihood Level]],'Rating factors'!$F$16:$G$21,2,FALSE)</f>
        <v>--- Error ---</v>
      </c>
      <c r="X663" s="17" t="str">
        <f ca="1">IFERROR(VLOOKUP(RiskRegister[[#This Row],[Residual Risk Rating]],'Rating factors'!$F$30:$G$44,2,FALSE),"-- Error --")</f>
        <v>-- Error --</v>
      </c>
      <c r="Y663" s="17" t="str">
        <f ca="1">IFERROR(RiskRegister[[#This Row],[Residual Impact Rating]]*RiskRegister[[#This Row],[Residual Likelihood Rating]],"-- Error --")</f>
        <v>-- Error --</v>
      </c>
      <c r="Z663" s="16" t="s">
        <v>100</v>
      </c>
      <c r="AB663" s="39"/>
      <c r="AD663" s="20"/>
    </row>
    <row r="664" spans="1:30" s="16" customFormat="1" hidden="1" x14ac:dyDescent="0.25">
      <c r="A664" s="16">
        <v>661</v>
      </c>
      <c r="G664" s="16" t="s">
        <v>77</v>
      </c>
      <c r="I664" s="16" t="s">
        <v>75</v>
      </c>
      <c r="L664" s="105" t="s">
        <v>99</v>
      </c>
      <c r="M664" s="17" t="str">
        <f>VLOOKUP(RiskRegister[[#This Row],[Inherent Impact LevelL3:L1020D1007L3:L1019]],'Rating factors'!$F$4:$G$9,2,FALSE)</f>
        <v>--- Error ---</v>
      </c>
      <c r="N664" s="16" t="s">
        <v>79</v>
      </c>
      <c r="O664" s="17" t="str">
        <f>VLOOKUP(RiskRegister[[#This Row],[Inherent Likelihood Level]],'Rating factors'!$F$16:$G$21,2,FALSE)</f>
        <v>--- Error ---</v>
      </c>
      <c r="P664" s="17" t="str">
        <f>IFERROR(VLOOKUP(RiskRegister[[#This Row],[Inherent Risk Rating]],'Rating factors'!$F$30:$G$44,2,FALSE),"-- Error --")</f>
        <v>-- Error --</v>
      </c>
      <c r="Q664" s="17" t="str">
        <f>IFERROR(RiskRegister[[#This Row],[Inherent Impact Rating]]*RiskRegister[[#This Row],[Inherent Likelihood Rating]],"-- Error --")</f>
        <v>-- Error --</v>
      </c>
      <c r="R664" s="16" t="s">
        <v>98</v>
      </c>
      <c r="T664" s="16" t="s">
        <v>99</v>
      </c>
      <c r="U664" s="17" t="e" cm="1">
        <f t="array" aca="1" ref="U664" ca="1">+U664:Y1019VLOOKUP(RiskRegister[[#This Row],[Residual Impact Level]],'Rating factors'!$F$4:$G$9,2,FALSE)</f>
        <v>#NAME?</v>
      </c>
      <c r="V664" s="16" t="s">
        <v>79</v>
      </c>
      <c r="W664" s="17" t="str">
        <f>VLOOKUP(RiskRegister[[#This Row],[Residual Likelihood Level]],'Rating factors'!$F$16:$G$21,2,FALSE)</f>
        <v>--- Error ---</v>
      </c>
      <c r="X664" s="17" t="str">
        <f ca="1">IFERROR(VLOOKUP(RiskRegister[[#This Row],[Residual Risk Rating]],'Rating factors'!$F$30:$G$44,2,FALSE),"-- Error --")</f>
        <v>-- Error --</v>
      </c>
      <c r="Y664" s="17" t="str">
        <f ca="1">IFERROR(RiskRegister[[#This Row],[Residual Impact Rating]]*RiskRegister[[#This Row],[Residual Likelihood Rating]],"-- Error --")</f>
        <v>-- Error --</v>
      </c>
      <c r="Z664" s="16" t="s">
        <v>100</v>
      </c>
      <c r="AB664" s="39"/>
      <c r="AD664" s="20"/>
    </row>
    <row r="665" spans="1:30" s="16" customFormat="1" hidden="1" x14ac:dyDescent="0.25">
      <c r="A665" s="16">
        <v>662</v>
      </c>
      <c r="G665" s="16" t="s">
        <v>77</v>
      </c>
      <c r="I665" s="16" t="s">
        <v>75</v>
      </c>
      <c r="L665" s="105" t="s">
        <v>99</v>
      </c>
      <c r="M665" s="17" t="str">
        <f>VLOOKUP(RiskRegister[[#This Row],[Inherent Impact LevelL3:L1020D1007L3:L1019]],'Rating factors'!$F$4:$G$9,2,FALSE)</f>
        <v>--- Error ---</v>
      </c>
      <c r="N665" s="16" t="s">
        <v>79</v>
      </c>
      <c r="O665" s="17" t="str">
        <f>VLOOKUP(RiskRegister[[#This Row],[Inherent Likelihood Level]],'Rating factors'!$F$16:$G$21,2,FALSE)</f>
        <v>--- Error ---</v>
      </c>
      <c r="P665" s="17" t="str">
        <f>IFERROR(VLOOKUP(RiskRegister[[#This Row],[Inherent Risk Rating]],'Rating factors'!$F$30:$G$44,2,FALSE),"-- Error --")</f>
        <v>-- Error --</v>
      </c>
      <c r="Q665" s="17" t="str">
        <f>IFERROR(RiskRegister[[#This Row],[Inherent Impact Rating]]*RiskRegister[[#This Row],[Inherent Likelihood Rating]],"-- Error --")</f>
        <v>-- Error --</v>
      </c>
      <c r="R665" s="16" t="s">
        <v>98</v>
      </c>
      <c r="T665" s="16" t="s">
        <v>99</v>
      </c>
      <c r="U665" s="17" t="e" cm="1">
        <f t="array" aca="1" ref="U665" ca="1">+U665:Y1019VLOOKUP(RiskRegister[[#This Row],[Residual Impact Level]],'Rating factors'!$F$4:$G$9,2,FALSE)</f>
        <v>#NAME?</v>
      </c>
      <c r="V665" s="16" t="s">
        <v>79</v>
      </c>
      <c r="W665" s="17" t="str">
        <f>VLOOKUP(RiskRegister[[#This Row],[Residual Likelihood Level]],'Rating factors'!$F$16:$G$21,2,FALSE)</f>
        <v>--- Error ---</v>
      </c>
      <c r="X665" s="17" t="str">
        <f ca="1">IFERROR(VLOOKUP(RiskRegister[[#This Row],[Residual Risk Rating]],'Rating factors'!$F$30:$G$44,2,FALSE),"-- Error --")</f>
        <v>-- Error --</v>
      </c>
      <c r="Y665" s="17" t="str">
        <f ca="1">IFERROR(RiskRegister[[#This Row],[Residual Impact Rating]]*RiskRegister[[#This Row],[Residual Likelihood Rating]],"-- Error --")</f>
        <v>-- Error --</v>
      </c>
      <c r="Z665" s="16" t="s">
        <v>100</v>
      </c>
      <c r="AB665" s="39"/>
      <c r="AD665" s="20"/>
    </row>
    <row r="666" spans="1:30" s="16" customFormat="1" hidden="1" x14ac:dyDescent="0.25">
      <c r="A666" s="16">
        <v>663</v>
      </c>
      <c r="G666" s="16" t="s">
        <v>77</v>
      </c>
      <c r="I666" s="16" t="s">
        <v>75</v>
      </c>
      <c r="L666" s="105" t="s">
        <v>99</v>
      </c>
      <c r="M666" s="17" t="str">
        <f>VLOOKUP(RiskRegister[[#This Row],[Inherent Impact LevelL3:L1020D1007L3:L1019]],'Rating factors'!$F$4:$G$9,2,FALSE)</f>
        <v>--- Error ---</v>
      </c>
      <c r="N666" s="16" t="s">
        <v>79</v>
      </c>
      <c r="O666" s="17" t="str">
        <f>VLOOKUP(RiskRegister[[#This Row],[Inherent Likelihood Level]],'Rating factors'!$F$16:$G$21,2,FALSE)</f>
        <v>--- Error ---</v>
      </c>
      <c r="P666" s="17" t="str">
        <f>IFERROR(VLOOKUP(RiskRegister[[#This Row],[Inherent Risk Rating]],'Rating factors'!$F$30:$G$44,2,FALSE),"-- Error --")</f>
        <v>-- Error --</v>
      </c>
      <c r="Q666" s="17" t="str">
        <f>IFERROR(RiskRegister[[#This Row],[Inherent Impact Rating]]*RiskRegister[[#This Row],[Inherent Likelihood Rating]],"-- Error --")</f>
        <v>-- Error --</v>
      </c>
      <c r="R666" s="16" t="s">
        <v>98</v>
      </c>
      <c r="T666" s="16" t="s">
        <v>99</v>
      </c>
      <c r="U666" s="17" t="e" cm="1">
        <f t="array" aca="1" ref="U666" ca="1">+U666:Y1019VLOOKUP(RiskRegister[[#This Row],[Residual Impact Level]],'Rating factors'!$F$4:$G$9,2,FALSE)</f>
        <v>#NAME?</v>
      </c>
      <c r="V666" s="16" t="s">
        <v>79</v>
      </c>
      <c r="W666" s="17" t="str">
        <f>VLOOKUP(RiskRegister[[#This Row],[Residual Likelihood Level]],'Rating factors'!$F$16:$G$21,2,FALSE)</f>
        <v>--- Error ---</v>
      </c>
      <c r="X666" s="17" t="str">
        <f ca="1">IFERROR(VLOOKUP(RiskRegister[[#This Row],[Residual Risk Rating]],'Rating factors'!$F$30:$G$44,2,FALSE),"-- Error --")</f>
        <v>-- Error --</v>
      </c>
      <c r="Y666" s="17" t="str">
        <f ca="1">IFERROR(RiskRegister[[#This Row],[Residual Impact Rating]]*RiskRegister[[#This Row],[Residual Likelihood Rating]],"-- Error --")</f>
        <v>-- Error --</v>
      </c>
      <c r="Z666" s="16" t="s">
        <v>100</v>
      </c>
      <c r="AB666" s="39"/>
      <c r="AD666" s="20"/>
    </row>
    <row r="667" spans="1:30" s="16" customFormat="1" hidden="1" x14ac:dyDescent="0.25">
      <c r="A667" s="16">
        <v>664</v>
      </c>
      <c r="G667" s="16" t="s">
        <v>77</v>
      </c>
      <c r="I667" s="16" t="s">
        <v>75</v>
      </c>
      <c r="L667" s="105" t="s">
        <v>99</v>
      </c>
      <c r="M667" s="17" t="str">
        <f>VLOOKUP(RiskRegister[[#This Row],[Inherent Impact LevelL3:L1020D1007L3:L1019]],'Rating factors'!$F$4:$G$9,2,FALSE)</f>
        <v>--- Error ---</v>
      </c>
      <c r="N667" s="16" t="s">
        <v>79</v>
      </c>
      <c r="O667" s="17" t="str">
        <f>VLOOKUP(RiskRegister[[#This Row],[Inherent Likelihood Level]],'Rating factors'!$F$16:$G$21,2,FALSE)</f>
        <v>--- Error ---</v>
      </c>
      <c r="P667" s="17" t="str">
        <f>IFERROR(VLOOKUP(RiskRegister[[#This Row],[Inherent Risk Rating]],'Rating factors'!$F$30:$G$44,2,FALSE),"-- Error --")</f>
        <v>-- Error --</v>
      </c>
      <c r="Q667" s="17" t="str">
        <f>IFERROR(RiskRegister[[#This Row],[Inherent Impact Rating]]*RiskRegister[[#This Row],[Inherent Likelihood Rating]],"-- Error --")</f>
        <v>-- Error --</v>
      </c>
      <c r="R667" s="16" t="s">
        <v>98</v>
      </c>
      <c r="T667" s="16" t="s">
        <v>99</v>
      </c>
      <c r="U667" s="17" t="e" cm="1">
        <f t="array" aca="1" ref="U667" ca="1">+U667:Y1019VLOOKUP(RiskRegister[[#This Row],[Residual Impact Level]],'Rating factors'!$F$4:$G$9,2,FALSE)</f>
        <v>#NAME?</v>
      </c>
      <c r="V667" s="16" t="s">
        <v>79</v>
      </c>
      <c r="W667" s="17" t="str">
        <f>VLOOKUP(RiskRegister[[#This Row],[Residual Likelihood Level]],'Rating factors'!$F$16:$G$21,2,FALSE)</f>
        <v>--- Error ---</v>
      </c>
      <c r="X667" s="17" t="str">
        <f ca="1">IFERROR(VLOOKUP(RiskRegister[[#This Row],[Residual Risk Rating]],'Rating factors'!$F$30:$G$44,2,FALSE),"-- Error --")</f>
        <v>-- Error --</v>
      </c>
      <c r="Y667" s="17" t="str">
        <f ca="1">IFERROR(RiskRegister[[#This Row],[Residual Impact Rating]]*RiskRegister[[#This Row],[Residual Likelihood Rating]],"-- Error --")</f>
        <v>-- Error --</v>
      </c>
      <c r="Z667" s="16" t="s">
        <v>100</v>
      </c>
      <c r="AB667" s="39"/>
      <c r="AD667" s="20"/>
    </row>
    <row r="668" spans="1:30" s="16" customFormat="1" hidden="1" x14ac:dyDescent="0.25">
      <c r="A668" s="16">
        <v>665</v>
      </c>
      <c r="G668" s="16" t="s">
        <v>77</v>
      </c>
      <c r="I668" s="16" t="s">
        <v>75</v>
      </c>
      <c r="L668" s="105" t="s">
        <v>99</v>
      </c>
      <c r="M668" s="17" t="str">
        <f>VLOOKUP(RiskRegister[[#This Row],[Inherent Impact LevelL3:L1020D1007L3:L1019]],'Rating factors'!$F$4:$G$9,2,FALSE)</f>
        <v>--- Error ---</v>
      </c>
      <c r="N668" s="16" t="s">
        <v>79</v>
      </c>
      <c r="O668" s="17" t="str">
        <f>VLOOKUP(RiskRegister[[#This Row],[Inherent Likelihood Level]],'Rating factors'!$F$16:$G$21,2,FALSE)</f>
        <v>--- Error ---</v>
      </c>
      <c r="P668" s="17" t="str">
        <f>IFERROR(VLOOKUP(RiskRegister[[#This Row],[Inherent Risk Rating]],'Rating factors'!$F$30:$G$44,2,FALSE),"-- Error --")</f>
        <v>-- Error --</v>
      </c>
      <c r="Q668" s="17" t="str">
        <f>IFERROR(RiskRegister[[#This Row],[Inherent Impact Rating]]*RiskRegister[[#This Row],[Inherent Likelihood Rating]],"-- Error --")</f>
        <v>-- Error --</v>
      </c>
      <c r="R668" s="16" t="s">
        <v>98</v>
      </c>
      <c r="T668" s="16" t="s">
        <v>99</v>
      </c>
      <c r="U668" s="17" t="e" cm="1">
        <f t="array" aca="1" ref="U668" ca="1">+U668:Y1019VLOOKUP(RiskRegister[[#This Row],[Residual Impact Level]],'Rating factors'!$F$4:$G$9,2,FALSE)</f>
        <v>#NAME?</v>
      </c>
      <c r="V668" s="16" t="s">
        <v>79</v>
      </c>
      <c r="W668" s="17" t="str">
        <f>VLOOKUP(RiskRegister[[#This Row],[Residual Likelihood Level]],'Rating factors'!$F$16:$G$21,2,FALSE)</f>
        <v>--- Error ---</v>
      </c>
      <c r="X668" s="17" t="str">
        <f ca="1">IFERROR(VLOOKUP(RiskRegister[[#This Row],[Residual Risk Rating]],'Rating factors'!$F$30:$G$44,2,FALSE),"-- Error --")</f>
        <v>-- Error --</v>
      </c>
      <c r="Y668" s="17" t="str">
        <f ca="1">IFERROR(RiskRegister[[#This Row],[Residual Impact Rating]]*RiskRegister[[#This Row],[Residual Likelihood Rating]],"-- Error --")</f>
        <v>-- Error --</v>
      </c>
      <c r="Z668" s="16" t="s">
        <v>100</v>
      </c>
      <c r="AB668" s="39"/>
      <c r="AD668" s="20"/>
    </row>
    <row r="669" spans="1:30" s="16" customFormat="1" hidden="1" x14ac:dyDescent="0.25">
      <c r="A669" s="16">
        <v>666</v>
      </c>
      <c r="G669" s="16" t="s">
        <v>77</v>
      </c>
      <c r="I669" s="16" t="s">
        <v>75</v>
      </c>
      <c r="L669" s="105" t="s">
        <v>99</v>
      </c>
      <c r="M669" s="17" t="str">
        <f>VLOOKUP(RiskRegister[[#This Row],[Inherent Impact LevelL3:L1020D1007L3:L1019]],'Rating factors'!$F$4:$G$9,2,FALSE)</f>
        <v>--- Error ---</v>
      </c>
      <c r="N669" s="16" t="s">
        <v>79</v>
      </c>
      <c r="O669" s="17" t="str">
        <f>VLOOKUP(RiskRegister[[#This Row],[Inherent Likelihood Level]],'Rating factors'!$F$16:$G$21,2,FALSE)</f>
        <v>--- Error ---</v>
      </c>
      <c r="P669" s="17" t="str">
        <f>IFERROR(VLOOKUP(RiskRegister[[#This Row],[Inherent Risk Rating]],'Rating factors'!$F$30:$G$44,2,FALSE),"-- Error --")</f>
        <v>-- Error --</v>
      </c>
      <c r="Q669" s="17" t="str">
        <f>IFERROR(RiskRegister[[#This Row],[Inherent Impact Rating]]*RiskRegister[[#This Row],[Inherent Likelihood Rating]],"-- Error --")</f>
        <v>-- Error --</v>
      </c>
      <c r="R669" s="16" t="s">
        <v>98</v>
      </c>
      <c r="T669" s="16" t="s">
        <v>99</v>
      </c>
      <c r="U669" s="17" t="e" cm="1">
        <f t="array" aca="1" ref="U669" ca="1">+U669:Y1019VLOOKUP(RiskRegister[[#This Row],[Residual Impact Level]],'Rating factors'!$F$4:$G$9,2,FALSE)</f>
        <v>#NAME?</v>
      </c>
      <c r="V669" s="16" t="s">
        <v>79</v>
      </c>
      <c r="W669" s="17" t="str">
        <f>VLOOKUP(RiskRegister[[#This Row],[Residual Likelihood Level]],'Rating factors'!$F$16:$G$21,2,FALSE)</f>
        <v>--- Error ---</v>
      </c>
      <c r="X669" s="17" t="str">
        <f ca="1">IFERROR(VLOOKUP(RiskRegister[[#This Row],[Residual Risk Rating]],'Rating factors'!$F$30:$G$44,2,FALSE),"-- Error --")</f>
        <v>-- Error --</v>
      </c>
      <c r="Y669" s="17" t="str">
        <f ca="1">IFERROR(RiskRegister[[#This Row],[Residual Impact Rating]]*RiskRegister[[#This Row],[Residual Likelihood Rating]],"-- Error --")</f>
        <v>-- Error --</v>
      </c>
      <c r="Z669" s="16" t="s">
        <v>100</v>
      </c>
      <c r="AB669" s="39"/>
      <c r="AD669" s="20"/>
    </row>
    <row r="670" spans="1:30" s="16" customFormat="1" hidden="1" x14ac:dyDescent="0.25">
      <c r="A670" s="16">
        <v>667</v>
      </c>
      <c r="G670" s="16" t="s">
        <v>77</v>
      </c>
      <c r="I670" s="16" t="s">
        <v>75</v>
      </c>
      <c r="L670" s="105" t="s">
        <v>99</v>
      </c>
      <c r="M670" s="17" t="str">
        <f>VLOOKUP(RiskRegister[[#This Row],[Inherent Impact LevelL3:L1020D1007L3:L1019]],'Rating factors'!$F$4:$G$9,2,FALSE)</f>
        <v>--- Error ---</v>
      </c>
      <c r="N670" s="16" t="s">
        <v>79</v>
      </c>
      <c r="O670" s="17" t="str">
        <f>VLOOKUP(RiskRegister[[#This Row],[Inherent Likelihood Level]],'Rating factors'!$F$16:$G$21,2,FALSE)</f>
        <v>--- Error ---</v>
      </c>
      <c r="P670" s="17" t="str">
        <f>IFERROR(VLOOKUP(RiskRegister[[#This Row],[Inherent Risk Rating]],'Rating factors'!$F$30:$G$44,2,FALSE),"-- Error --")</f>
        <v>-- Error --</v>
      </c>
      <c r="Q670" s="17" t="str">
        <f>IFERROR(RiskRegister[[#This Row],[Inherent Impact Rating]]*RiskRegister[[#This Row],[Inherent Likelihood Rating]],"-- Error --")</f>
        <v>-- Error --</v>
      </c>
      <c r="R670" s="16" t="s">
        <v>98</v>
      </c>
      <c r="T670" s="16" t="s">
        <v>99</v>
      </c>
      <c r="U670" s="17" t="e" cm="1">
        <f t="array" aca="1" ref="U670" ca="1">+U670:Y1019VLOOKUP(RiskRegister[[#This Row],[Residual Impact Level]],'Rating factors'!$F$4:$G$9,2,FALSE)</f>
        <v>#NAME?</v>
      </c>
      <c r="V670" s="16" t="s">
        <v>79</v>
      </c>
      <c r="W670" s="17" t="str">
        <f>VLOOKUP(RiskRegister[[#This Row],[Residual Likelihood Level]],'Rating factors'!$F$16:$G$21,2,FALSE)</f>
        <v>--- Error ---</v>
      </c>
      <c r="X670" s="17" t="str">
        <f ca="1">IFERROR(VLOOKUP(RiskRegister[[#This Row],[Residual Risk Rating]],'Rating factors'!$F$30:$G$44,2,FALSE),"-- Error --")</f>
        <v>-- Error --</v>
      </c>
      <c r="Y670" s="17" t="str">
        <f ca="1">IFERROR(RiskRegister[[#This Row],[Residual Impact Rating]]*RiskRegister[[#This Row],[Residual Likelihood Rating]],"-- Error --")</f>
        <v>-- Error --</v>
      </c>
      <c r="Z670" s="16" t="s">
        <v>100</v>
      </c>
      <c r="AB670" s="39"/>
      <c r="AD670" s="20"/>
    </row>
    <row r="671" spans="1:30" s="16" customFormat="1" hidden="1" x14ac:dyDescent="0.25">
      <c r="A671" s="16">
        <v>668</v>
      </c>
      <c r="G671" s="16" t="s">
        <v>77</v>
      </c>
      <c r="I671" s="16" t="s">
        <v>75</v>
      </c>
      <c r="L671" s="105" t="s">
        <v>99</v>
      </c>
      <c r="M671" s="17" t="str">
        <f>VLOOKUP(RiskRegister[[#This Row],[Inherent Impact LevelL3:L1020D1007L3:L1019]],'Rating factors'!$F$4:$G$9,2,FALSE)</f>
        <v>--- Error ---</v>
      </c>
      <c r="N671" s="16" t="s">
        <v>79</v>
      </c>
      <c r="O671" s="17" t="str">
        <f>VLOOKUP(RiskRegister[[#This Row],[Inherent Likelihood Level]],'Rating factors'!$F$16:$G$21,2,FALSE)</f>
        <v>--- Error ---</v>
      </c>
      <c r="P671" s="17" t="str">
        <f>IFERROR(VLOOKUP(RiskRegister[[#This Row],[Inherent Risk Rating]],'Rating factors'!$F$30:$G$44,2,FALSE),"-- Error --")</f>
        <v>-- Error --</v>
      </c>
      <c r="Q671" s="17" t="str">
        <f>IFERROR(RiskRegister[[#This Row],[Inherent Impact Rating]]*RiskRegister[[#This Row],[Inherent Likelihood Rating]],"-- Error --")</f>
        <v>-- Error --</v>
      </c>
      <c r="R671" s="16" t="s">
        <v>98</v>
      </c>
      <c r="T671" s="16" t="s">
        <v>99</v>
      </c>
      <c r="U671" s="17" t="e" cm="1">
        <f t="array" aca="1" ref="U671" ca="1">+U671:Y1019VLOOKUP(RiskRegister[[#This Row],[Residual Impact Level]],'Rating factors'!$F$4:$G$9,2,FALSE)</f>
        <v>#NAME?</v>
      </c>
      <c r="V671" s="16" t="s">
        <v>79</v>
      </c>
      <c r="W671" s="17" t="str">
        <f>VLOOKUP(RiskRegister[[#This Row],[Residual Likelihood Level]],'Rating factors'!$F$16:$G$21,2,FALSE)</f>
        <v>--- Error ---</v>
      </c>
      <c r="X671" s="17" t="str">
        <f ca="1">IFERROR(VLOOKUP(RiskRegister[[#This Row],[Residual Risk Rating]],'Rating factors'!$F$30:$G$44,2,FALSE),"-- Error --")</f>
        <v>-- Error --</v>
      </c>
      <c r="Y671" s="17" t="str">
        <f ca="1">IFERROR(RiskRegister[[#This Row],[Residual Impact Rating]]*RiskRegister[[#This Row],[Residual Likelihood Rating]],"-- Error --")</f>
        <v>-- Error --</v>
      </c>
      <c r="Z671" s="16" t="s">
        <v>100</v>
      </c>
      <c r="AB671" s="39"/>
      <c r="AD671" s="20"/>
    </row>
    <row r="672" spans="1:30" s="16" customFormat="1" hidden="1" x14ac:dyDescent="0.25">
      <c r="A672" s="16">
        <v>669</v>
      </c>
      <c r="G672" s="16" t="s">
        <v>77</v>
      </c>
      <c r="I672" s="16" t="s">
        <v>75</v>
      </c>
      <c r="L672" s="105" t="s">
        <v>99</v>
      </c>
      <c r="M672" s="17" t="str">
        <f>VLOOKUP(RiskRegister[[#This Row],[Inherent Impact LevelL3:L1020D1007L3:L1019]],'Rating factors'!$F$4:$G$9,2,FALSE)</f>
        <v>--- Error ---</v>
      </c>
      <c r="N672" s="16" t="s">
        <v>79</v>
      </c>
      <c r="O672" s="17" t="str">
        <f>VLOOKUP(RiskRegister[[#This Row],[Inherent Likelihood Level]],'Rating factors'!$F$16:$G$21,2,FALSE)</f>
        <v>--- Error ---</v>
      </c>
      <c r="P672" s="17" t="str">
        <f>IFERROR(VLOOKUP(RiskRegister[[#This Row],[Inherent Risk Rating]],'Rating factors'!$F$30:$G$44,2,FALSE),"-- Error --")</f>
        <v>-- Error --</v>
      </c>
      <c r="Q672" s="17" t="str">
        <f>IFERROR(RiskRegister[[#This Row],[Inherent Impact Rating]]*RiskRegister[[#This Row],[Inherent Likelihood Rating]],"-- Error --")</f>
        <v>-- Error --</v>
      </c>
      <c r="R672" s="16" t="s">
        <v>98</v>
      </c>
      <c r="T672" s="16" t="s">
        <v>99</v>
      </c>
      <c r="U672" s="17" t="e" cm="1">
        <f t="array" aca="1" ref="U672" ca="1">+U672:Y1019VLOOKUP(RiskRegister[[#This Row],[Residual Impact Level]],'Rating factors'!$F$4:$G$9,2,FALSE)</f>
        <v>#NAME?</v>
      </c>
      <c r="V672" s="16" t="s">
        <v>79</v>
      </c>
      <c r="W672" s="17" t="str">
        <f>VLOOKUP(RiskRegister[[#This Row],[Residual Likelihood Level]],'Rating factors'!$F$16:$G$21,2,FALSE)</f>
        <v>--- Error ---</v>
      </c>
      <c r="X672" s="17" t="str">
        <f ca="1">IFERROR(VLOOKUP(RiskRegister[[#This Row],[Residual Risk Rating]],'Rating factors'!$F$30:$G$44,2,FALSE),"-- Error --")</f>
        <v>-- Error --</v>
      </c>
      <c r="Y672" s="17" t="str">
        <f ca="1">IFERROR(RiskRegister[[#This Row],[Residual Impact Rating]]*RiskRegister[[#This Row],[Residual Likelihood Rating]],"-- Error --")</f>
        <v>-- Error --</v>
      </c>
      <c r="Z672" s="16" t="s">
        <v>100</v>
      </c>
      <c r="AB672" s="39"/>
      <c r="AD672" s="20"/>
    </row>
    <row r="673" spans="1:30" s="16" customFormat="1" hidden="1" x14ac:dyDescent="0.25">
      <c r="A673" s="16">
        <v>670</v>
      </c>
      <c r="G673" s="16" t="s">
        <v>77</v>
      </c>
      <c r="I673" s="16" t="s">
        <v>75</v>
      </c>
      <c r="L673" s="105" t="s">
        <v>99</v>
      </c>
      <c r="M673" s="17" t="str">
        <f>VLOOKUP(RiskRegister[[#This Row],[Inherent Impact LevelL3:L1020D1007L3:L1019]],'Rating factors'!$F$4:$G$9,2,FALSE)</f>
        <v>--- Error ---</v>
      </c>
      <c r="N673" s="16" t="s">
        <v>79</v>
      </c>
      <c r="O673" s="17" t="str">
        <f>VLOOKUP(RiskRegister[[#This Row],[Inherent Likelihood Level]],'Rating factors'!$F$16:$G$21,2,FALSE)</f>
        <v>--- Error ---</v>
      </c>
      <c r="P673" s="17" t="str">
        <f>IFERROR(VLOOKUP(RiskRegister[[#This Row],[Inherent Risk Rating]],'Rating factors'!$F$30:$G$44,2,FALSE),"-- Error --")</f>
        <v>-- Error --</v>
      </c>
      <c r="Q673" s="17" t="str">
        <f>IFERROR(RiskRegister[[#This Row],[Inherent Impact Rating]]*RiskRegister[[#This Row],[Inherent Likelihood Rating]],"-- Error --")</f>
        <v>-- Error --</v>
      </c>
      <c r="R673" s="16" t="s">
        <v>98</v>
      </c>
      <c r="T673" s="16" t="s">
        <v>99</v>
      </c>
      <c r="U673" s="17" t="e" cm="1">
        <f t="array" aca="1" ref="U673" ca="1">+U673:Y1019VLOOKUP(RiskRegister[[#This Row],[Residual Impact Level]],'Rating factors'!$F$4:$G$9,2,FALSE)</f>
        <v>#NAME?</v>
      </c>
      <c r="V673" s="16" t="s">
        <v>79</v>
      </c>
      <c r="W673" s="17" t="str">
        <f>VLOOKUP(RiskRegister[[#This Row],[Residual Likelihood Level]],'Rating factors'!$F$16:$G$21,2,FALSE)</f>
        <v>--- Error ---</v>
      </c>
      <c r="X673" s="17" t="str">
        <f ca="1">IFERROR(VLOOKUP(RiskRegister[[#This Row],[Residual Risk Rating]],'Rating factors'!$F$30:$G$44,2,FALSE),"-- Error --")</f>
        <v>-- Error --</v>
      </c>
      <c r="Y673" s="17" t="str">
        <f ca="1">IFERROR(RiskRegister[[#This Row],[Residual Impact Rating]]*RiskRegister[[#This Row],[Residual Likelihood Rating]],"-- Error --")</f>
        <v>-- Error --</v>
      </c>
      <c r="Z673" s="16" t="s">
        <v>100</v>
      </c>
      <c r="AB673" s="39"/>
      <c r="AD673" s="20"/>
    </row>
    <row r="674" spans="1:30" s="16" customFormat="1" hidden="1" x14ac:dyDescent="0.25">
      <c r="A674" s="16">
        <v>671</v>
      </c>
      <c r="G674" s="16" t="s">
        <v>77</v>
      </c>
      <c r="I674" s="16" t="s">
        <v>75</v>
      </c>
      <c r="L674" s="105" t="s">
        <v>99</v>
      </c>
      <c r="M674" s="17" t="str">
        <f>VLOOKUP(RiskRegister[[#This Row],[Inherent Impact LevelL3:L1020D1007L3:L1019]],'Rating factors'!$F$4:$G$9,2,FALSE)</f>
        <v>--- Error ---</v>
      </c>
      <c r="N674" s="16" t="s">
        <v>79</v>
      </c>
      <c r="O674" s="17" t="str">
        <f>VLOOKUP(RiskRegister[[#This Row],[Inherent Likelihood Level]],'Rating factors'!$F$16:$G$21,2,FALSE)</f>
        <v>--- Error ---</v>
      </c>
      <c r="P674" s="17" t="str">
        <f>IFERROR(VLOOKUP(RiskRegister[[#This Row],[Inherent Risk Rating]],'Rating factors'!$F$30:$G$44,2,FALSE),"-- Error --")</f>
        <v>-- Error --</v>
      </c>
      <c r="Q674" s="17" t="str">
        <f>IFERROR(RiskRegister[[#This Row],[Inherent Impact Rating]]*RiskRegister[[#This Row],[Inherent Likelihood Rating]],"-- Error --")</f>
        <v>-- Error --</v>
      </c>
      <c r="R674" s="16" t="s">
        <v>98</v>
      </c>
      <c r="T674" s="16" t="s">
        <v>99</v>
      </c>
      <c r="U674" s="17" t="e" cm="1">
        <f t="array" aca="1" ref="U674" ca="1">+U674:Y1019VLOOKUP(RiskRegister[[#This Row],[Residual Impact Level]],'Rating factors'!$F$4:$G$9,2,FALSE)</f>
        <v>#NAME?</v>
      </c>
      <c r="V674" s="16" t="s">
        <v>79</v>
      </c>
      <c r="W674" s="17" t="str">
        <f>VLOOKUP(RiskRegister[[#This Row],[Residual Likelihood Level]],'Rating factors'!$F$16:$G$21,2,FALSE)</f>
        <v>--- Error ---</v>
      </c>
      <c r="X674" s="17" t="str">
        <f ca="1">IFERROR(VLOOKUP(RiskRegister[[#This Row],[Residual Risk Rating]],'Rating factors'!$F$30:$G$44,2,FALSE),"-- Error --")</f>
        <v>-- Error --</v>
      </c>
      <c r="Y674" s="17" t="str">
        <f ca="1">IFERROR(RiskRegister[[#This Row],[Residual Impact Rating]]*RiskRegister[[#This Row],[Residual Likelihood Rating]],"-- Error --")</f>
        <v>-- Error --</v>
      </c>
      <c r="Z674" s="16" t="s">
        <v>100</v>
      </c>
      <c r="AB674" s="39"/>
      <c r="AD674" s="20"/>
    </row>
    <row r="675" spans="1:30" s="16" customFormat="1" hidden="1" x14ac:dyDescent="0.25">
      <c r="A675" s="16">
        <v>672</v>
      </c>
      <c r="G675" s="16" t="s">
        <v>77</v>
      </c>
      <c r="I675" s="16" t="s">
        <v>75</v>
      </c>
      <c r="L675" s="105" t="s">
        <v>99</v>
      </c>
      <c r="M675" s="17" t="str">
        <f>VLOOKUP(RiskRegister[[#This Row],[Inherent Impact LevelL3:L1020D1007L3:L1019]],'Rating factors'!$F$4:$G$9,2,FALSE)</f>
        <v>--- Error ---</v>
      </c>
      <c r="N675" s="16" t="s">
        <v>79</v>
      </c>
      <c r="O675" s="17" t="str">
        <f>VLOOKUP(RiskRegister[[#This Row],[Inherent Likelihood Level]],'Rating factors'!$F$16:$G$21,2,FALSE)</f>
        <v>--- Error ---</v>
      </c>
      <c r="P675" s="17" t="str">
        <f>IFERROR(VLOOKUP(RiskRegister[[#This Row],[Inherent Risk Rating]],'Rating factors'!$F$30:$G$44,2,FALSE),"-- Error --")</f>
        <v>-- Error --</v>
      </c>
      <c r="Q675" s="17" t="str">
        <f>IFERROR(RiskRegister[[#This Row],[Inherent Impact Rating]]*RiskRegister[[#This Row],[Inherent Likelihood Rating]],"-- Error --")</f>
        <v>-- Error --</v>
      </c>
      <c r="R675" s="16" t="s">
        <v>98</v>
      </c>
      <c r="T675" s="16" t="s">
        <v>99</v>
      </c>
      <c r="U675" s="17" t="e" cm="1">
        <f t="array" aca="1" ref="U675" ca="1">+U675:Y1019VLOOKUP(RiskRegister[[#This Row],[Residual Impact Level]],'Rating factors'!$F$4:$G$9,2,FALSE)</f>
        <v>#NAME?</v>
      </c>
      <c r="V675" s="16" t="s">
        <v>79</v>
      </c>
      <c r="W675" s="17" t="str">
        <f>VLOOKUP(RiskRegister[[#This Row],[Residual Likelihood Level]],'Rating factors'!$F$16:$G$21,2,FALSE)</f>
        <v>--- Error ---</v>
      </c>
      <c r="X675" s="17" t="str">
        <f ca="1">IFERROR(VLOOKUP(RiskRegister[[#This Row],[Residual Risk Rating]],'Rating factors'!$F$30:$G$44,2,FALSE),"-- Error --")</f>
        <v>-- Error --</v>
      </c>
      <c r="Y675" s="17" t="str">
        <f ca="1">IFERROR(RiskRegister[[#This Row],[Residual Impact Rating]]*RiskRegister[[#This Row],[Residual Likelihood Rating]],"-- Error --")</f>
        <v>-- Error --</v>
      </c>
      <c r="Z675" s="16" t="s">
        <v>100</v>
      </c>
      <c r="AB675" s="39"/>
      <c r="AD675" s="20"/>
    </row>
    <row r="676" spans="1:30" s="16" customFormat="1" hidden="1" x14ac:dyDescent="0.25">
      <c r="A676" s="16">
        <v>673</v>
      </c>
      <c r="G676" s="16" t="s">
        <v>77</v>
      </c>
      <c r="I676" s="16" t="s">
        <v>75</v>
      </c>
      <c r="L676" s="105" t="s">
        <v>99</v>
      </c>
      <c r="M676" s="17" t="str">
        <f>VLOOKUP(RiskRegister[[#This Row],[Inherent Impact LevelL3:L1020D1007L3:L1019]],'Rating factors'!$F$4:$G$9,2,FALSE)</f>
        <v>--- Error ---</v>
      </c>
      <c r="N676" s="16" t="s">
        <v>79</v>
      </c>
      <c r="O676" s="17" t="str">
        <f>VLOOKUP(RiskRegister[[#This Row],[Inherent Likelihood Level]],'Rating factors'!$F$16:$G$21,2,FALSE)</f>
        <v>--- Error ---</v>
      </c>
      <c r="P676" s="17" t="str">
        <f>IFERROR(VLOOKUP(RiskRegister[[#This Row],[Inherent Risk Rating]],'Rating factors'!$F$30:$G$44,2,FALSE),"-- Error --")</f>
        <v>-- Error --</v>
      </c>
      <c r="Q676" s="17" t="str">
        <f>IFERROR(RiskRegister[[#This Row],[Inherent Impact Rating]]*RiskRegister[[#This Row],[Inherent Likelihood Rating]],"-- Error --")</f>
        <v>-- Error --</v>
      </c>
      <c r="R676" s="16" t="s">
        <v>98</v>
      </c>
      <c r="T676" s="16" t="s">
        <v>99</v>
      </c>
      <c r="U676" s="17" t="e" cm="1">
        <f t="array" aca="1" ref="U676" ca="1">+U676:Y1019VLOOKUP(RiskRegister[[#This Row],[Residual Impact Level]],'Rating factors'!$F$4:$G$9,2,FALSE)</f>
        <v>#NAME?</v>
      </c>
      <c r="V676" s="16" t="s">
        <v>79</v>
      </c>
      <c r="W676" s="17" t="str">
        <f>VLOOKUP(RiskRegister[[#This Row],[Residual Likelihood Level]],'Rating factors'!$F$16:$G$21,2,FALSE)</f>
        <v>--- Error ---</v>
      </c>
      <c r="X676" s="17" t="str">
        <f ca="1">IFERROR(VLOOKUP(RiskRegister[[#This Row],[Residual Risk Rating]],'Rating factors'!$F$30:$G$44,2,FALSE),"-- Error --")</f>
        <v>-- Error --</v>
      </c>
      <c r="Y676" s="17" t="str">
        <f ca="1">IFERROR(RiskRegister[[#This Row],[Residual Impact Rating]]*RiskRegister[[#This Row],[Residual Likelihood Rating]],"-- Error --")</f>
        <v>-- Error --</v>
      </c>
      <c r="Z676" s="16" t="s">
        <v>100</v>
      </c>
      <c r="AB676" s="39"/>
      <c r="AD676" s="20"/>
    </row>
    <row r="677" spans="1:30" s="16" customFormat="1" hidden="1" x14ac:dyDescent="0.25">
      <c r="A677" s="16">
        <v>674</v>
      </c>
      <c r="G677" s="16" t="s">
        <v>77</v>
      </c>
      <c r="I677" s="16" t="s">
        <v>75</v>
      </c>
      <c r="L677" s="105" t="s">
        <v>99</v>
      </c>
      <c r="M677" s="17" t="str">
        <f>VLOOKUP(RiskRegister[[#This Row],[Inherent Impact LevelL3:L1020D1007L3:L1019]],'Rating factors'!$F$4:$G$9,2,FALSE)</f>
        <v>--- Error ---</v>
      </c>
      <c r="N677" s="16" t="s">
        <v>79</v>
      </c>
      <c r="O677" s="17" t="str">
        <f>VLOOKUP(RiskRegister[[#This Row],[Inherent Likelihood Level]],'Rating factors'!$F$16:$G$21,2,FALSE)</f>
        <v>--- Error ---</v>
      </c>
      <c r="P677" s="17" t="str">
        <f>IFERROR(VLOOKUP(RiskRegister[[#This Row],[Inherent Risk Rating]],'Rating factors'!$F$30:$G$44,2,FALSE),"-- Error --")</f>
        <v>-- Error --</v>
      </c>
      <c r="Q677" s="17" t="str">
        <f>IFERROR(RiskRegister[[#This Row],[Inherent Impact Rating]]*RiskRegister[[#This Row],[Inherent Likelihood Rating]],"-- Error --")</f>
        <v>-- Error --</v>
      </c>
      <c r="R677" s="16" t="s">
        <v>98</v>
      </c>
      <c r="T677" s="16" t="s">
        <v>99</v>
      </c>
      <c r="U677" s="17" t="e" cm="1">
        <f t="array" aca="1" ref="U677" ca="1">+U677:Y1019VLOOKUP(RiskRegister[[#This Row],[Residual Impact Level]],'Rating factors'!$F$4:$G$9,2,FALSE)</f>
        <v>#NAME?</v>
      </c>
      <c r="V677" s="16" t="s">
        <v>79</v>
      </c>
      <c r="W677" s="17" t="str">
        <f>VLOOKUP(RiskRegister[[#This Row],[Residual Likelihood Level]],'Rating factors'!$F$16:$G$21,2,FALSE)</f>
        <v>--- Error ---</v>
      </c>
      <c r="X677" s="17" t="str">
        <f ca="1">IFERROR(VLOOKUP(RiskRegister[[#This Row],[Residual Risk Rating]],'Rating factors'!$F$30:$G$44,2,FALSE),"-- Error --")</f>
        <v>-- Error --</v>
      </c>
      <c r="Y677" s="17" t="str">
        <f ca="1">IFERROR(RiskRegister[[#This Row],[Residual Impact Rating]]*RiskRegister[[#This Row],[Residual Likelihood Rating]],"-- Error --")</f>
        <v>-- Error --</v>
      </c>
      <c r="Z677" s="16" t="s">
        <v>100</v>
      </c>
      <c r="AB677" s="39"/>
      <c r="AD677" s="20"/>
    </row>
    <row r="678" spans="1:30" s="16" customFormat="1" hidden="1" x14ac:dyDescent="0.25">
      <c r="A678" s="16">
        <v>675</v>
      </c>
      <c r="G678" s="16" t="s">
        <v>77</v>
      </c>
      <c r="I678" s="16" t="s">
        <v>75</v>
      </c>
      <c r="L678" s="105" t="s">
        <v>99</v>
      </c>
      <c r="M678" s="17" t="str">
        <f>VLOOKUP(RiskRegister[[#This Row],[Inherent Impact LevelL3:L1020D1007L3:L1019]],'Rating factors'!$F$4:$G$9,2,FALSE)</f>
        <v>--- Error ---</v>
      </c>
      <c r="N678" s="16" t="s">
        <v>79</v>
      </c>
      <c r="O678" s="17" t="str">
        <f>VLOOKUP(RiskRegister[[#This Row],[Inherent Likelihood Level]],'Rating factors'!$F$16:$G$21,2,FALSE)</f>
        <v>--- Error ---</v>
      </c>
      <c r="P678" s="17" t="str">
        <f>IFERROR(VLOOKUP(RiskRegister[[#This Row],[Inherent Risk Rating]],'Rating factors'!$F$30:$G$44,2,FALSE),"-- Error --")</f>
        <v>-- Error --</v>
      </c>
      <c r="Q678" s="17" t="str">
        <f>IFERROR(RiskRegister[[#This Row],[Inherent Impact Rating]]*RiskRegister[[#This Row],[Inherent Likelihood Rating]],"-- Error --")</f>
        <v>-- Error --</v>
      </c>
      <c r="R678" s="16" t="s">
        <v>98</v>
      </c>
      <c r="T678" s="16" t="s">
        <v>99</v>
      </c>
      <c r="U678" s="17" t="e" cm="1">
        <f t="array" aca="1" ref="U678" ca="1">+U678:Y1019VLOOKUP(RiskRegister[[#This Row],[Residual Impact Level]],'Rating factors'!$F$4:$G$9,2,FALSE)</f>
        <v>#NAME?</v>
      </c>
      <c r="V678" s="16" t="s">
        <v>79</v>
      </c>
      <c r="W678" s="17" t="str">
        <f>VLOOKUP(RiskRegister[[#This Row],[Residual Likelihood Level]],'Rating factors'!$F$16:$G$21,2,FALSE)</f>
        <v>--- Error ---</v>
      </c>
      <c r="X678" s="17" t="str">
        <f ca="1">IFERROR(VLOOKUP(RiskRegister[[#This Row],[Residual Risk Rating]],'Rating factors'!$F$30:$G$44,2,FALSE),"-- Error --")</f>
        <v>-- Error --</v>
      </c>
      <c r="Y678" s="17" t="str">
        <f ca="1">IFERROR(RiskRegister[[#This Row],[Residual Impact Rating]]*RiskRegister[[#This Row],[Residual Likelihood Rating]],"-- Error --")</f>
        <v>-- Error --</v>
      </c>
      <c r="Z678" s="16" t="s">
        <v>100</v>
      </c>
      <c r="AB678" s="39"/>
      <c r="AD678" s="20"/>
    </row>
    <row r="679" spans="1:30" s="16" customFormat="1" hidden="1" x14ac:dyDescent="0.25">
      <c r="A679" s="16">
        <v>676</v>
      </c>
      <c r="G679" s="16" t="s">
        <v>77</v>
      </c>
      <c r="I679" s="16" t="s">
        <v>75</v>
      </c>
      <c r="L679" s="105" t="s">
        <v>99</v>
      </c>
      <c r="M679" s="17" t="str">
        <f>VLOOKUP(RiskRegister[[#This Row],[Inherent Impact LevelL3:L1020D1007L3:L1019]],'Rating factors'!$F$4:$G$9,2,FALSE)</f>
        <v>--- Error ---</v>
      </c>
      <c r="N679" s="16" t="s">
        <v>79</v>
      </c>
      <c r="O679" s="17" t="str">
        <f>VLOOKUP(RiskRegister[[#This Row],[Inherent Likelihood Level]],'Rating factors'!$F$16:$G$21,2,FALSE)</f>
        <v>--- Error ---</v>
      </c>
      <c r="P679" s="17" t="str">
        <f>IFERROR(VLOOKUP(RiskRegister[[#This Row],[Inherent Risk Rating]],'Rating factors'!$F$30:$G$44,2,FALSE),"-- Error --")</f>
        <v>-- Error --</v>
      </c>
      <c r="Q679" s="17" t="str">
        <f>IFERROR(RiskRegister[[#This Row],[Inherent Impact Rating]]*RiskRegister[[#This Row],[Inherent Likelihood Rating]],"-- Error --")</f>
        <v>-- Error --</v>
      </c>
      <c r="R679" s="16" t="s">
        <v>98</v>
      </c>
      <c r="T679" s="16" t="s">
        <v>99</v>
      </c>
      <c r="U679" s="17" t="e" cm="1">
        <f t="array" aca="1" ref="U679" ca="1">+U679:Y1019VLOOKUP(RiskRegister[[#This Row],[Residual Impact Level]],'Rating factors'!$F$4:$G$9,2,FALSE)</f>
        <v>#NAME?</v>
      </c>
      <c r="V679" s="16" t="s">
        <v>79</v>
      </c>
      <c r="W679" s="17" t="str">
        <f>VLOOKUP(RiskRegister[[#This Row],[Residual Likelihood Level]],'Rating factors'!$F$16:$G$21,2,FALSE)</f>
        <v>--- Error ---</v>
      </c>
      <c r="X679" s="17" t="str">
        <f ca="1">IFERROR(VLOOKUP(RiskRegister[[#This Row],[Residual Risk Rating]],'Rating factors'!$F$30:$G$44,2,FALSE),"-- Error --")</f>
        <v>-- Error --</v>
      </c>
      <c r="Y679" s="17" t="str">
        <f ca="1">IFERROR(RiskRegister[[#This Row],[Residual Impact Rating]]*RiskRegister[[#This Row],[Residual Likelihood Rating]],"-- Error --")</f>
        <v>-- Error --</v>
      </c>
      <c r="Z679" s="16" t="s">
        <v>100</v>
      </c>
      <c r="AB679" s="39"/>
      <c r="AD679" s="20"/>
    </row>
    <row r="680" spans="1:30" s="16" customFormat="1" hidden="1" x14ac:dyDescent="0.25">
      <c r="A680" s="16">
        <v>677</v>
      </c>
      <c r="G680" s="16" t="s">
        <v>77</v>
      </c>
      <c r="I680" s="16" t="s">
        <v>75</v>
      </c>
      <c r="L680" s="105" t="s">
        <v>99</v>
      </c>
      <c r="M680" s="17" t="str">
        <f>VLOOKUP(RiskRegister[[#This Row],[Inherent Impact LevelL3:L1020D1007L3:L1019]],'Rating factors'!$F$4:$G$9,2,FALSE)</f>
        <v>--- Error ---</v>
      </c>
      <c r="N680" s="16" t="s">
        <v>79</v>
      </c>
      <c r="O680" s="17" t="str">
        <f>VLOOKUP(RiskRegister[[#This Row],[Inherent Likelihood Level]],'Rating factors'!$F$16:$G$21,2,FALSE)</f>
        <v>--- Error ---</v>
      </c>
      <c r="P680" s="17" t="str">
        <f>IFERROR(VLOOKUP(RiskRegister[[#This Row],[Inherent Risk Rating]],'Rating factors'!$F$30:$G$44,2,FALSE),"-- Error --")</f>
        <v>-- Error --</v>
      </c>
      <c r="Q680" s="17" t="str">
        <f>IFERROR(RiskRegister[[#This Row],[Inherent Impact Rating]]*RiskRegister[[#This Row],[Inherent Likelihood Rating]],"-- Error --")</f>
        <v>-- Error --</v>
      </c>
      <c r="R680" s="16" t="s">
        <v>98</v>
      </c>
      <c r="T680" s="16" t="s">
        <v>99</v>
      </c>
      <c r="U680" s="17" t="e" cm="1">
        <f t="array" aca="1" ref="U680" ca="1">+U680:Y1019VLOOKUP(RiskRegister[[#This Row],[Residual Impact Level]],'Rating factors'!$F$4:$G$9,2,FALSE)</f>
        <v>#NAME?</v>
      </c>
      <c r="V680" s="16" t="s">
        <v>79</v>
      </c>
      <c r="W680" s="17" t="str">
        <f>VLOOKUP(RiskRegister[[#This Row],[Residual Likelihood Level]],'Rating factors'!$F$16:$G$21,2,FALSE)</f>
        <v>--- Error ---</v>
      </c>
      <c r="X680" s="17" t="str">
        <f ca="1">IFERROR(VLOOKUP(RiskRegister[[#This Row],[Residual Risk Rating]],'Rating factors'!$F$30:$G$44,2,FALSE),"-- Error --")</f>
        <v>-- Error --</v>
      </c>
      <c r="Y680" s="17" t="str">
        <f ca="1">IFERROR(RiskRegister[[#This Row],[Residual Impact Rating]]*RiskRegister[[#This Row],[Residual Likelihood Rating]],"-- Error --")</f>
        <v>-- Error --</v>
      </c>
      <c r="Z680" s="16" t="s">
        <v>100</v>
      </c>
      <c r="AB680" s="39"/>
      <c r="AD680" s="20"/>
    </row>
    <row r="681" spans="1:30" s="16" customFormat="1" hidden="1" x14ac:dyDescent="0.25">
      <c r="A681" s="16">
        <v>678</v>
      </c>
      <c r="G681" s="16" t="s">
        <v>77</v>
      </c>
      <c r="I681" s="16" t="s">
        <v>75</v>
      </c>
      <c r="L681" s="105" t="s">
        <v>99</v>
      </c>
      <c r="M681" s="17" t="str">
        <f>VLOOKUP(RiskRegister[[#This Row],[Inherent Impact LevelL3:L1020D1007L3:L1019]],'Rating factors'!$F$4:$G$9,2,FALSE)</f>
        <v>--- Error ---</v>
      </c>
      <c r="N681" s="16" t="s">
        <v>79</v>
      </c>
      <c r="O681" s="17" t="str">
        <f>VLOOKUP(RiskRegister[[#This Row],[Inherent Likelihood Level]],'Rating factors'!$F$16:$G$21,2,FALSE)</f>
        <v>--- Error ---</v>
      </c>
      <c r="P681" s="17" t="str">
        <f>IFERROR(VLOOKUP(RiskRegister[[#This Row],[Inherent Risk Rating]],'Rating factors'!$F$30:$G$44,2,FALSE),"-- Error --")</f>
        <v>-- Error --</v>
      </c>
      <c r="Q681" s="17" t="str">
        <f>IFERROR(RiskRegister[[#This Row],[Inherent Impact Rating]]*RiskRegister[[#This Row],[Inherent Likelihood Rating]],"-- Error --")</f>
        <v>-- Error --</v>
      </c>
      <c r="R681" s="16" t="s">
        <v>98</v>
      </c>
      <c r="T681" s="16" t="s">
        <v>99</v>
      </c>
      <c r="U681" s="17" t="e" cm="1">
        <f t="array" aca="1" ref="U681" ca="1">+U681:Y1019VLOOKUP(RiskRegister[[#This Row],[Residual Impact Level]],'Rating factors'!$F$4:$G$9,2,FALSE)</f>
        <v>#NAME?</v>
      </c>
      <c r="V681" s="16" t="s">
        <v>79</v>
      </c>
      <c r="W681" s="17" t="str">
        <f>VLOOKUP(RiskRegister[[#This Row],[Residual Likelihood Level]],'Rating factors'!$F$16:$G$21,2,FALSE)</f>
        <v>--- Error ---</v>
      </c>
      <c r="X681" s="17" t="str">
        <f ca="1">IFERROR(VLOOKUP(RiskRegister[[#This Row],[Residual Risk Rating]],'Rating factors'!$F$30:$G$44,2,FALSE),"-- Error --")</f>
        <v>-- Error --</v>
      </c>
      <c r="Y681" s="17" t="str">
        <f ca="1">IFERROR(RiskRegister[[#This Row],[Residual Impact Rating]]*RiskRegister[[#This Row],[Residual Likelihood Rating]],"-- Error --")</f>
        <v>-- Error --</v>
      </c>
      <c r="Z681" s="16" t="s">
        <v>100</v>
      </c>
      <c r="AB681" s="39"/>
      <c r="AD681" s="20"/>
    </row>
    <row r="682" spans="1:30" s="16" customFormat="1" hidden="1" x14ac:dyDescent="0.25">
      <c r="A682" s="16">
        <v>679</v>
      </c>
      <c r="G682" s="16" t="s">
        <v>77</v>
      </c>
      <c r="I682" s="16" t="s">
        <v>75</v>
      </c>
      <c r="L682" s="105" t="s">
        <v>99</v>
      </c>
      <c r="M682" s="17" t="str">
        <f>VLOOKUP(RiskRegister[[#This Row],[Inherent Impact LevelL3:L1020D1007L3:L1019]],'Rating factors'!$F$4:$G$9,2,FALSE)</f>
        <v>--- Error ---</v>
      </c>
      <c r="N682" s="16" t="s">
        <v>79</v>
      </c>
      <c r="O682" s="17" t="str">
        <f>VLOOKUP(RiskRegister[[#This Row],[Inherent Likelihood Level]],'Rating factors'!$F$16:$G$21,2,FALSE)</f>
        <v>--- Error ---</v>
      </c>
      <c r="P682" s="17" t="str">
        <f>IFERROR(VLOOKUP(RiskRegister[[#This Row],[Inherent Risk Rating]],'Rating factors'!$F$30:$G$44,2,FALSE),"-- Error --")</f>
        <v>-- Error --</v>
      </c>
      <c r="Q682" s="17" t="str">
        <f>IFERROR(RiskRegister[[#This Row],[Inherent Impact Rating]]*RiskRegister[[#This Row],[Inherent Likelihood Rating]],"-- Error --")</f>
        <v>-- Error --</v>
      </c>
      <c r="R682" s="16" t="s">
        <v>98</v>
      </c>
      <c r="T682" s="16" t="s">
        <v>99</v>
      </c>
      <c r="U682" s="17" t="e" cm="1">
        <f t="array" aca="1" ref="U682" ca="1">+U682:Y1019VLOOKUP(RiskRegister[[#This Row],[Residual Impact Level]],'Rating factors'!$F$4:$G$9,2,FALSE)</f>
        <v>#NAME?</v>
      </c>
      <c r="V682" s="16" t="s">
        <v>79</v>
      </c>
      <c r="W682" s="17" t="str">
        <f>VLOOKUP(RiskRegister[[#This Row],[Residual Likelihood Level]],'Rating factors'!$F$16:$G$21,2,FALSE)</f>
        <v>--- Error ---</v>
      </c>
      <c r="X682" s="17" t="str">
        <f ca="1">IFERROR(VLOOKUP(RiskRegister[[#This Row],[Residual Risk Rating]],'Rating factors'!$F$30:$G$44,2,FALSE),"-- Error --")</f>
        <v>-- Error --</v>
      </c>
      <c r="Y682" s="17" t="str">
        <f ca="1">IFERROR(RiskRegister[[#This Row],[Residual Impact Rating]]*RiskRegister[[#This Row],[Residual Likelihood Rating]],"-- Error --")</f>
        <v>-- Error --</v>
      </c>
      <c r="Z682" s="16" t="s">
        <v>100</v>
      </c>
      <c r="AB682" s="39"/>
      <c r="AD682" s="20"/>
    </row>
    <row r="683" spans="1:30" s="16" customFormat="1" hidden="1" x14ac:dyDescent="0.25">
      <c r="A683" s="16">
        <v>680</v>
      </c>
      <c r="G683" s="16" t="s">
        <v>77</v>
      </c>
      <c r="I683" s="16" t="s">
        <v>75</v>
      </c>
      <c r="L683" s="105" t="s">
        <v>99</v>
      </c>
      <c r="M683" s="17" t="str">
        <f>VLOOKUP(RiskRegister[[#This Row],[Inherent Impact LevelL3:L1020D1007L3:L1019]],'Rating factors'!$F$4:$G$9,2,FALSE)</f>
        <v>--- Error ---</v>
      </c>
      <c r="N683" s="16" t="s">
        <v>79</v>
      </c>
      <c r="O683" s="17" t="str">
        <f>VLOOKUP(RiskRegister[[#This Row],[Inherent Likelihood Level]],'Rating factors'!$F$16:$G$21,2,FALSE)</f>
        <v>--- Error ---</v>
      </c>
      <c r="P683" s="17" t="str">
        <f>IFERROR(VLOOKUP(RiskRegister[[#This Row],[Inherent Risk Rating]],'Rating factors'!$F$30:$G$44,2,FALSE),"-- Error --")</f>
        <v>-- Error --</v>
      </c>
      <c r="Q683" s="17" t="str">
        <f>IFERROR(RiskRegister[[#This Row],[Inherent Impact Rating]]*RiskRegister[[#This Row],[Inherent Likelihood Rating]],"-- Error --")</f>
        <v>-- Error --</v>
      </c>
      <c r="R683" s="16" t="s">
        <v>98</v>
      </c>
      <c r="T683" s="16" t="s">
        <v>99</v>
      </c>
      <c r="U683" s="17" t="e" cm="1">
        <f t="array" aca="1" ref="U683" ca="1">+U683:Y1019VLOOKUP(RiskRegister[[#This Row],[Residual Impact Level]],'Rating factors'!$F$4:$G$9,2,FALSE)</f>
        <v>#NAME?</v>
      </c>
      <c r="V683" s="16" t="s">
        <v>79</v>
      </c>
      <c r="W683" s="17" t="str">
        <f>VLOOKUP(RiskRegister[[#This Row],[Residual Likelihood Level]],'Rating factors'!$F$16:$G$21,2,FALSE)</f>
        <v>--- Error ---</v>
      </c>
      <c r="X683" s="17" t="str">
        <f ca="1">IFERROR(VLOOKUP(RiskRegister[[#This Row],[Residual Risk Rating]],'Rating factors'!$F$30:$G$44,2,FALSE),"-- Error --")</f>
        <v>-- Error --</v>
      </c>
      <c r="Y683" s="17" t="str">
        <f ca="1">IFERROR(RiskRegister[[#This Row],[Residual Impact Rating]]*RiskRegister[[#This Row],[Residual Likelihood Rating]],"-- Error --")</f>
        <v>-- Error --</v>
      </c>
      <c r="Z683" s="16" t="s">
        <v>100</v>
      </c>
      <c r="AB683" s="39"/>
      <c r="AD683" s="20"/>
    </row>
    <row r="684" spans="1:30" s="16" customFormat="1" hidden="1" x14ac:dyDescent="0.25">
      <c r="A684" s="16">
        <v>681</v>
      </c>
      <c r="G684" s="16" t="s">
        <v>77</v>
      </c>
      <c r="I684" s="16" t="s">
        <v>75</v>
      </c>
      <c r="L684" s="105" t="s">
        <v>99</v>
      </c>
      <c r="M684" s="17" t="str">
        <f>VLOOKUP(RiskRegister[[#This Row],[Inherent Impact LevelL3:L1020D1007L3:L1019]],'Rating factors'!$F$4:$G$9,2,FALSE)</f>
        <v>--- Error ---</v>
      </c>
      <c r="N684" s="16" t="s">
        <v>79</v>
      </c>
      <c r="O684" s="17" t="str">
        <f>VLOOKUP(RiskRegister[[#This Row],[Inherent Likelihood Level]],'Rating factors'!$F$16:$G$21,2,FALSE)</f>
        <v>--- Error ---</v>
      </c>
      <c r="P684" s="17" t="str">
        <f>IFERROR(VLOOKUP(RiskRegister[[#This Row],[Inherent Risk Rating]],'Rating factors'!$F$30:$G$44,2,FALSE),"-- Error --")</f>
        <v>-- Error --</v>
      </c>
      <c r="Q684" s="17" t="str">
        <f>IFERROR(RiskRegister[[#This Row],[Inherent Impact Rating]]*RiskRegister[[#This Row],[Inherent Likelihood Rating]],"-- Error --")</f>
        <v>-- Error --</v>
      </c>
      <c r="R684" s="16" t="s">
        <v>98</v>
      </c>
      <c r="T684" s="16" t="s">
        <v>99</v>
      </c>
      <c r="U684" s="17" t="e" cm="1">
        <f t="array" aca="1" ref="U684" ca="1">+U684:Y1019VLOOKUP(RiskRegister[[#This Row],[Residual Impact Level]],'Rating factors'!$F$4:$G$9,2,FALSE)</f>
        <v>#NAME?</v>
      </c>
      <c r="V684" s="16" t="s">
        <v>79</v>
      </c>
      <c r="W684" s="17" t="str">
        <f>VLOOKUP(RiskRegister[[#This Row],[Residual Likelihood Level]],'Rating factors'!$F$16:$G$21,2,FALSE)</f>
        <v>--- Error ---</v>
      </c>
      <c r="X684" s="17" t="str">
        <f ca="1">IFERROR(VLOOKUP(RiskRegister[[#This Row],[Residual Risk Rating]],'Rating factors'!$F$30:$G$44,2,FALSE),"-- Error --")</f>
        <v>-- Error --</v>
      </c>
      <c r="Y684" s="17" t="str">
        <f ca="1">IFERROR(RiskRegister[[#This Row],[Residual Impact Rating]]*RiskRegister[[#This Row],[Residual Likelihood Rating]],"-- Error --")</f>
        <v>-- Error --</v>
      </c>
      <c r="Z684" s="16" t="s">
        <v>100</v>
      </c>
      <c r="AB684" s="39"/>
      <c r="AD684" s="20"/>
    </row>
    <row r="685" spans="1:30" s="16" customFormat="1" hidden="1" x14ac:dyDescent="0.25">
      <c r="A685" s="16">
        <v>682</v>
      </c>
      <c r="G685" s="16" t="s">
        <v>77</v>
      </c>
      <c r="I685" s="16" t="s">
        <v>75</v>
      </c>
      <c r="L685" s="105" t="s">
        <v>99</v>
      </c>
      <c r="M685" s="17" t="str">
        <f>VLOOKUP(RiskRegister[[#This Row],[Inherent Impact LevelL3:L1020D1007L3:L1019]],'Rating factors'!$F$4:$G$9,2,FALSE)</f>
        <v>--- Error ---</v>
      </c>
      <c r="N685" s="16" t="s">
        <v>79</v>
      </c>
      <c r="O685" s="17" t="str">
        <f>VLOOKUP(RiskRegister[[#This Row],[Inherent Likelihood Level]],'Rating factors'!$F$16:$G$21,2,FALSE)</f>
        <v>--- Error ---</v>
      </c>
      <c r="P685" s="17" t="str">
        <f>IFERROR(VLOOKUP(RiskRegister[[#This Row],[Inherent Risk Rating]],'Rating factors'!$F$30:$G$44,2,FALSE),"-- Error --")</f>
        <v>-- Error --</v>
      </c>
      <c r="Q685" s="17" t="str">
        <f>IFERROR(RiskRegister[[#This Row],[Inherent Impact Rating]]*RiskRegister[[#This Row],[Inherent Likelihood Rating]],"-- Error --")</f>
        <v>-- Error --</v>
      </c>
      <c r="R685" s="16" t="s">
        <v>98</v>
      </c>
      <c r="T685" s="16" t="s">
        <v>99</v>
      </c>
      <c r="U685" s="17" t="e" cm="1">
        <f t="array" aca="1" ref="U685" ca="1">+U685:Y1019VLOOKUP(RiskRegister[[#This Row],[Residual Impact Level]],'Rating factors'!$F$4:$G$9,2,FALSE)</f>
        <v>#NAME?</v>
      </c>
      <c r="V685" s="16" t="s">
        <v>79</v>
      </c>
      <c r="W685" s="17" t="str">
        <f>VLOOKUP(RiskRegister[[#This Row],[Residual Likelihood Level]],'Rating factors'!$F$16:$G$21,2,FALSE)</f>
        <v>--- Error ---</v>
      </c>
      <c r="X685" s="17" t="str">
        <f ca="1">IFERROR(VLOOKUP(RiskRegister[[#This Row],[Residual Risk Rating]],'Rating factors'!$F$30:$G$44,2,FALSE),"-- Error --")</f>
        <v>-- Error --</v>
      </c>
      <c r="Y685" s="17" t="str">
        <f ca="1">IFERROR(RiskRegister[[#This Row],[Residual Impact Rating]]*RiskRegister[[#This Row],[Residual Likelihood Rating]],"-- Error --")</f>
        <v>-- Error --</v>
      </c>
      <c r="Z685" s="16" t="s">
        <v>100</v>
      </c>
      <c r="AB685" s="39"/>
      <c r="AD685" s="20"/>
    </row>
    <row r="686" spans="1:30" s="16" customFormat="1" hidden="1" x14ac:dyDescent="0.25">
      <c r="A686" s="16">
        <v>683</v>
      </c>
      <c r="G686" s="16" t="s">
        <v>77</v>
      </c>
      <c r="I686" s="16" t="s">
        <v>75</v>
      </c>
      <c r="L686" s="105" t="s">
        <v>99</v>
      </c>
      <c r="M686" s="17" t="str">
        <f>VLOOKUP(RiskRegister[[#This Row],[Inherent Impact LevelL3:L1020D1007L3:L1019]],'Rating factors'!$F$4:$G$9,2,FALSE)</f>
        <v>--- Error ---</v>
      </c>
      <c r="N686" s="16" t="s">
        <v>79</v>
      </c>
      <c r="O686" s="17" t="str">
        <f>VLOOKUP(RiskRegister[[#This Row],[Inherent Likelihood Level]],'Rating factors'!$F$16:$G$21,2,FALSE)</f>
        <v>--- Error ---</v>
      </c>
      <c r="P686" s="17" t="str">
        <f>IFERROR(VLOOKUP(RiskRegister[[#This Row],[Inherent Risk Rating]],'Rating factors'!$F$30:$G$44,2,FALSE),"-- Error --")</f>
        <v>-- Error --</v>
      </c>
      <c r="Q686" s="17" t="str">
        <f>IFERROR(RiskRegister[[#This Row],[Inherent Impact Rating]]*RiskRegister[[#This Row],[Inherent Likelihood Rating]],"-- Error --")</f>
        <v>-- Error --</v>
      </c>
      <c r="R686" s="16" t="s">
        <v>98</v>
      </c>
      <c r="T686" s="16" t="s">
        <v>99</v>
      </c>
      <c r="U686" s="17" t="e" cm="1">
        <f t="array" aca="1" ref="U686" ca="1">+U686:Y1019VLOOKUP(RiskRegister[[#This Row],[Residual Impact Level]],'Rating factors'!$F$4:$G$9,2,FALSE)</f>
        <v>#NAME?</v>
      </c>
      <c r="V686" s="16" t="s">
        <v>79</v>
      </c>
      <c r="W686" s="17" t="str">
        <f>VLOOKUP(RiskRegister[[#This Row],[Residual Likelihood Level]],'Rating factors'!$F$16:$G$21,2,FALSE)</f>
        <v>--- Error ---</v>
      </c>
      <c r="X686" s="17" t="str">
        <f ca="1">IFERROR(VLOOKUP(RiskRegister[[#This Row],[Residual Risk Rating]],'Rating factors'!$F$30:$G$44,2,FALSE),"-- Error --")</f>
        <v>-- Error --</v>
      </c>
      <c r="Y686" s="17" t="str">
        <f ca="1">IFERROR(RiskRegister[[#This Row],[Residual Impact Rating]]*RiskRegister[[#This Row],[Residual Likelihood Rating]],"-- Error --")</f>
        <v>-- Error --</v>
      </c>
      <c r="Z686" s="16" t="s">
        <v>100</v>
      </c>
      <c r="AB686" s="39"/>
      <c r="AD686" s="20"/>
    </row>
    <row r="687" spans="1:30" s="16" customFormat="1" hidden="1" x14ac:dyDescent="0.25">
      <c r="A687" s="16">
        <v>684</v>
      </c>
      <c r="G687" s="16" t="s">
        <v>77</v>
      </c>
      <c r="I687" s="16" t="s">
        <v>75</v>
      </c>
      <c r="L687" s="105" t="s">
        <v>99</v>
      </c>
      <c r="M687" s="17" t="str">
        <f>VLOOKUP(RiskRegister[[#This Row],[Inherent Impact LevelL3:L1020D1007L3:L1019]],'Rating factors'!$F$4:$G$9,2,FALSE)</f>
        <v>--- Error ---</v>
      </c>
      <c r="N687" s="16" t="s">
        <v>79</v>
      </c>
      <c r="O687" s="17" t="str">
        <f>VLOOKUP(RiskRegister[[#This Row],[Inherent Likelihood Level]],'Rating factors'!$F$16:$G$21,2,FALSE)</f>
        <v>--- Error ---</v>
      </c>
      <c r="P687" s="17" t="str">
        <f>IFERROR(VLOOKUP(RiskRegister[[#This Row],[Inherent Risk Rating]],'Rating factors'!$F$30:$G$44,2,FALSE),"-- Error --")</f>
        <v>-- Error --</v>
      </c>
      <c r="Q687" s="17" t="str">
        <f>IFERROR(RiskRegister[[#This Row],[Inherent Impact Rating]]*RiskRegister[[#This Row],[Inherent Likelihood Rating]],"-- Error --")</f>
        <v>-- Error --</v>
      </c>
      <c r="R687" s="16" t="s">
        <v>98</v>
      </c>
      <c r="T687" s="16" t="s">
        <v>99</v>
      </c>
      <c r="U687" s="17" t="e" cm="1">
        <f t="array" aca="1" ref="U687" ca="1">+U687:Y1019VLOOKUP(RiskRegister[[#This Row],[Residual Impact Level]],'Rating factors'!$F$4:$G$9,2,FALSE)</f>
        <v>#NAME?</v>
      </c>
      <c r="V687" s="16" t="s">
        <v>79</v>
      </c>
      <c r="W687" s="17" t="str">
        <f>VLOOKUP(RiskRegister[[#This Row],[Residual Likelihood Level]],'Rating factors'!$F$16:$G$21,2,FALSE)</f>
        <v>--- Error ---</v>
      </c>
      <c r="X687" s="17" t="str">
        <f ca="1">IFERROR(VLOOKUP(RiskRegister[[#This Row],[Residual Risk Rating]],'Rating factors'!$F$30:$G$44,2,FALSE),"-- Error --")</f>
        <v>-- Error --</v>
      </c>
      <c r="Y687" s="17" t="str">
        <f ca="1">IFERROR(RiskRegister[[#This Row],[Residual Impact Rating]]*RiskRegister[[#This Row],[Residual Likelihood Rating]],"-- Error --")</f>
        <v>-- Error --</v>
      </c>
      <c r="Z687" s="16" t="s">
        <v>100</v>
      </c>
      <c r="AB687" s="39"/>
      <c r="AD687" s="20"/>
    </row>
    <row r="688" spans="1:30" s="16" customFormat="1" hidden="1" x14ac:dyDescent="0.25">
      <c r="A688" s="16">
        <v>685</v>
      </c>
      <c r="G688" s="16" t="s">
        <v>77</v>
      </c>
      <c r="I688" s="16" t="s">
        <v>75</v>
      </c>
      <c r="L688" s="105" t="s">
        <v>99</v>
      </c>
      <c r="M688" s="17" t="str">
        <f>VLOOKUP(RiskRegister[[#This Row],[Inherent Impact LevelL3:L1020D1007L3:L1019]],'Rating factors'!$F$4:$G$9,2,FALSE)</f>
        <v>--- Error ---</v>
      </c>
      <c r="N688" s="16" t="s">
        <v>79</v>
      </c>
      <c r="O688" s="17" t="str">
        <f>VLOOKUP(RiskRegister[[#This Row],[Inherent Likelihood Level]],'Rating factors'!$F$16:$G$21,2,FALSE)</f>
        <v>--- Error ---</v>
      </c>
      <c r="P688" s="17" t="str">
        <f>IFERROR(VLOOKUP(RiskRegister[[#This Row],[Inherent Risk Rating]],'Rating factors'!$F$30:$G$44,2,FALSE),"-- Error --")</f>
        <v>-- Error --</v>
      </c>
      <c r="Q688" s="17" t="str">
        <f>IFERROR(RiskRegister[[#This Row],[Inherent Impact Rating]]*RiskRegister[[#This Row],[Inherent Likelihood Rating]],"-- Error --")</f>
        <v>-- Error --</v>
      </c>
      <c r="R688" s="16" t="s">
        <v>98</v>
      </c>
      <c r="T688" s="16" t="s">
        <v>99</v>
      </c>
      <c r="U688" s="17" t="e" cm="1">
        <f t="array" aca="1" ref="U688" ca="1">+U688:Y1019VLOOKUP(RiskRegister[[#This Row],[Residual Impact Level]],'Rating factors'!$F$4:$G$9,2,FALSE)</f>
        <v>#NAME?</v>
      </c>
      <c r="V688" s="16" t="s">
        <v>79</v>
      </c>
      <c r="W688" s="17" t="str">
        <f>VLOOKUP(RiskRegister[[#This Row],[Residual Likelihood Level]],'Rating factors'!$F$16:$G$21,2,FALSE)</f>
        <v>--- Error ---</v>
      </c>
      <c r="X688" s="17" t="str">
        <f ca="1">IFERROR(VLOOKUP(RiskRegister[[#This Row],[Residual Risk Rating]],'Rating factors'!$F$30:$G$44,2,FALSE),"-- Error --")</f>
        <v>-- Error --</v>
      </c>
      <c r="Y688" s="17" t="str">
        <f ca="1">IFERROR(RiskRegister[[#This Row],[Residual Impact Rating]]*RiskRegister[[#This Row],[Residual Likelihood Rating]],"-- Error --")</f>
        <v>-- Error --</v>
      </c>
      <c r="Z688" s="16" t="s">
        <v>100</v>
      </c>
      <c r="AB688" s="39"/>
      <c r="AD688" s="20"/>
    </row>
    <row r="689" spans="1:30" s="16" customFormat="1" hidden="1" x14ac:dyDescent="0.25">
      <c r="A689" s="16">
        <v>686</v>
      </c>
      <c r="G689" s="16" t="s">
        <v>77</v>
      </c>
      <c r="I689" s="16" t="s">
        <v>75</v>
      </c>
      <c r="L689" s="105" t="s">
        <v>99</v>
      </c>
      <c r="M689" s="17" t="str">
        <f>VLOOKUP(RiskRegister[[#This Row],[Inherent Impact LevelL3:L1020D1007L3:L1019]],'Rating factors'!$F$4:$G$9,2,FALSE)</f>
        <v>--- Error ---</v>
      </c>
      <c r="N689" s="16" t="s">
        <v>79</v>
      </c>
      <c r="O689" s="17" t="str">
        <f>VLOOKUP(RiskRegister[[#This Row],[Inherent Likelihood Level]],'Rating factors'!$F$16:$G$21,2,FALSE)</f>
        <v>--- Error ---</v>
      </c>
      <c r="P689" s="17" t="str">
        <f>IFERROR(VLOOKUP(RiskRegister[[#This Row],[Inherent Risk Rating]],'Rating factors'!$F$30:$G$44,2,FALSE),"-- Error --")</f>
        <v>-- Error --</v>
      </c>
      <c r="Q689" s="17" t="str">
        <f>IFERROR(RiskRegister[[#This Row],[Inherent Impact Rating]]*RiskRegister[[#This Row],[Inherent Likelihood Rating]],"-- Error --")</f>
        <v>-- Error --</v>
      </c>
      <c r="R689" s="16" t="s">
        <v>98</v>
      </c>
      <c r="T689" s="16" t="s">
        <v>99</v>
      </c>
      <c r="U689" s="17" t="e" cm="1">
        <f t="array" aca="1" ref="U689" ca="1">+U689:Y1019VLOOKUP(RiskRegister[[#This Row],[Residual Impact Level]],'Rating factors'!$F$4:$G$9,2,FALSE)</f>
        <v>#NAME?</v>
      </c>
      <c r="V689" s="16" t="s">
        <v>79</v>
      </c>
      <c r="W689" s="17" t="str">
        <f>VLOOKUP(RiskRegister[[#This Row],[Residual Likelihood Level]],'Rating factors'!$F$16:$G$21,2,FALSE)</f>
        <v>--- Error ---</v>
      </c>
      <c r="X689" s="17" t="str">
        <f ca="1">IFERROR(VLOOKUP(RiskRegister[[#This Row],[Residual Risk Rating]],'Rating factors'!$F$30:$G$44,2,FALSE),"-- Error --")</f>
        <v>-- Error --</v>
      </c>
      <c r="Y689" s="17" t="str">
        <f ca="1">IFERROR(RiskRegister[[#This Row],[Residual Impact Rating]]*RiskRegister[[#This Row],[Residual Likelihood Rating]],"-- Error --")</f>
        <v>-- Error --</v>
      </c>
      <c r="Z689" s="16" t="s">
        <v>100</v>
      </c>
      <c r="AB689" s="39"/>
      <c r="AD689" s="20"/>
    </row>
    <row r="690" spans="1:30" s="16" customFormat="1" hidden="1" x14ac:dyDescent="0.25">
      <c r="A690" s="16">
        <v>687</v>
      </c>
      <c r="G690" s="16" t="s">
        <v>77</v>
      </c>
      <c r="I690" s="16" t="s">
        <v>75</v>
      </c>
      <c r="L690" s="105" t="s">
        <v>99</v>
      </c>
      <c r="M690" s="17" t="str">
        <f>VLOOKUP(RiskRegister[[#This Row],[Inherent Impact LevelL3:L1020D1007L3:L1019]],'Rating factors'!$F$4:$G$9,2,FALSE)</f>
        <v>--- Error ---</v>
      </c>
      <c r="N690" s="16" t="s">
        <v>79</v>
      </c>
      <c r="O690" s="17" t="str">
        <f>VLOOKUP(RiskRegister[[#This Row],[Inherent Likelihood Level]],'Rating factors'!$F$16:$G$21,2,FALSE)</f>
        <v>--- Error ---</v>
      </c>
      <c r="P690" s="17" t="str">
        <f>IFERROR(VLOOKUP(RiskRegister[[#This Row],[Inherent Risk Rating]],'Rating factors'!$F$30:$G$44,2,FALSE),"-- Error --")</f>
        <v>-- Error --</v>
      </c>
      <c r="Q690" s="17" t="str">
        <f>IFERROR(RiskRegister[[#This Row],[Inherent Impact Rating]]*RiskRegister[[#This Row],[Inherent Likelihood Rating]],"-- Error --")</f>
        <v>-- Error --</v>
      </c>
      <c r="R690" s="16" t="s">
        <v>98</v>
      </c>
      <c r="T690" s="16" t="s">
        <v>99</v>
      </c>
      <c r="U690" s="17" t="e" cm="1">
        <f t="array" aca="1" ref="U690" ca="1">+U690:Y1019VLOOKUP(RiskRegister[[#This Row],[Residual Impact Level]],'Rating factors'!$F$4:$G$9,2,FALSE)</f>
        <v>#NAME?</v>
      </c>
      <c r="V690" s="16" t="s">
        <v>79</v>
      </c>
      <c r="W690" s="17" t="str">
        <f>VLOOKUP(RiskRegister[[#This Row],[Residual Likelihood Level]],'Rating factors'!$F$16:$G$21,2,FALSE)</f>
        <v>--- Error ---</v>
      </c>
      <c r="X690" s="17" t="str">
        <f ca="1">IFERROR(VLOOKUP(RiskRegister[[#This Row],[Residual Risk Rating]],'Rating factors'!$F$30:$G$44,2,FALSE),"-- Error --")</f>
        <v>-- Error --</v>
      </c>
      <c r="Y690" s="17" t="str">
        <f ca="1">IFERROR(RiskRegister[[#This Row],[Residual Impact Rating]]*RiskRegister[[#This Row],[Residual Likelihood Rating]],"-- Error --")</f>
        <v>-- Error --</v>
      </c>
      <c r="Z690" s="16" t="s">
        <v>100</v>
      </c>
      <c r="AB690" s="39"/>
      <c r="AD690" s="20"/>
    </row>
    <row r="691" spans="1:30" s="16" customFormat="1" hidden="1" x14ac:dyDescent="0.25">
      <c r="A691" s="16">
        <v>688</v>
      </c>
      <c r="G691" s="16" t="s">
        <v>77</v>
      </c>
      <c r="I691" s="16" t="s">
        <v>75</v>
      </c>
      <c r="L691" s="105" t="s">
        <v>99</v>
      </c>
      <c r="M691" s="17" t="str">
        <f>VLOOKUP(RiskRegister[[#This Row],[Inherent Impact LevelL3:L1020D1007L3:L1019]],'Rating factors'!$F$4:$G$9,2,FALSE)</f>
        <v>--- Error ---</v>
      </c>
      <c r="N691" s="16" t="s">
        <v>79</v>
      </c>
      <c r="O691" s="17" t="str">
        <f>VLOOKUP(RiskRegister[[#This Row],[Inherent Likelihood Level]],'Rating factors'!$F$16:$G$21,2,FALSE)</f>
        <v>--- Error ---</v>
      </c>
      <c r="P691" s="17" t="str">
        <f>IFERROR(VLOOKUP(RiskRegister[[#This Row],[Inherent Risk Rating]],'Rating factors'!$F$30:$G$44,2,FALSE),"-- Error --")</f>
        <v>-- Error --</v>
      </c>
      <c r="Q691" s="17" t="str">
        <f>IFERROR(RiskRegister[[#This Row],[Inherent Impact Rating]]*RiskRegister[[#This Row],[Inherent Likelihood Rating]],"-- Error --")</f>
        <v>-- Error --</v>
      </c>
      <c r="R691" s="16" t="s">
        <v>98</v>
      </c>
      <c r="T691" s="16" t="s">
        <v>99</v>
      </c>
      <c r="U691" s="17" t="e" cm="1">
        <f t="array" aca="1" ref="U691" ca="1">+U691:Y1019VLOOKUP(RiskRegister[[#This Row],[Residual Impact Level]],'Rating factors'!$F$4:$G$9,2,FALSE)</f>
        <v>#NAME?</v>
      </c>
      <c r="V691" s="16" t="s">
        <v>79</v>
      </c>
      <c r="W691" s="17" t="str">
        <f>VLOOKUP(RiskRegister[[#This Row],[Residual Likelihood Level]],'Rating factors'!$F$16:$G$21,2,FALSE)</f>
        <v>--- Error ---</v>
      </c>
      <c r="X691" s="17" t="str">
        <f ca="1">IFERROR(VLOOKUP(RiskRegister[[#This Row],[Residual Risk Rating]],'Rating factors'!$F$30:$G$44,2,FALSE),"-- Error --")</f>
        <v>-- Error --</v>
      </c>
      <c r="Y691" s="17" t="str">
        <f ca="1">IFERROR(RiskRegister[[#This Row],[Residual Impact Rating]]*RiskRegister[[#This Row],[Residual Likelihood Rating]],"-- Error --")</f>
        <v>-- Error --</v>
      </c>
      <c r="Z691" s="16" t="s">
        <v>100</v>
      </c>
      <c r="AB691" s="39"/>
      <c r="AD691" s="20"/>
    </row>
    <row r="692" spans="1:30" s="16" customFormat="1" hidden="1" x14ac:dyDescent="0.25">
      <c r="A692" s="16">
        <v>689</v>
      </c>
      <c r="G692" s="16" t="s">
        <v>77</v>
      </c>
      <c r="I692" s="16" t="s">
        <v>75</v>
      </c>
      <c r="L692" s="105" t="s">
        <v>99</v>
      </c>
      <c r="M692" s="17" t="str">
        <f>VLOOKUP(RiskRegister[[#This Row],[Inherent Impact LevelL3:L1020D1007L3:L1019]],'Rating factors'!$F$4:$G$9,2,FALSE)</f>
        <v>--- Error ---</v>
      </c>
      <c r="N692" s="16" t="s">
        <v>79</v>
      </c>
      <c r="O692" s="17" t="str">
        <f>VLOOKUP(RiskRegister[[#This Row],[Inherent Likelihood Level]],'Rating factors'!$F$16:$G$21,2,FALSE)</f>
        <v>--- Error ---</v>
      </c>
      <c r="P692" s="17" t="str">
        <f>IFERROR(VLOOKUP(RiskRegister[[#This Row],[Inherent Risk Rating]],'Rating factors'!$F$30:$G$44,2,FALSE),"-- Error --")</f>
        <v>-- Error --</v>
      </c>
      <c r="Q692" s="17" t="str">
        <f>IFERROR(RiskRegister[[#This Row],[Inherent Impact Rating]]*RiskRegister[[#This Row],[Inherent Likelihood Rating]],"-- Error --")</f>
        <v>-- Error --</v>
      </c>
      <c r="R692" s="16" t="s">
        <v>98</v>
      </c>
      <c r="T692" s="16" t="s">
        <v>99</v>
      </c>
      <c r="U692" s="17" t="e" cm="1">
        <f t="array" aca="1" ref="U692" ca="1">+U692:Y1019VLOOKUP(RiskRegister[[#This Row],[Residual Impact Level]],'Rating factors'!$F$4:$G$9,2,FALSE)</f>
        <v>#NAME?</v>
      </c>
      <c r="V692" s="16" t="s">
        <v>79</v>
      </c>
      <c r="W692" s="17" t="str">
        <f>VLOOKUP(RiskRegister[[#This Row],[Residual Likelihood Level]],'Rating factors'!$F$16:$G$21,2,FALSE)</f>
        <v>--- Error ---</v>
      </c>
      <c r="X692" s="17" t="str">
        <f ca="1">IFERROR(VLOOKUP(RiskRegister[[#This Row],[Residual Risk Rating]],'Rating factors'!$F$30:$G$44,2,FALSE),"-- Error --")</f>
        <v>-- Error --</v>
      </c>
      <c r="Y692" s="17" t="str">
        <f ca="1">IFERROR(RiskRegister[[#This Row],[Residual Impact Rating]]*RiskRegister[[#This Row],[Residual Likelihood Rating]],"-- Error --")</f>
        <v>-- Error --</v>
      </c>
      <c r="Z692" s="16" t="s">
        <v>100</v>
      </c>
      <c r="AB692" s="39"/>
      <c r="AD692" s="20"/>
    </row>
    <row r="693" spans="1:30" s="16" customFormat="1" hidden="1" x14ac:dyDescent="0.25">
      <c r="A693" s="16">
        <v>690</v>
      </c>
      <c r="G693" s="16" t="s">
        <v>77</v>
      </c>
      <c r="I693" s="16" t="s">
        <v>75</v>
      </c>
      <c r="L693" s="105" t="s">
        <v>99</v>
      </c>
      <c r="M693" s="17" t="str">
        <f>VLOOKUP(RiskRegister[[#This Row],[Inherent Impact LevelL3:L1020D1007L3:L1019]],'Rating factors'!$F$4:$G$9,2,FALSE)</f>
        <v>--- Error ---</v>
      </c>
      <c r="N693" s="16" t="s">
        <v>79</v>
      </c>
      <c r="O693" s="17" t="str">
        <f>VLOOKUP(RiskRegister[[#This Row],[Inherent Likelihood Level]],'Rating factors'!$F$16:$G$21,2,FALSE)</f>
        <v>--- Error ---</v>
      </c>
      <c r="P693" s="17" t="str">
        <f>IFERROR(VLOOKUP(RiskRegister[[#This Row],[Inherent Risk Rating]],'Rating factors'!$F$30:$G$44,2,FALSE),"-- Error --")</f>
        <v>-- Error --</v>
      </c>
      <c r="Q693" s="17" t="str">
        <f>IFERROR(RiskRegister[[#This Row],[Inherent Impact Rating]]*RiskRegister[[#This Row],[Inherent Likelihood Rating]],"-- Error --")</f>
        <v>-- Error --</v>
      </c>
      <c r="R693" s="16" t="s">
        <v>98</v>
      </c>
      <c r="T693" s="16" t="s">
        <v>99</v>
      </c>
      <c r="U693" s="17" t="e" cm="1">
        <f t="array" aca="1" ref="U693" ca="1">+U693:Y1019VLOOKUP(RiskRegister[[#This Row],[Residual Impact Level]],'Rating factors'!$F$4:$G$9,2,FALSE)</f>
        <v>#NAME?</v>
      </c>
      <c r="V693" s="16" t="s">
        <v>79</v>
      </c>
      <c r="W693" s="17" t="str">
        <f>VLOOKUP(RiskRegister[[#This Row],[Residual Likelihood Level]],'Rating factors'!$F$16:$G$21,2,FALSE)</f>
        <v>--- Error ---</v>
      </c>
      <c r="X693" s="17" t="str">
        <f ca="1">IFERROR(VLOOKUP(RiskRegister[[#This Row],[Residual Risk Rating]],'Rating factors'!$F$30:$G$44,2,FALSE),"-- Error --")</f>
        <v>-- Error --</v>
      </c>
      <c r="Y693" s="17" t="str">
        <f ca="1">IFERROR(RiskRegister[[#This Row],[Residual Impact Rating]]*RiskRegister[[#This Row],[Residual Likelihood Rating]],"-- Error --")</f>
        <v>-- Error --</v>
      </c>
      <c r="Z693" s="16" t="s">
        <v>100</v>
      </c>
      <c r="AB693" s="39"/>
      <c r="AD693" s="20"/>
    </row>
    <row r="694" spans="1:30" s="16" customFormat="1" hidden="1" x14ac:dyDescent="0.25">
      <c r="A694" s="16">
        <v>691</v>
      </c>
      <c r="G694" s="16" t="s">
        <v>77</v>
      </c>
      <c r="I694" s="16" t="s">
        <v>75</v>
      </c>
      <c r="L694" s="105" t="s">
        <v>99</v>
      </c>
      <c r="M694" s="17" t="str">
        <f>VLOOKUP(RiskRegister[[#This Row],[Inherent Impact LevelL3:L1020D1007L3:L1019]],'Rating factors'!$F$4:$G$9,2,FALSE)</f>
        <v>--- Error ---</v>
      </c>
      <c r="N694" s="16" t="s">
        <v>79</v>
      </c>
      <c r="O694" s="17" t="str">
        <f>VLOOKUP(RiskRegister[[#This Row],[Inherent Likelihood Level]],'Rating factors'!$F$16:$G$21,2,FALSE)</f>
        <v>--- Error ---</v>
      </c>
      <c r="P694" s="17" t="str">
        <f>IFERROR(VLOOKUP(RiskRegister[[#This Row],[Inherent Risk Rating]],'Rating factors'!$F$30:$G$44,2,FALSE),"-- Error --")</f>
        <v>-- Error --</v>
      </c>
      <c r="Q694" s="17" t="str">
        <f>IFERROR(RiskRegister[[#This Row],[Inherent Impact Rating]]*RiskRegister[[#This Row],[Inherent Likelihood Rating]],"-- Error --")</f>
        <v>-- Error --</v>
      </c>
      <c r="R694" s="16" t="s">
        <v>98</v>
      </c>
      <c r="T694" s="16" t="s">
        <v>99</v>
      </c>
      <c r="U694" s="17" t="e" cm="1">
        <f t="array" aca="1" ref="U694" ca="1">+U694:Y1019VLOOKUP(RiskRegister[[#This Row],[Residual Impact Level]],'Rating factors'!$F$4:$G$9,2,FALSE)</f>
        <v>#NAME?</v>
      </c>
      <c r="V694" s="16" t="s">
        <v>79</v>
      </c>
      <c r="W694" s="17" t="str">
        <f>VLOOKUP(RiskRegister[[#This Row],[Residual Likelihood Level]],'Rating factors'!$F$16:$G$21,2,FALSE)</f>
        <v>--- Error ---</v>
      </c>
      <c r="X694" s="17" t="str">
        <f ca="1">IFERROR(VLOOKUP(RiskRegister[[#This Row],[Residual Risk Rating]],'Rating factors'!$F$30:$G$44,2,FALSE),"-- Error --")</f>
        <v>-- Error --</v>
      </c>
      <c r="Y694" s="17" t="str">
        <f ca="1">IFERROR(RiskRegister[[#This Row],[Residual Impact Rating]]*RiskRegister[[#This Row],[Residual Likelihood Rating]],"-- Error --")</f>
        <v>-- Error --</v>
      </c>
      <c r="Z694" s="16" t="s">
        <v>100</v>
      </c>
      <c r="AB694" s="39"/>
      <c r="AD694" s="20"/>
    </row>
    <row r="695" spans="1:30" s="16" customFormat="1" hidden="1" x14ac:dyDescent="0.25">
      <c r="A695" s="16">
        <v>692</v>
      </c>
      <c r="G695" s="16" t="s">
        <v>77</v>
      </c>
      <c r="I695" s="16" t="s">
        <v>75</v>
      </c>
      <c r="L695" s="105" t="s">
        <v>99</v>
      </c>
      <c r="M695" s="17" t="str">
        <f>VLOOKUP(RiskRegister[[#This Row],[Inherent Impact LevelL3:L1020D1007L3:L1019]],'Rating factors'!$F$4:$G$9,2,FALSE)</f>
        <v>--- Error ---</v>
      </c>
      <c r="N695" s="16" t="s">
        <v>79</v>
      </c>
      <c r="O695" s="17" t="str">
        <f>VLOOKUP(RiskRegister[[#This Row],[Inherent Likelihood Level]],'Rating factors'!$F$16:$G$21,2,FALSE)</f>
        <v>--- Error ---</v>
      </c>
      <c r="P695" s="17" t="str">
        <f>IFERROR(VLOOKUP(RiskRegister[[#This Row],[Inherent Risk Rating]],'Rating factors'!$F$30:$G$44,2,FALSE),"-- Error --")</f>
        <v>-- Error --</v>
      </c>
      <c r="Q695" s="17" t="str">
        <f>IFERROR(RiskRegister[[#This Row],[Inherent Impact Rating]]*RiskRegister[[#This Row],[Inherent Likelihood Rating]],"-- Error --")</f>
        <v>-- Error --</v>
      </c>
      <c r="R695" s="16" t="s">
        <v>98</v>
      </c>
      <c r="T695" s="16" t="s">
        <v>99</v>
      </c>
      <c r="U695" s="17" t="e" cm="1">
        <f t="array" aca="1" ref="U695" ca="1">+U695:Y1019VLOOKUP(RiskRegister[[#This Row],[Residual Impact Level]],'Rating factors'!$F$4:$G$9,2,FALSE)</f>
        <v>#NAME?</v>
      </c>
      <c r="V695" s="16" t="s">
        <v>79</v>
      </c>
      <c r="W695" s="17" t="str">
        <f>VLOOKUP(RiskRegister[[#This Row],[Residual Likelihood Level]],'Rating factors'!$F$16:$G$21,2,FALSE)</f>
        <v>--- Error ---</v>
      </c>
      <c r="X695" s="17" t="str">
        <f ca="1">IFERROR(VLOOKUP(RiskRegister[[#This Row],[Residual Risk Rating]],'Rating factors'!$F$30:$G$44,2,FALSE),"-- Error --")</f>
        <v>-- Error --</v>
      </c>
      <c r="Y695" s="17" t="str">
        <f ca="1">IFERROR(RiskRegister[[#This Row],[Residual Impact Rating]]*RiskRegister[[#This Row],[Residual Likelihood Rating]],"-- Error --")</f>
        <v>-- Error --</v>
      </c>
      <c r="Z695" s="16" t="s">
        <v>100</v>
      </c>
      <c r="AB695" s="39"/>
      <c r="AD695" s="20"/>
    </row>
    <row r="696" spans="1:30" s="16" customFormat="1" hidden="1" x14ac:dyDescent="0.25">
      <c r="A696" s="16">
        <v>693</v>
      </c>
      <c r="G696" s="16" t="s">
        <v>77</v>
      </c>
      <c r="I696" s="16" t="s">
        <v>75</v>
      </c>
      <c r="L696" s="105" t="s">
        <v>99</v>
      </c>
      <c r="M696" s="17" t="str">
        <f>VLOOKUP(RiskRegister[[#This Row],[Inherent Impact LevelL3:L1020D1007L3:L1019]],'Rating factors'!$F$4:$G$9,2,FALSE)</f>
        <v>--- Error ---</v>
      </c>
      <c r="N696" s="16" t="s">
        <v>79</v>
      </c>
      <c r="O696" s="17" t="str">
        <f>VLOOKUP(RiskRegister[[#This Row],[Inherent Likelihood Level]],'Rating factors'!$F$16:$G$21,2,FALSE)</f>
        <v>--- Error ---</v>
      </c>
      <c r="P696" s="17" t="str">
        <f>IFERROR(VLOOKUP(RiskRegister[[#This Row],[Inherent Risk Rating]],'Rating factors'!$F$30:$G$44,2,FALSE),"-- Error --")</f>
        <v>-- Error --</v>
      </c>
      <c r="Q696" s="17" t="str">
        <f>IFERROR(RiskRegister[[#This Row],[Inherent Impact Rating]]*RiskRegister[[#This Row],[Inherent Likelihood Rating]],"-- Error --")</f>
        <v>-- Error --</v>
      </c>
      <c r="R696" s="16" t="s">
        <v>98</v>
      </c>
      <c r="T696" s="16" t="s">
        <v>99</v>
      </c>
      <c r="U696" s="17" t="e" cm="1">
        <f t="array" aca="1" ref="U696" ca="1">+U696:Y1019VLOOKUP(RiskRegister[[#This Row],[Residual Impact Level]],'Rating factors'!$F$4:$G$9,2,FALSE)</f>
        <v>#NAME?</v>
      </c>
      <c r="V696" s="16" t="s">
        <v>79</v>
      </c>
      <c r="W696" s="17" t="str">
        <f>VLOOKUP(RiskRegister[[#This Row],[Residual Likelihood Level]],'Rating factors'!$F$16:$G$21,2,FALSE)</f>
        <v>--- Error ---</v>
      </c>
      <c r="X696" s="17" t="str">
        <f ca="1">IFERROR(VLOOKUP(RiskRegister[[#This Row],[Residual Risk Rating]],'Rating factors'!$F$30:$G$44,2,FALSE),"-- Error --")</f>
        <v>-- Error --</v>
      </c>
      <c r="Y696" s="17" t="str">
        <f ca="1">IFERROR(RiskRegister[[#This Row],[Residual Impact Rating]]*RiskRegister[[#This Row],[Residual Likelihood Rating]],"-- Error --")</f>
        <v>-- Error --</v>
      </c>
      <c r="Z696" s="16" t="s">
        <v>100</v>
      </c>
      <c r="AB696" s="39"/>
      <c r="AD696" s="20"/>
    </row>
    <row r="697" spans="1:30" s="16" customFormat="1" hidden="1" x14ac:dyDescent="0.25">
      <c r="A697" s="16">
        <v>694</v>
      </c>
      <c r="G697" s="16" t="s">
        <v>77</v>
      </c>
      <c r="I697" s="16" t="s">
        <v>75</v>
      </c>
      <c r="L697" s="105" t="s">
        <v>99</v>
      </c>
      <c r="M697" s="17" t="str">
        <f>VLOOKUP(RiskRegister[[#This Row],[Inherent Impact LevelL3:L1020D1007L3:L1019]],'Rating factors'!$F$4:$G$9,2,FALSE)</f>
        <v>--- Error ---</v>
      </c>
      <c r="N697" s="16" t="s">
        <v>79</v>
      </c>
      <c r="O697" s="17" t="str">
        <f>VLOOKUP(RiskRegister[[#This Row],[Inherent Likelihood Level]],'Rating factors'!$F$16:$G$21,2,FALSE)</f>
        <v>--- Error ---</v>
      </c>
      <c r="P697" s="17" t="str">
        <f>IFERROR(VLOOKUP(RiskRegister[[#This Row],[Inherent Risk Rating]],'Rating factors'!$F$30:$G$44,2,FALSE),"-- Error --")</f>
        <v>-- Error --</v>
      </c>
      <c r="Q697" s="17" t="str">
        <f>IFERROR(RiskRegister[[#This Row],[Inherent Impact Rating]]*RiskRegister[[#This Row],[Inherent Likelihood Rating]],"-- Error --")</f>
        <v>-- Error --</v>
      </c>
      <c r="R697" s="16" t="s">
        <v>98</v>
      </c>
      <c r="T697" s="16" t="s">
        <v>99</v>
      </c>
      <c r="U697" s="17" t="e" cm="1">
        <f t="array" aca="1" ref="U697" ca="1">+U697:Y1019VLOOKUP(RiskRegister[[#This Row],[Residual Impact Level]],'Rating factors'!$F$4:$G$9,2,FALSE)</f>
        <v>#NAME?</v>
      </c>
      <c r="V697" s="16" t="s">
        <v>79</v>
      </c>
      <c r="W697" s="17" t="str">
        <f>VLOOKUP(RiskRegister[[#This Row],[Residual Likelihood Level]],'Rating factors'!$F$16:$G$21,2,FALSE)</f>
        <v>--- Error ---</v>
      </c>
      <c r="X697" s="17" t="str">
        <f ca="1">IFERROR(VLOOKUP(RiskRegister[[#This Row],[Residual Risk Rating]],'Rating factors'!$F$30:$G$44,2,FALSE),"-- Error --")</f>
        <v>-- Error --</v>
      </c>
      <c r="Y697" s="17" t="str">
        <f ca="1">IFERROR(RiskRegister[[#This Row],[Residual Impact Rating]]*RiskRegister[[#This Row],[Residual Likelihood Rating]],"-- Error --")</f>
        <v>-- Error --</v>
      </c>
      <c r="Z697" s="16" t="s">
        <v>100</v>
      </c>
      <c r="AB697" s="39"/>
      <c r="AD697" s="20"/>
    </row>
    <row r="698" spans="1:30" s="16" customFormat="1" hidden="1" x14ac:dyDescent="0.25">
      <c r="A698" s="16">
        <v>695</v>
      </c>
      <c r="G698" s="16" t="s">
        <v>77</v>
      </c>
      <c r="I698" s="16" t="s">
        <v>75</v>
      </c>
      <c r="L698" s="105" t="s">
        <v>99</v>
      </c>
      <c r="M698" s="17" t="str">
        <f>VLOOKUP(RiskRegister[[#This Row],[Inherent Impact LevelL3:L1020D1007L3:L1019]],'Rating factors'!$F$4:$G$9,2,FALSE)</f>
        <v>--- Error ---</v>
      </c>
      <c r="N698" s="16" t="s">
        <v>79</v>
      </c>
      <c r="O698" s="17" t="str">
        <f>VLOOKUP(RiskRegister[[#This Row],[Inherent Likelihood Level]],'Rating factors'!$F$16:$G$21,2,FALSE)</f>
        <v>--- Error ---</v>
      </c>
      <c r="P698" s="17" t="str">
        <f>IFERROR(VLOOKUP(RiskRegister[[#This Row],[Inherent Risk Rating]],'Rating factors'!$F$30:$G$44,2,FALSE),"-- Error --")</f>
        <v>-- Error --</v>
      </c>
      <c r="Q698" s="17" t="str">
        <f>IFERROR(RiskRegister[[#This Row],[Inherent Impact Rating]]*RiskRegister[[#This Row],[Inherent Likelihood Rating]],"-- Error --")</f>
        <v>-- Error --</v>
      </c>
      <c r="R698" s="16" t="s">
        <v>98</v>
      </c>
      <c r="T698" s="16" t="s">
        <v>99</v>
      </c>
      <c r="U698" s="17" t="e" cm="1">
        <f t="array" aca="1" ref="U698" ca="1">+U698:Y1019VLOOKUP(RiskRegister[[#This Row],[Residual Impact Level]],'Rating factors'!$F$4:$G$9,2,FALSE)</f>
        <v>#NAME?</v>
      </c>
      <c r="V698" s="16" t="s">
        <v>79</v>
      </c>
      <c r="W698" s="17" t="str">
        <f>VLOOKUP(RiskRegister[[#This Row],[Residual Likelihood Level]],'Rating factors'!$F$16:$G$21,2,FALSE)</f>
        <v>--- Error ---</v>
      </c>
      <c r="X698" s="17" t="str">
        <f ca="1">IFERROR(VLOOKUP(RiskRegister[[#This Row],[Residual Risk Rating]],'Rating factors'!$F$30:$G$44,2,FALSE),"-- Error --")</f>
        <v>-- Error --</v>
      </c>
      <c r="Y698" s="17" t="str">
        <f ca="1">IFERROR(RiskRegister[[#This Row],[Residual Impact Rating]]*RiskRegister[[#This Row],[Residual Likelihood Rating]],"-- Error --")</f>
        <v>-- Error --</v>
      </c>
      <c r="Z698" s="16" t="s">
        <v>100</v>
      </c>
      <c r="AB698" s="39"/>
      <c r="AD698" s="20"/>
    </row>
    <row r="699" spans="1:30" s="16" customFormat="1" hidden="1" x14ac:dyDescent="0.25">
      <c r="A699" s="16">
        <v>696</v>
      </c>
      <c r="G699" s="16" t="s">
        <v>77</v>
      </c>
      <c r="I699" s="16" t="s">
        <v>75</v>
      </c>
      <c r="L699" s="105" t="s">
        <v>99</v>
      </c>
      <c r="M699" s="17" t="str">
        <f>VLOOKUP(RiskRegister[[#This Row],[Inherent Impact LevelL3:L1020D1007L3:L1019]],'Rating factors'!$F$4:$G$9,2,FALSE)</f>
        <v>--- Error ---</v>
      </c>
      <c r="N699" s="16" t="s">
        <v>79</v>
      </c>
      <c r="O699" s="17" t="str">
        <f>VLOOKUP(RiskRegister[[#This Row],[Inherent Likelihood Level]],'Rating factors'!$F$16:$G$21,2,FALSE)</f>
        <v>--- Error ---</v>
      </c>
      <c r="P699" s="17" t="str">
        <f>IFERROR(VLOOKUP(RiskRegister[[#This Row],[Inherent Risk Rating]],'Rating factors'!$F$30:$G$44,2,FALSE),"-- Error --")</f>
        <v>-- Error --</v>
      </c>
      <c r="Q699" s="17" t="str">
        <f>IFERROR(RiskRegister[[#This Row],[Inherent Impact Rating]]*RiskRegister[[#This Row],[Inherent Likelihood Rating]],"-- Error --")</f>
        <v>-- Error --</v>
      </c>
      <c r="R699" s="16" t="s">
        <v>98</v>
      </c>
      <c r="T699" s="16" t="s">
        <v>99</v>
      </c>
      <c r="U699" s="17" t="e" cm="1">
        <f t="array" aca="1" ref="U699" ca="1">+U699:Y1019VLOOKUP(RiskRegister[[#This Row],[Residual Impact Level]],'Rating factors'!$F$4:$G$9,2,FALSE)</f>
        <v>#NAME?</v>
      </c>
      <c r="V699" s="16" t="s">
        <v>79</v>
      </c>
      <c r="W699" s="17" t="str">
        <f>VLOOKUP(RiskRegister[[#This Row],[Residual Likelihood Level]],'Rating factors'!$F$16:$G$21,2,FALSE)</f>
        <v>--- Error ---</v>
      </c>
      <c r="X699" s="17" t="str">
        <f ca="1">IFERROR(VLOOKUP(RiskRegister[[#This Row],[Residual Risk Rating]],'Rating factors'!$F$30:$G$44,2,FALSE),"-- Error --")</f>
        <v>-- Error --</v>
      </c>
      <c r="Y699" s="17" t="str">
        <f ca="1">IFERROR(RiskRegister[[#This Row],[Residual Impact Rating]]*RiskRegister[[#This Row],[Residual Likelihood Rating]],"-- Error --")</f>
        <v>-- Error --</v>
      </c>
      <c r="Z699" s="16" t="s">
        <v>100</v>
      </c>
      <c r="AB699" s="39"/>
      <c r="AD699" s="20"/>
    </row>
    <row r="700" spans="1:30" s="16" customFormat="1" hidden="1" x14ac:dyDescent="0.25">
      <c r="A700" s="16">
        <v>697</v>
      </c>
      <c r="G700" s="16" t="s">
        <v>77</v>
      </c>
      <c r="I700" s="16" t="s">
        <v>75</v>
      </c>
      <c r="L700" s="105" t="s">
        <v>99</v>
      </c>
      <c r="M700" s="17" t="str">
        <f>VLOOKUP(RiskRegister[[#This Row],[Inherent Impact LevelL3:L1020D1007L3:L1019]],'Rating factors'!$F$4:$G$9,2,FALSE)</f>
        <v>--- Error ---</v>
      </c>
      <c r="N700" s="16" t="s">
        <v>79</v>
      </c>
      <c r="O700" s="17" t="str">
        <f>VLOOKUP(RiskRegister[[#This Row],[Inherent Likelihood Level]],'Rating factors'!$F$16:$G$21,2,FALSE)</f>
        <v>--- Error ---</v>
      </c>
      <c r="P700" s="17" t="str">
        <f>IFERROR(VLOOKUP(RiskRegister[[#This Row],[Inherent Risk Rating]],'Rating factors'!$F$30:$G$44,2,FALSE),"-- Error --")</f>
        <v>-- Error --</v>
      </c>
      <c r="Q700" s="17" t="str">
        <f>IFERROR(RiskRegister[[#This Row],[Inherent Impact Rating]]*RiskRegister[[#This Row],[Inherent Likelihood Rating]],"-- Error --")</f>
        <v>-- Error --</v>
      </c>
      <c r="R700" s="16" t="s">
        <v>98</v>
      </c>
      <c r="T700" s="16" t="s">
        <v>99</v>
      </c>
      <c r="U700" s="17" t="e" cm="1">
        <f t="array" aca="1" ref="U700" ca="1">+U700:Y1019VLOOKUP(RiskRegister[[#This Row],[Residual Impact Level]],'Rating factors'!$F$4:$G$9,2,FALSE)</f>
        <v>#NAME?</v>
      </c>
      <c r="V700" s="16" t="s">
        <v>79</v>
      </c>
      <c r="W700" s="17" t="str">
        <f>VLOOKUP(RiskRegister[[#This Row],[Residual Likelihood Level]],'Rating factors'!$F$16:$G$21,2,FALSE)</f>
        <v>--- Error ---</v>
      </c>
      <c r="X700" s="17" t="str">
        <f ca="1">IFERROR(VLOOKUP(RiskRegister[[#This Row],[Residual Risk Rating]],'Rating factors'!$F$30:$G$44,2,FALSE),"-- Error --")</f>
        <v>-- Error --</v>
      </c>
      <c r="Y700" s="17" t="str">
        <f ca="1">IFERROR(RiskRegister[[#This Row],[Residual Impact Rating]]*RiskRegister[[#This Row],[Residual Likelihood Rating]],"-- Error --")</f>
        <v>-- Error --</v>
      </c>
      <c r="Z700" s="16" t="s">
        <v>100</v>
      </c>
      <c r="AB700" s="39"/>
      <c r="AD700" s="20"/>
    </row>
    <row r="701" spans="1:30" s="16" customFormat="1" hidden="1" x14ac:dyDescent="0.25">
      <c r="A701" s="16">
        <v>698</v>
      </c>
      <c r="G701" s="16" t="s">
        <v>77</v>
      </c>
      <c r="I701" s="16" t="s">
        <v>75</v>
      </c>
      <c r="L701" s="105" t="s">
        <v>99</v>
      </c>
      <c r="M701" s="17" t="str">
        <f>VLOOKUP(RiskRegister[[#This Row],[Inherent Impact LevelL3:L1020D1007L3:L1019]],'Rating factors'!$F$4:$G$9,2,FALSE)</f>
        <v>--- Error ---</v>
      </c>
      <c r="N701" s="16" t="s">
        <v>79</v>
      </c>
      <c r="O701" s="17" t="str">
        <f>VLOOKUP(RiskRegister[[#This Row],[Inherent Likelihood Level]],'Rating factors'!$F$16:$G$21,2,FALSE)</f>
        <v>--- Error ---</v>
      </c>
      <c r="P701" s="17" t="str">
        <f>IFERROR(VLOOKUP(RiskRegister[[#This Row],[Inherent Risk Rating]],'Rating factors'!$F$30:$G$44,2,FALSE),"-- Error --")</f>
        <v>-- Error --</v>
      </c>
      <c r="Q701" s="17" t="str">
        <f>IFERROR(RiskRegister[[#This Row],[Inherent Impact Rating]]*RiskRegister[[#This Row],[Inherent Likelihood Rating]],"-- Error --")</f>
        <v>-- Error --</v>
      </c>
      <c r="R701" s="16" t="s">
        <v>98</v>
      </c>
      <c r="T701" s="16" t="s">
        <v>99</v>
      </c>
      <c r="U701" s="17" t="e" cm="1">
        <f t="array" aca="1" ref="U701" ca="1">+U701:Y1019VLOOKUP(RiskRegister[[#This Row],[Residual Impact Level]],'Rating factors'!$F$4:$G$9,2,FALSE)</f>
        <v>#NAME?</v>
      </c>
      <c r="V701" s="16" t="s">
        <v>79</v>
      </c>
      <c r="W701" s="17" t="str">
        <f>VLOOKUP(RiskRegister[[#This Row],[Residual Likelihood Level]],'Rating factors'!$F$16:$G$21,2,FALSE)</f>
        <v>--- Error ---</v>
      </c>
      <c r="X701" s="17" t="str">
        <f ca="1">IFERROR(VLOOKUP(RiskRegister[[#This Row],[Residual Risk Rating]],'Rating factors'!$F$30:$G$44,2,FALSE),"-- Error --")</f>
        <v>-- Error --</v>
      </c>
      <c r="Y701" s="17" t="str">
        <f ca="1">IFERROR(RiskRegister[[#This Row],[Residual Impact Rating]]*RiskRegister[[#This Row],[Residual Likelihood Rating]],"-- Error --")</f>
        <v>-- Error --</v>
      </c>
      <c r="Z701" s="16" t="s">
        <v>100</v>
      </c>
      <c r="AB701" s="39"/>
      <c r="AD701" s="20"/>
    </row>
    <row r="702" spans="1:30" s="16" customFormat="1" hidden="1" x14ac:dyDescent="0.25">
      <c r="A702" s="16">
        <v>699</v>
      </c>
      <c r="G702" s="16" t="s">
        <v>77</v>
      </c>
      <c r="I702" s="16" t="s">
        <v>75</v>
      </c>
      <c r="L702" s="105" t="s">
        <v>99</v>
      </c>
      <c r="M702" s="17" t="str">
        <f>VLOOKUP(RiskRegister[[#This Row],[Inherent Impact LevelL3:L1020D1007L3:L1019]],'Rating factors'!$F$4:$G$9,2,FALSE)</f>
        <v>--- Error ---</v>
      </c>
      <c r="N702" s="16" t="s">
        <v>79</v>
      </c>
      <c r="O702" s="17" t="str">
        <f>VLOOKUP(RiskRegister[[#This Row],[Inherent Likelihood Level]],'Rating factors'!$F$16:$G$21,2,FALSE)</f>
        <v>--- Error ---</v>
      </c>
      <c r="P702" s="17" t="str">
        <f>IFERROR(VLOOKUP(RiskRegister[[#This Row],[Inherent Risk Rating]],'Rating factors'!$F$30:$G$44,2,FALSE),"-- Error --")</f>
        <v>-- Error --</v>
      </c>
      <c r="Q702" s="17" t="str">
        <f>IFERROR(RiskRegister[[#This Row],[Inherent Impact Rating]]*RiskRegister[[#This Row],[Inherent Likelihood Rating]],"-- Error --")</f>
        <v>-- Error --</v>
      </c>
      <c r="R702" s="16" t="s">
        <v>98</v>
      </c>
      <c r="T702" s="16" t="s">
        <v>99</v>
      </c>
      <c r="U702" s="17" t="e" cm="1">
        <f t="array" aca="1" ref="U702" ca="1">+U702:Y1019VLOOKUP(RiskRegister[[#This Row],[Residual Impact Level]],'Rating factors'!$F$4:$G$9,2,FALSE)</f>
        <v>#NAME?</v>
      </c>
      <c r="V702" s="16" t="s">
        <v>79</v>
      </c>
      <c r="W702" s="17" t="str">
        <f>VLOOKUP(RiskRegister[[#This Row],[Residual Likelihood Level]],'Rating factors'!$F$16:$G$21,2,FALSE)</f>
        <v>--- Error ---</v>
      </c>
      <c r="X702" s="17" t="str">
        <f ca="1">IFERROR(VLOOKUP(RiskRegister[[#This Row],[Residual Risk Rating]],'Rating factors'!$F$30:$G$44,2,FALSE),"-- Error --")</f>
        <v>-- Error --</v>
      </c>
      <c r="Y702" s="17" t="str">
        <f ca="1">IFERROR(RiskRegister[[#This Row],[Residual Impact Rating]]*RiskRegister[[#This Row],[Residual Likelihood Rating]],"-- Error --")</f>
        <v>-- Error --</v>
      </c>
      <c r="Z702" s="16" t="s">
        <v>100</v>
      </c>
      <c r="AB702" s="39"/>
      <c r="AD702" s="20"/>
    </row>
    <row r="703" spans="1:30" s="16" customFormat="1" hidden="1" x14ac:dyDescent="0.25">
      <c r="A703" s="16">
        <v>700</v>
      </c>
      <c r="G703" s="16" t="s">
        <v>77</v>
      </c>
      <c r="I703" s="16" t="s">
        <v>75</v>
      </c>
      <c r="L703" s="105" t="s">
        <v>99</v>
      </c>
      <c r="M703" s="17" t="str">
        <f>VLOOKUP(RiskRegister[[#This Row],[Inherent Impact LevelL3:L1020D1007L3:L1019]],'Rating factors'!$F$4:$G$9,2,FALSE)</f>
        <v>--- Error ---</v>
      </c>
      <c r="N703" s="16" t="s">
        <v>79</v>
      </c>
      <c r="O703" s="17" t="str">
        <f>VLOOKUP(RiskRegister[[#This Row],[Inherent Likelihood Level]],'Rating factors'!$F$16:$G$21,2,FALSE)</f>
        <v>--- Error ---</v>
      </c>
      <c r="P703" s="17" t="str">
        <f>IFERROR(VLOOKUP(RiskRegister[[#This Row],[Inherent Risk Rating]],'Rating factors'!$F$30:$G$44,2,FALSE),"-- Error --")</f>
        <v>-- Error --</v>
      </c>
      <c r="Q703" s="17" t="str">
        <f>IFERROR(RiskRegister[[#This Row],[Inherent Impact Rating]]*RiskRegister[[#This Row],[Inherent Likelihood Rating]],"-- Error --")</f>
        <v>-- Error --</v>
      </c>
      <c r="R703" s="16" t="s">
        <v>98</v>
      </c>
      <c r="T703" s="16" t="s">
        <v>99</v>
      </c>
      <c r="U703" s="17" t="e" cm="1">
        <f t="array" aca="1" ref="U703" ca="1">+U703:Y1019VLOOKUP(RiskRegister[[#This Row],[Residual Impact Level]],'Rating factors'!$F$4:$G$9,2,FALSE)</f>
        <v>#NAME?</v>
      </c>
      <c r="V703" s="16" t="s">
        <v>79</v>
      </c>
      <c r="W703" s="17" t="str">
        <f>VLOOKUP(RiskRegister[[#This Row],[Residual Likelihood Level]],'Rating factors'!$F$16:$G$21,2,FALSE)</f>
        <v>--- Error ---</v>
      </c>
      <c r="X703" s="17" t="str">
        <f ca="1">IFERROR(VLOOKUP(RiskRegister[[#This Row],[Residual Risk Rating]],'Rating factors'!$F$30:$G$44,2,FALSE),"-- Error --")</f>
        <v>-- Error --</v>
      </c>
      <c r="Y703" s="17" t="str">
        <f ca="1">IFERROR(RiskRegister[[#This Row],[Residual Impact Rating]]*RiskRegister[[#This Row],[Residual Likelihood Rating]],"-- Error --")</f>
        <v>-- Error --</v>
      </c>
      <c r="Z703" s="16" t="s">
        <v>100</v>
      </c>
      <c r="AB703" s="39"/>
      <c r="AD703" s="20"/>
    </row>
    <row r="704" spans="1:30" s="16" customFormat="1" hidden="1" x14ac:dyDescent="0.25">
      <c r="A704" s="16">
        <v>701</v>
      </c>
      <c r="G704" s="16" t="s">
        <v>77</v>
      </c>
      <c r="I704" s="16" t="s">
        <v>75</v>
      </c>
      <c r="L704" s="105" t="s">
        <v>99</v>
      </c>
      <c r="M704" s="17" t="str">
        <f>VLOOKUP(RiskRegister[[#This Row],[Inherent Impact LevelL3:L1020D1007L3:L1019]],'Rating factors'!$F$4:$G$9,2,FALSE)</f>
        <v>--- Error ---</v>
      </c>
      <c r="N704" s="16" t="s">
        <v>79</v>
      </c>
      <c r="O704" s="17" t="str">
        <f>VLOOKUP(RiskRegister[[#This Row],[Inherent Likelihood Level]],'Rating factors'!$F$16:$G$21,2,FALSE)</f>
        <v>--- Error ---</v>
      </c>
      <c r="P704" s="17" t="str">
        <f>IFERROR(VLOOKUP(RiskRegister[[#This Row],[Inherent Risk Rating]],'Rating factors'!$F$30:$G$44,2,FALSE),"-- Error --")</f>
        <v>-- Error --</v>
      </c>
      <c r="Q704" s="17" t="str">
        <f>IFERROR(RiskRegister[[#This Row],[Inherent Impact Rating]]*RiskRegister[[#This Row],[Inherent Likelihood Rating]],"-- Error --")</f>
        <v>-- Error --</v>
      </c>
      <c r="R704" s="16" t="s">
        <v>98</v>
      </c>
      <c r="T704" s="16" t="s">
        <v>99</v>
      </c>
      <c r="U704" s="17" t="e" cm="1">
        <f t="array" aca="1" ref="U704" ca="1">+U704:Y1019VLOOKUP(RiskRegister[[#This Row],[Residual Impact Level]],'Rating factors'!$F$4:$G$9,2,FALSE)</f>
        <v>#NAME?</v>
      </c>
      <c r="V704" s="16" t="s">
        <v>79</v>
      </c>
      <c r="W704" s="17" t="str">
        <f>VLOOKUP(RiskRegister[[#This Row],[Residual Likelihood Level]],'Rating factors'!$F$16:$G$21,2,FALSE)</f>
        <v>--- Error ---</v>
      </c>
      <c r="X704" s="17" t="str">
        <f ca="1">IFERROR(VLOOKUP(RiskRegister[[#This Row],[Residual Risk Rating]],'Rating factors'!$F$30:$G$44,2,FALSE),"-- Error --")</f>
        <v>-- Error --</v>
      </c>
      <c r="Y704" s="17" t="str">
        <f ca="1">IFERROR(RiskRegister[[#This Row],[Residual Impact Rating]]*RiskRegister[[#This Row],[Residual Likelihood Rating]],"-- Error --")</f>
        <v>-- Error --</v>
      </c>
      <c r="Z704" s="16" t="s">
        <v>100</v>
      </c>
      <c r="AB704" s="39"/>
      <c r="AD704" s="20"/>
    </row>
    <row r="705" spans="1:30" s="16" customFormat="1" hidden="1" x14ac:dyDescent="0.25">
      <c r="A705" s="16">
        <v>702</v>
      </c>
      <c r="G705" s="16" t="s">
        <v>77</v>
      </c>
      <c r="I705" s="16" t="s">
        <v>75</v>
      </c>
      <c r="L705" s="105" t="s">
        <v>99</v>
      </c>
      <c r="M705" s="17" t="str">
        <f>VLOOKUP(RiskRegister[[#This Row],[Inherent Impact LevelL3:L1020D1007L3:L1019]],'Rating factors'!$F$4:$G$9,2,FALSE)</f>
        <v>--- Error ---</v>
      </c>
      <c r="N705" s="16" t="s">
        <v>79</v>
      </c>
      <c r="O705" s="17" t="str">
        <f>VLOOKUP(RiskRegister[[#This Row],[Inherent Likelihood Level]],'Rating factors'!$F$16:$G$21,2,FALSE)</f>
        <v>--- Error ---</v>
      </c>
      <c r="P705" s="17" t="str">
        <f>IFERROR(VLOOKUP(RiskRegister[[#This Row],[Inherent Risk Rating]],'Rating factors'!$F$30:$G$44,2,FALSE),"-- Error --")</f>
        <v>-- Error --</v>
      </c>
      <c r="Q705" s="17" t="str">
        <f>IFERROR(RiskRegister[[#This Row],[Inherent Impact Rating]]*RiskRegister[[#This Row],[Inherent Likelihood Rating]],"-- Error --")</f>
        <v>-- Error --</v>
      </c>
      <c r="R705" s="16" t="s">
        <v>98</v>
      </c>
      <c r="T705" s="16" t="s">
        <v>99</v>
      </c>
      <c r="U705" s="17" t="e" cm="1">
        <f t="array" aca="1" ref="U705" ca="1">+U705:Y1019VLOOKUP(RiskRegister[[#This Row],[Residual Impact Level]],'Rating factors'!$F$4:$G$9,2,FALSE)</f>
        <v>#NAME?</v>
      </c>
      <c r="V705" s="16" t="s">
        <v>79</v>
      </c>
      <c r="W705" s="17" t="str">
        <f>VLOOKUP(RiskRegister[[#This Row],[Residual Likelihood Level]],'Rating factors'!$F$16:$G$21,2,FALSE)</f>
        <v>--- Error ---</v>
      </c>
      <c r="X705" s="17" t="str">
        <f ca="1">IFERROR(VLOOKUP(RiskRegister[[#This Row],[Residual Risk Rating]],'Rating factors'!$F$30:$G$44,2,FALSE),"-- Error --")</f>
        <v>-- Error --</v>
      </c>
      <c r="Y705" s="17" t="str">
        <f ca="1">IFERROR(RiskRegister[[#This Row],[Residual Impact Rating]]*RiskRegister[[#This Row],[Residual Likelihood Rating]],"-- Error --")</f>
        <v>-- Error --</v>
      </c>
      <c r="Z705" s="16" t="s">
        <v>100</v>
      </c>
      <c r="AB705" s="39"/>
      <c r="AD705" s="20"/>
    </row>
    <row r="706" spans="1:30" s="16" customFormat="1" hidden="1" x14ac:dyDescent="0.25">
      <c r="A706" s="16">
        <v>703</v>
      </c>
      <c r="G706" s="16" t="s">
        <v>77</v>
      </c>
      <c r="I706" s="16" t="s">
        <v>75</v>
      </c>
      <c r="L706" s="105" t="s">
        <v>99</v>
      </c>
      <c r="M706" s="17" t="str">
        <f>VLOOKUP(RiskRegister[[#This Row],[Inherent Impact LevelL3:L1020D1007L3:L1019]],'Rating factors'!$F$4:$G$9,2,FALSE)</f>
        <v>--- Error ---</v>
      </c>
      <c r="N706" s="16" t="s">
        <v>79</v>
      </c>
      <c r="O706" s="17" t="str">
        <f>VLOOKUP(RiskRegister[[#This Row],[Inherent Likelihood Level]],'Rating factors'!$F$16:$G$21,2,FALSE)</f>
        <v>--- Error ---</v>
      </c>
      <c r="P706" s="17" t="str">
        <f>IFERROR(VLOOKUP(RiskRegister[[#This Row],[Inherent Risk Rating]],'Rating factors'!$F$30:$G$44,2,FALSE),"-- Error --")</f>
        <v>-- Error --</v>
      </c>
      <c r="Q706" s="17" t="str">
        <f>IFERROR(RiskRegister[[#This Row],[Inherent Impact Rating]]*RiskRegister[[#This Row],[Inherent Likelihood Rating]],"-- Error --")</f>
        <v>-- Error --</v>
      </c>
      <c r="R706" s="16" t="s">
        <v>98</v>
      </c>
      <c r="T706" s="16" t="s">
        <v>99</v>
      </c>
      <c r="U706" s="17" t="e" cm="1">
        <f t="array" aca="1" ref="U706" ca="1">+U706:Y1019VLOOKUP(RiskRegister[[#This Row],[Residual Impact Level]],'Rating factors'!$F$4:$G$9,2,FALSE)</f>
        <v>#NAME?</v>
      </c>
      <c r="V706" s="16" t="s">
        <v>79</v>
      </c>
      <c r="W706" s="17" t="str">
        <f>VLOOKUP(RiskRegister[[#This Row],[Residual Likelihood Level]],'Rating factors'!$F$16:$G$21,2,FALSE)</f>
        <v>--- Error ---</v>
      </c>
      <c r="X706" s="17" t="str">
        <f ca="1">IFERROR(VLOOKUP(RiskRegister[[#This Row],[Residual Risk Rating]],'Rating factors'!$F$30:$G$44,2,FALSE),"-- Error --")</f>
        <v>-- Error --</v>
      </c>
      <c r="Y706" s="17" t="str">
        <f ca="1">IFERROR(RiskRegister[[#This Row],[Residual Impact Rating]]*RiskRegister[[#This Row],[Residual Likelihood Rating]],"-- Error --")</f>
        <v>-- Error --</v>
      </c>
      <c r="Z706" s="16" t="s">
        <v>100</v>
      </c>
      <c r="AB706" s="39"/>
      <c r="AD706" s="20"/>
    </row>
    <row r="707" spans="1:30" s="16" customFormat="1" hidden="1" x14ac:dyDescent="0.25">
      <c r="A707" s="16">
        <v>704</v>
      </c>
      <c r="G707" s="16" t="s">
        <v>77</v>
      </c>
      <c r="I707" s="16" t="s">
        <v>75</v>
      </c>
      <c r="L707" s="105" t="s">
        <v>99</v>
      </c>
      <c r="M707" s="17" t="str">
        <f>VLOOKUP(RiskRegister[[#This Row],[Inherent Impact LevelL3:L1020D1007L3:L1019]],'Rating factors'!$F$4:$G$9,2,FALSE)</f>
        <v>--- Error ---</v>
      </c>
      <c r="N707" s="16" t="s">
        <v>79</v>
      </c>
      <c r="O707" s="17" t="str">
        <f>VLOOKUP(RiskRegister[[#This Row],[Inherent Likelihood Level]],'Rating factors'!$F$16:$G$21,2,FALSE)</f>
        <v>--- Error ---</v>
      </c>
      <c r="P707" s="17" t="str">
        <f>IFERROR(VLOOKUP(RiskRegister[[#This Row],[Inherent Risk Rating]],'Rating factors'!$F$30:$G$44,2,FALSE),"-- Error --")</f>
        <v>-- Error --</v>
      </c>
      <c r="Q707" s="17" t="str">
        <f>IFERROR(RiskRegister[[#This Row],[Inherent Impact Rating]]*RiskRegister[[#This Row],[Inherent Likelihood Rating]],"-- Error --")</f>
        <v>-- Error --</v>
      </c>
      <c r="R707" s="16" t="s">
        <v>98</v>
      </c>
      <c r="T707" s="16" t="s">
        <v>99</v>
      </c>
      <c r="U707" s="17" t="e" cm="1">
        <f t="array" aca="1" ref="U707" ca="1">+U707:Y1019VLOOKUP(RiskRegister[[#This Row],[Residual Impact Level]],'Rating factors'!$F$4:$G$9,2,FALSE)</f>
        <v>#NAME?</v>
      </c>
      <c r="V707" s="16" t="s">
        <v>79</v>
      </c>
      <c r="W707" s="17" t="str">
        <f>VLOOKUP(RiskRegister[[#This Row],[Residual Likelihood Level]],'Rating factors'!$F$16:$G$21,2,FALSE)</f>
        <v>--- Error ---</v>
      </c>
      <c r="X707" s="17" t="str">
        <f ca="1">IFERROR(VLOOKUP(RiskRegister[[#This Row],[Residual Risk Rating]],'Rating factors'!$F$30:$G$44,2,FALSE),"-- Error --")</f>
        <v>-- Error --</v>
      </c>
      <c r="Y707" s="17" t="str">
        <f ca="1">IFERROR(RiskRegister[[#This Row],[Residual Impact Rating]]*RiskRegister[[#This Row],[Residual Likelihood Rating]],"-- Error --")</f>
        <v>-- Error --</v>
      </c>
      <c r="Z707" s="16" t="s">
        <v>100</v>
      </c>
      <c r="AB707" s="39"/>
      <c r="AD707" s="20"/>
    </row>
    <row r="708" spans="1:30" s="16" customFormat="1" hidden="1" x14ac:dyDescent="0.25">
      <c r="A708" s="16">
        <v>705</v>
      </c>
      <c r="G708" s="16" t="s">
        <v>77</v>
      </c>
      <c r="I708" s="16" t="s">
        <v>75</v>
      </c>
      <c r="L708" s="105" t="s">
        <v>99</v>
      </c>
      <c r="M708" s="17" t="str">
        <f>VLOOKUP(RiskRegister[[#This Row],[Inherent Impact LevelL3:L1020D1007L3:L1019]],'Rating factors'!$F$4:$G$9,2,FALSE)</f>
        <v>--- Error ---</v>
      </c>
      <c r="N708" s="16" t="s">
        <v>79</v>
      </c>
      <c r="O708" s="17" t="str">
        <f>VLOOKUP(RiskRegister[[#This Row],[Inherent Likelihood Level]],'Rating factors'!$F$16:$G$21,2,FALSE)</f>
        <v>--- Error ---</v>
      </c>
      <c r="P708" s="17" t="str">
        <f>IFERROR(VLOOKUP(RiskRegister[[#This Row],[Inherent Risk Rating]],'Rating factors'!$F$30:$G$44,2,FALSE),"-- Error --")</f>
        <v>-- Error --</v>
      </c>
      <c r="Q708" s="17" t="str">
        <f>IFERROR(RiskRegister[[#This Row],[Inherent Impact Rating]]*RiskRegister[[#This Row],[Inherent Likelihood Rating]],"-- Error --")</f>
        <v>-- Error --</v>
      </c>
      <c r="R708" s="16" t="s">
        <v>98</v>
      </c>
      <c r="T708" s="16" t="s">
        <v>99</v>
      </c>
      <c r="U708" s="17" t="e" cm="1">
        <f t="array" aca="1" ref="U708" ca="1">+U708:Y1019VLOOKUP(RiskRegister[[#This Row],[Residual Impact Level]],'Rating factors'!$F$4:$G$9,2,FALSE)</f>
        <v>#NAME?</v>
      </c>
      <c r="V708" s="16" t="s">
        <v>79</v>
      </c>
      <c r="W708" s="17" t="str">
        <f>VLOOKUP(RiskRegister[[#This Row],[Residual Likelihood Level]],'Rating factors'!$F$16:$G$21,2,FALSE)</f>
        <v>--- Error ---</v>
      </c>
      <c r="X708" s="17" t="str">
        <f ca="1">IFERROR(VLOOKUP(RiskRegister[[#This Row],[Residual Risk Rating]],'Rating factors'!$F$30:$G$44,2,FALSE),"-- Error --")</f>
        <v>-- Error --</v>
      </c>
      <c r="Y708" s="17" t="str">
        <f ca="1">IFERROR(RiskRegister[[#This Row],[Residual Impact Rating]]*RiskRegister[[#This Row],[Residual Likelihood Rating]],"-- Error --")</f>
        <v>-- Error --</v>
      </c>
      <c r="Z708" s="16" t="s">
        <v>100</v>
      </c>
      <c r="AB708" s="39"/>
      <c r="AD708" s="20"/>
    </row>
    <row r="709" spans="1:30" s="16" customFormat="1" hidden="1" x14ac:dyDescent="0.25">
      <c r="A709" s="16">
        <v>706</v>
      </c>
      <c r="G709" s="16" t="s">
        <v>77</v>
      </c>
      <c r="I709" s="16" t="s">
        <v>75</v>
      </c>
      <c r="L709" s="105" t="s">
        <v>99</v>
      </c>
      <c r="M709" s="17" t="str">
        <f>VLOOKUP(RiskRegister[[#This Row],[Inherent Impact LevelL3:L1020D1007L3:L1019]],'Rating factors'!$F$4:$G$9,2,FALSE)</f>
        <v>--- Error ---</v>
      </c>
      <c r="N709" s="16" t="s">
        <v>79</v>
      </c>
      <c r="O709" s="17" t="str">
        <f>VLOOKUP(RiskRegister[[#This Row],[Inherent Likelihood Level]],'Rating factors'!$F$16:$G$21,2,FALSE)</f>
        <v>--- Error ---</v>
      </c>
      <c r="P709" s="17" t="str">
        <f>IFERROR(VLOOKUP(RiskRegister[[#This Row],[Inherent Risk Rating]],'Rating factors'!$F$30:$G$44,2,FALSE),"-- Error --")</f>
        <v>-- Error --</v>
      </c>
      <c r="Q709" s="17" t="str">
        <f>IFERROR(RiskRegister[[#This Row],[Inherent Impact Rating]]*RiskRegister[[#This Row],[Inherent Likelihood Rating]],"-- Error --")</f>
        <v>-- Error --</v>
      </c>
      <c r="R709" s="16" t="s">
        <v>98</v>
      </c>
      <c r="T709" s="16" t="s">
        <v>99</v>
      </c>
      <c r="U709" s="17" t="e" cm="1">
        <f t="array" aca="1" ref="U709" ca="1">+U709:Y1019VLOOKUP(RiskRegister[[#This Row],[Residual Impact Level]],'Rating factors'!$F$4:$G$9,2,FALSE)</f>
        <v>#NAME?</v>
      </c>
      <c r="V709" s="16" t="s">
        <v>79</v>
      </c>
      <c r="W709" s="17" t="str">
        <f>VLOOKUP(RiskRegister[[#This Row],[Residual Likelihood Level]],'Rating factors'!$F$16:$G$21,2,FALSE)</f>
        <v>--- Error ---</v>
      </c>
      <c r="X709" s="17" t="str">
        <f ca="1">IFERROR(VLOOKUP(RiskRegister[[#This Row],[Residual Risk Rating]],'Rating factors'!$F$30:$G$44,2,FALSE),"-- Error --")</f>
        <v>-- Error --</v>
      </c>
      <c r="Y709" s="17" t="str">
        <f ca="1">IFERROR(RiskRegister[[#This Row],[Residual Impact Rating]]*RiskRegister[[#This Row],[Residual Likelihood Rating]],"-- Error --")</f>
        <v>-- Error --</v>
      </c>
      <c r="Z709" s="16" t="s">
        <v>100</v>
      </c>
      <c r="AB709" s="39"/>
      <c r="AD709" s="20"/>
    </row>
    <row r="710" spans="1:30" s="16" customFormat="1" hidden="1" x14ac:dyDescent="0.25">
      <c r="A710" s="16">
        <v>707</v>
      </c>
      <c r="G710" s="16" t="s">
        <v>77</v>
      </c>
      <c r="I710" s="16" t="s">
        <v>75</v>
      </c>
      <c r="L710" s="105" t="s">
        <v>99</v>
      </c>
      <c r="M710" s="17" t="str">
        <f>VLOOKUP(RiskRegister[[#This Row],[Inherent Impact LevelL3:L1020D1007L3:L1019]],'Rating factors'!$F$4:$G$9,2,FALSE)</f>
        <v>--- Error ---</v>
      </c>
      <c r="N710" s="16" t="s">
        <v>79</v>
      </c>
      <c r="O710" s="17" t="str">
        <f>VLOOKUP(RiskRegister[[#This Row],[Inherent Likelihood Level]],'Rating factors'!$F$16:$G$21,2,FALSE)</f>
        <v>--- Error ---</v>
      </c>
      <c r="P710" s="17" t="str">
        <f>IFERROR(VLOOKUP(RiskRegister[[#This Row],[Inherent Risk Rating]],'Rating factors'!$F$30:$G$44,2,FALSE),"-- Error --")</f>
        <v>-- Error --</v>
      </c>
      <c r="Q710" s="17" t="str">
        <f>IFERROR(RiskRegister[[#This Row],[Inherent Impact Rating]]*RiskRegister[[#This Row],[Inherent Likelihood Rating]],"-- Error --")</f>
        <v>-- Error --</v>
      </c>
      <c r="R710" s="16" t="s">
        <v>98</v>
      </c>
      <c r="T710" s="16" t="s">
        <v>99</v>
      </c>
      <c r="U710" s="17" t="e" cm="1">
        <f t="array" aca="1" ref="U710" ca="1">+U710:Y1019VLOOKUP(RiskRegister[[#This Row],[Residual Impact Level]],'Rating factors'!$F$4:$G$9,2,FALSE)</f>
        <v>#NAME?</v>
      </c>
      <c r="V710" s="16" t="s">
        <v>79</v>
      </c>
      <c r="W710" s="17" t="str">
        <f>VLOOKUP(RiskRegister[[#This Row],[Residual Likelihood Level]],'Rating factors'!$F$16:$G$21,2,FALSE)</f>
        <v>--- Error ---</v>
      </c>
      <c r="X710" s="17" t="str">
        <f ca="1">IFERROR(VLOOKUP(RiskRegister[[#This Row],[Residual Risk Rating]],'Rating factors'!$F$30:$G$44,2,FALSE),"-- Error --")</f>
        <v>-- Error --</v>
      </c>
      <c r="Y710" s="17" t="str">
        <f ca="1">IFERROR(RiskRegister[[#This Row],[Residual Impact Rating]]*RiskRegister[[#This Row],[Residual Likelihood Rating]],"-- Error --")</f>
        <v>-- Error --</v>
      </c>
      <c r="Z710" s="16" t="s">
        <v>100</v>
      </c>
      <c r="AB710" s="39"/>
      <c r="AD710" s="20"/>
    </row>
    <row r="711" spans="1:30" s="16" customFormat="1" hidden="1" x14ac:dyDescent="0.25">
      <c r="A711" s="16">
        <v>708</v>
      </c>
      <c r="G711" s="16" t="s">
        <v>77</v>
      </c>
      <c r="I711" s="16" t="s">
        <v>75</v>
      </c>
      <c r="L711" s="105" t="s">
        <v>99</v>
      </c>
      <c r="M711" s="17" t="str">
        <f>VLOOKUP(RiskRegister[[#This Row],[Inherent Impact LevelL3:L1020D1007L3:L1019]],'Rating factors'!$F$4:$G$9,2,FALSE)</f>
        <v>--- Error ---</v>
      </c>
      <c r="N711" s="16" t="s">
        <v>79</v>
      </c>
      <c r="O711" s="17" t="str">
        <f>VLOOKUP(RiskRegister[[#This Row],[Inherent Likelihood Level]],'Rating factors'!$F$16:$G$21,2,FALSE)</f>
        <v>--- Error ---</v>
      </c>
      <c r="P711" s="17" t="str">
        <f>IFERROR(VLOOKUP(RiskRegister[[#This Row],[Inherent Risk Rating]],'Rating factors'!$F$30:$G$44,2,FALSE),"-- Error --")</f>
        <v>-- Error --</v>
      </c>
      <c r="Q711" s="17" t="str">
        <f>IFERROR(RiskRegister[[#This Row],[Inherent Impact Rating]]*RiskRegister[[#This Row],[Inherent Likelihood Rating]],"-- Error --")</f>
        <v>-- Error --</v>
      </c>
      <c r="R711" s="16" t="s">
        <v>98</v>
      </c>
      <c r="T711" s="16" t="s">
        <v>99</v>
      </c>
      <c r="U711" s="17" t="e" cm="1">
        <f t="array" aca="1" ref="U711" ca="1">+U711:Y1019VLOOKUP(RiskRegister[[#This Row],[Residual Impact Level]],'Rating factors'!$F$4:$G$9,2,FALSE)</f>
        <v>#NAME?</v>
      </c>
      <c r="V711" s="16" t="s">
        <v>79</v>
      </c>
      <c r="W711" s="17" t="str">
        <f>VLOOKUP(RiskRegister[[#This Row],[Residual Likelihood Level]],'Rating factors'!$F$16:$G$21,2,FALSE)</f>
        <v>--- Error ---</v>
      </c>
      <c r="X711" s="17" t="str">
        <f ca="1">IFERROR(VLOOKUP(RiskRegister[[#This Row],[Residual Risk Rating]],'Rating factors'!$F$30:$G$44,2,FALSE),"-- Error --")</f>
        <v>-- Error --</v>
      </c>
      <c r="Y711" s="17" t="str">
        <f ca="1">IFERROR(RiskRegister[[#This Row],[Residual Impact Rating]]*RiskRegister[[#This Row],[Residual Likelihood Rating]],"-- Error --")</f>
        <v>-- Error --</v>
      </c>
      <c r="Z711" s="16" t="s">
        <v>100</v>
      </c>
      <c r="AB711" s="39"/>
      <c r="AD711" s="20"/>
    </row>
    <row r="712" spans="1:30" s="16" customFormat="1" hidden="1" x14ac:dyDescent="0.25">
      <c r="A712" s="16">
        <v>709</v>
      </c>
      <c r="G712" s="16" t="s">
        <v>77</v>
      </c>
      <c r="I712" s="16" t="s">
        <v>75</v>
      </c>
      <c r="L712" s="105" t="s">
        <v>99</v>
      </c>
      <c r="M712" s="17" t="str">
        <f>VLOOKUP(RiskRegister[[#This Row],[Inherent Impact LevelL3:L1020D1007L3:L1019]],'Rating factors'!$F$4:$G$9,2,FALSE)</f>
        <v>--- Error ---</v>
      </c>
      <c r="N712" s="16" t="s">
        <v>79</v>
      </c>
      <c r="O712" s="17" t="str">
        <f>VLOOKUP(RiskRegister[[#This Row],[Inherent Likelihood Level]],'Rating factors'!$F$16:$G$21,2,FALSE)</f>
        <v>--- Error ---</v>
      </c>
      <c r="P712" s="17" t="str">
        <f>IFERROR(VLOOKUP(RiskRegister[[#This Row],[Inherent Risk Rating]],'Rating factors'!$F$30:$G$44,2,FALSE),"-- Error --")</f>
        <v>-- Error --</v>
      </c>
      <c r="Q712" s="17" t="str">
        <f>IFERROR(RiskRegister[[#This Row],[Inherent Impact Rating]]*RiskRegister[[#This Row],[Inherent Likelihood Rating]],"-- Error --")</f>
        <v>-- Error --</v>
      </c>
      <c r="R712" s="16" t="s">
        <v>98</v>
      </c>
      <c r="T712" s="16" t="s">
        <v>99</v>
      </c>
      <c r="U712" s="17" t="e" cm="1">
        <f t="array" aca="1" ref="U712" ca="1">+U712:Y1019VLOOKUP(RiskRegister[[#This Row],[Residual Impact Level]],'Rating factors'!$F$4:$G$9,2,FALSE)</f>
        <v>#NAME?</v>
      </c>
      <c r="V712" s="16" t="s">
        <v>79</v>
      </c>
      <c r="W712" s="17" t="str">
        <f>VLOOKUP(RiskRegister[[#This Row],[Residual Likelihood Level]],'Rating factors'!$F$16:$G$21,2,FALSE)</f>
        <v>--- Error ---</v>
      </c>
      <c r="X712" s="17" t="str">
        <f ca="1">IFERROR(VLOOKUP(RiskRegister[[#This Row],[Residual Risk Rating]],'Rating factors'!$F$30:$G$44,2,FALSE),"-- Error --")</f>
        <v>-- Error --</v>
      </c>
      <c r="Y712" s="17" t="str">
        <f ca="1">IFERROR(RiskRegister[[#This Row],[Residual Impact Rating]]*RiskRegister[[#This Row],[Residual Likelihood Rating]],"-- Error --")</f>
        <v>-- Error --</v>
      </c>
      <c r="Z712" s="16" t="s">
        <v>100</v>
      </c>
      <c r="AB712" s="39"/>
      <c r="AD712" s="20"/>
    </row>
    <row r="713" spans="1:30" s="16" customFormat="1" hidden="1" x14ac:dyDescent="0.25">
      <c r="A713" s="16">
        <v>710</v>
      </c>
      <c r="G713" s="16" t="s">
        <v>77</v>
      </c>
      <c r="I713" s="16" t="s">
        <v>75</v>
      </c>
      <c r="L713" s="105" t="s">
        <v>99</v>
      </c>
      <c r="M713" s="17" t="str">
        <f>VLOOKUP(RiskRegister[[#This Row],[Inherent Impact LevelL3:L1020D1007L3:L1019]],'Rating factors'!$F$4:$G$9,2,FALSE)</f>
        <v>--- Error ---</v>
      </c>
      <c r="N713" s="16" t="s">
        <v>79</v>
      </c>
      <c r="O713" s="17" t="str">
        <f>VLOOKUP(RiskRegister[[#This Row],[Inherent Likelihood Level]],'Rating factors'!$F$16:$G$21,2,FALSE)</f>
        <v>--- Error ---</v>
      </c>
      <c r="P713" s="17" t="str">
        <f>IFERROR(VLOOKUP(RiskRegister[[#This Row],[Inherent Risk Rating]],'Rating factors'!$F$30:$G$44,2,FALSE),"-- Error --")</f>
        <v>-- Error --</v>
      </c>
      <c r="Q713" s="17" t="str">
        <f>IFERROR(RiskRegister[[#This Row],[Inherent Impact Rating]]*RiskRegister[[#This Row],[Inherent Likelihood Rating]],"-- Error --")</f>
        <v>-- Error --</v>
      </c>
      <c r="R713" s="16" t="s">
        <v>98</v>
      </c>
      <c r="T713" s="16" t="s">
        <v>99</v>
      </c>
      <c r="U713" s="17" t="e" cm="1">
        <f t="array" aca="1" ref="U713" ca="1">+U713:Y1019VLOOKUP(RiskRegister[[#This Row],[Residual Impact Level]],'Rating factors'!$F$4:$G$9,2,FALSE)</f>
        <v>#NAME?</v>
      </c>
      <c r="V713" s="16" t="s">
        <v>79</v>
      </c>
      <c r="W713" s="17" t="str">
        <f>VLOOKUP(RiskRegister[[#This Row],[Residual Likelihood Level]],'Rating factors'!$F$16:$G$21,2,FALSE)</f>
        <v>--- Error ---</v>
      </c>
      <c r="X713" s="17" t="str">
        <f ca="1">IFERROR(VLOOKUP(RiskRegister[[#This Row],[Residual Risk Rating]],'Rating factors'!$F$30:$G$44,2,FALSE),"-- Error --")</f>
        <v>-- Error --</v>
      </c>
      <c r="Y713" s="17" t="str">
        <f ca="1">IFERROR(RiskRegister[[#This Row],[Residual Impact Rating]]*RiskRegister[[#This Row],[Residual Likelihood Rating]],"-- Error --")</f>
        <v>-- Error --</v>
      </c>
      <c r="Z713" s="16" t="s">
        <v>100</v>
      </c>
      <c r="AB713" s="39"/>
      <c r="AD713" s="20"/>
    </row>
    <row r="714" spans="1:30" s="16" customFormat="1" hidden="1" x14ac:dyDescent="0.25">
      <c r="A714" s="16">
        <v>711</v>
      </c>
      <c r="G714" s="16" t="s">
        <v>77</v>
      </c>
      <c r="I714" s="16" t="s">
        <v>75</v>
      </c>
      <c r="L714" s="105" t="s">
        <v>99</v>
      </c>
      <c r="M714" s="17" t="str">
        <f>VLOOKUP(RiskRegister[[#This Row],[Inherent Impact LevelL3:L1020D1007L3:L1019]],'Rating factors'!$F$4:$G$9,2,FALSE)</f>
        <v>--- Error ---</v>
      </c>
      <c r="N714" s="16" t="s">
        <v>79</v>
      </c>
      <c r="O714" s="17" t="str">
        <f>VLOOKUP(RiskRegister[[#This Row],[Inherent Likelihood Level]],'Rating factors'!$F$16:$G$21,2,FALSE)</f>
        <v>--- Error ---</v>
      </c>
      <c r="P714" s="17" t="str">
        <f>IFERROR(VLOOKUP(RiskRegister[[#This Row],[Inherent Risk Rating]],'Rating factors'!$F$30:$G$44,2,FALSE),"-- Error --")</f>
        <v>-- Error --</v>
      </c>
      <c r="Q714" s="17" t="str">
        <f>IFERROR(RiskRegister[[#This Row],[Inherent Impact Rating]]*RiskRegister[[#This Row],[Inherent Likelihood Rating]],"-- Error --")</f>
        <v>-- Error --</v>
      </c>
      <c r="R714" s="16" t="s">
        <v>98</v>
      </c>
      <c r="T714" s="16" t="s">
        <v>99</v>
      </c>
      <c r="U714" s="17" t="e" cm="1">
        <f t="array" aca="1" ref="U714" ca="1">+U714:Y1019VLOOKUP(RiskRegister[[#This Row],[Residual Impact Level]],'Rating factors'!$F$4:$G$9,2,FALSE)</f>
        <v>#NAME?</v>
      </c>
      <c r="V714" s="16" t="s">
        <v>79</v>
      </c>
      <c r="W714" s="17" t="str">
        <f>VLOOKUP(RiskRegister[[#This Row],[Residual Likelihood Level]],'Rating factors'!$F$16:$G$21,2,FALSE)</f>
        <v>--- Error ---</v>
      </c>
      <c r="X714" s="17" t="str">
        <f ca="1">IFERROR(VLOOKUP(RiskRegister[[#This Row],[Residual Risk Rating]],'Rating factors'!$F$30:$G$44,2,FALSE),"-- Error --")</f>
        <v>-- Error --</v>
      </c>
      <c r="Y714" s="17" t="str">
        <f ca="1">IFERROR(RiskRegister[[#This Row],[Residual Impact Rating]]*RiskRegister[[#This Row],[Residual Likelihood Rating]],"-- Error --")</f>
        <v>-- Error --</v>
      </c>
      <c r="Z714" s="16" t="s">
        <v>100</v>
      </c>
      <c r="AB714" s="39"/>
      <c r="AD714" s="20"/>
    </row>
    <row r="715" spans="1:30" s="16" customFormat="1" hidden="1" x14ac:dyDescent="0.25">
      <c r="A715" s="16">
        <v>712</v>
      </c>
      <c r="G715" s="16" t="s">
        <v>77</v>
      </c>
      <c r="I715" s="16" t="s">
        <v>75</v>
      </c>
      <c r="L715" s="105" t="s">
        <v>99</v>
      </c>
      <c r="M715" s="17" t="str">
        <f>VLOOKUP(RiskRegister[[#This Row],[Inherent Impact LevelL3:L1020D1007L3:L1019]],'Rating factors'!$F$4:$G$9,2,FALSE)</f>
        <v>--- Error ---</v>
      </c>
      <c r="N715" s="16" t="s">
        <v>79</v>
      </c>
      <c r="O715" s="17" t="str">
        <f>VLOOKUP(RiskRegister[[#This Row],[Inherent Likelihood Level]],'Rating factors'!$F$16:$G$21,2,FALSE)</f>
        <v>--- Error ---</v>
      </c>
      <c r="P715" s="17" t="str">
        <f>IFERROR(VLOOKUP(RiskRegister[[#This Row],[Inherent Risk Rating]],'Rating factors'!$F$30:$G$44,2,FALSE),"-- Error --")</f>
        <v>-- Error --</v>
      </c>
      <c r="Q715" s="17" t="str">
        <f>IFERROR(RiskRegister[[#This Row],[Inherent Impact Rating]]*RiskRegister[[#This Row],[Inherent Likelihood Rating]],"-- Error --")</f>
        <v>-- Error --</v>
      </c>
      <c r="R715" s="16" t="s">
        <v>98</v>
      </c>
      <c r="T715" s="16" t="s">
        <v>99</v>
      </c>
      <c r="U715" s="17" t="e" cm="1">
        <f t="array" aca="1" ref="U715" ca="1">+U715:Y1019VLOOKUP(RiskRegister[[#This Row],[Residual Impact Level]],'Rating factors'!$F$4:$G$9,2,FALSE)</f>
        <v>#NAME?</v>
      </c>
      <c r="V715" s="16" t="s">
        <v>79</v>
      </c>
      <c r="W715" s="17" t="str">
        <f>VLOOKUP(RiskRegister[[#This Row],[Residual Likelihood Level]],'Rating factors'!$F$16:$G$21,2,FALSE)</f>
        <v>--- Error ---</v>
      </c>
      <c r="X715" s="17" t="str">
        <f ca="1">IFERROR(VLOOKUP(RiskRegister[[#This Row],[Residual Risk Rating]],'Rating factors'!$F$30:$G$44,2,FALSE),"-- Error --")</f>
        <v>-- Error --</v>
      </c>
      <c r="Y715" s="17" t="str">
        <f ca="1">IFERROR(RiskRegister[[#This Row],[Residual Impact Rating]]*RiskRegister[[#This Row],[Residual Likelihood Rating]],"-- Error --")</f>
        <v>-- Error --</v>
      </c>
      <c r="Z715" s="16" t="s">
        <v>100</v>
      </c>
      <c r="AB715" s="39"/>
      <c r="AD715" s="20"/>
    </row>
    <row r="716" spans="1:30" s="16" customFormat="1" hidden="1" x14ac:dyDescent="0.25">
      <c r="A716" s="16">
        <v>713</v>
      </c>
      <c r="G716" s="16" t="s">
        <v>77</v>
      </c>
      <c r="I716" s="16" t="s">
        <v>75</v>
      </c>
      <c r="L716" s="105" t="s">
        <v>99</v>
      </c>
      <c r="M716" s="17" t="str">
        <f>VLOOKUP(RiskRegister[[#This Row],[Inherent Impact LevelL3:L1020D1007L3:L1019]],'Rating factors'!$F$4:$G$9,2,FALSE)</f>
        <v>--- Error ---</v>
      </c>
      <c r="N716" s="16" t="s">
        <v>79</v>
      </c>
      <c r="O716" s="17" t="str">
        <f>VLOOKUP(RiskRegister[[#This Row],[Inherent Likelihood Level]],'Rating factors'!$F$16:$G$21,2,FALSE)</f>
        <v>--- Error ---</v>
      </c>
      <c r="P716" s="17" t="str">
        <f>IFERROR(VLOOKUP(RiskRegister[[#This Row],[Inherent Risk Rating]],'Rating factors'!$F$30:$G$44,2,FALSE),"-- Error --")</f>
        <v>-- Error --</v>
      </c>
      <c r="Q716" s="17" t="str">
        <f>IFERROR(RiskRegister[[#This Row],[Inherent Impact Rating]]*RiskRegister[[#This Row],[Inherent Likelihood Rating]],"-- Error --")</f>
        <v>-- Error --</v>
      </c>
      <c r="R716" s="16" t="s">
        <v>98</v>
      </c>
      <c r="T716" s="16" t="s">
        <v>99</v>
      </c>
      <c r="U716" s="17" t="e" cm="1">
        <f t="array" aca="1" ref="U716" ca="1">+U716:Y1019VLOOKUP(RiskRegister[[#This Row],[Residual Impact Level]],'Rating factors'!$F$4:$G$9,2,FALSE)</f>
        <v>#NAME?</v>
      </c>
      <c r="V716" s="16" t="s">
        <v>79</v>
      </c>
      <c r="W716" s="17" t="str">
        <f>VLOOKUP(RiskRegister[[#This Row],[Residual Likelihood Level]],'Rating factors'!$F$16:$G$21,2,FALSE)</f>
        <v>--- Error ---</v>
      </c>
      <c r="X716" s="17" t="str">
        <f ca="1">IFERROR(VLOOKUP(RiskRegister[[#This Row],[Residual Risk Rating]],'Rating factors'!$F$30:$G$44,2,FALSE),"-- Error --")</f>
        <v>-- Error --</v>
      </c>
      <c r="Y716" s="17" t="str">
        <f ca="1">IFERROR(RiskRegister[[#This Row],[Residual Impact Rating]]*RiskRegister[[#This Row],[Residual Likelihood Rating]],"-- Error --")</f>
        <v>-- Error --</v>
      </c>
      <c r="Z716" s="16" t="s">
        <v>100</v>
      </c>
      <c r="AB716" s="39"/>
      <c r="AD716" s="20"/>
    </row>
    <row r="717" spans="1:30" s="16" customFormat="1" hidden="1" x14ac:dyDescent="0.25">
      <c r="A717" s="16">
        <v>714</v>
      </c>
      <c r="G717" s="16" t="s">
        <v>77</v>
      </c>
      <c r="I717" s="16" t="s">
        <v>75</v>
      </c>
      <c r="L717" s="105" t="s">
        <v>99</v>
      </c>
      <c r="M717" s="17" t="str">
        <f>VLOOKUP(RiskRegister[[#This Row],[Inherent Impact LevelL3:L1020D1007L3:L1019]],'Rating factors'!$F$4:$G$9,2,FALSE)</f>
        <v>--- Error ---</v>
      </c>
      <c r="N717" s="16" t="s">
        <v>79</v>
      </c>
      <c r="O717" s="17" t="str">
        <f>VLOOKUP(RiskRegister[[#This Row],[Inherent Likelihood Level]],'Rating factors'!$F$16:$G$21,2,FALSE)</f>
        <v>--- Error ---</v>
      </c>
      <c r="P717" s="17" t="str">
        <f>IFERROR(VLOOKUP(RiskRegister[[#This Row],[Inherent Risk Rating]],'Rating factors'!$F$30:$G$44,2,FALSE),"-- Error --")</f>
        <v>-- Error --</v>
      </c>
      <c r="Q717" s="17" t="str">
        <f>IFERROR(RiskRegister[[#This Row],[Inherent Impact Rating]]*RiskRegister[[#This Row],[Inherent Likelihood Rating]],"-- Error --")</f>
        <v>-- Error --</v>
      </c>
      <c r="R717" s="16" t="s">
        <v>98</v>
      </c>
      <c r="T717" s="16" t="s">
        <v>99</v>
      </c>
      <c r="U717" s="17" t="e" cm="1">
        <f t="array" aca="1" ref="U717" ca="1">+U717:Y1019VLOOKUP(RiskRegister[[#This Row],[Residual Impact Level]],'Rating factors'!$F$4:$G$9,2,FALSE)</f>
        <v>#NAME?</v>
      </c>
      <c r="V717" s="16" t="s">
        <v>79</v>
      </c>
      <c r="W717" s="17" t="str">
        <f>VLOOKUP(RiskRegister[[#This Row],[Residual Likelihood Level]],'Rating factors'!$F$16:$G$21,2,FALSE)</f>
        <v>--- Error ---</v>
      </c>
      <c r="X717" s="17" t="str">
        <f ca="1">IFERROR(VLOOKUP(RiskRegister[[#This Row],[Residual Risk Rating]],'Rating factors'!$F$30:$G$44,2,FALSE),"-- Error --")</f>
        <v>-- Error --</v>
      </c>
      <c r="Y717" s="17" t="str">
        <f ca="1">IFERROR(RiskRegister[[#This Row],[Residual Impact Rating]]*RiskRegister[[#This Row],[Residual Likelihood Rating]],"-- Error --")</f>
        <v>-- Error --</v>
      </c>
      <c r="Z717" s="16" t="s">
        <v>100</v>
      </c>
      <c r="AB717" s="39"/>
      <c r="AD717" s="20"/>
    </row>
    <row r="718" spans="1:30" s="16" customFormat="1" hidden="1" x14ac:dyDescent="0.25">
      <c r="A718" s="16">
        <v>715</v>
      </c>
      <c r="G718" s="16" t="s">
        <v>77</v>
      </c>
      <c r="I718" s="16" t="s">
        <v>75</v>
      </c>
      <c r="L718" s="105" t="s">
        <v>99</v>
      </c>
      <c r="M718" s="17" t="str">
        <f>VLOOKUP(RiskRegister[[#This Row],[Inherent Impact LevelL3:L1020D1007L3:L1019]],'Rating factors'!$F$4:$G$9,2,FALSE)</f>
        <v>--- Error ---</v>
      </c>
      <c r="N718" s="16" t="s">
        <v>79</v>
      </c>
      <c r="O718" s="17" t="str">
        <f>VLOOKUP(RiskRegister[[#This Row],[Inherent Likelihood Level]],'Rating factors'!$F$16:$G$21,2,FALSE)</f>
        <v>--- Error ---</v>
      </c>
      <c r="P718" s="17" t="str">
        <f>IFERROR(VLOOKUP(RiskRegister[[#This Row],[Inherent Risk Rating]],'Rating factors'!$F$30:$G$44,2,FALSE),"-- Error --")</f>
        <v>-- Error --</v>
      </c>
      <c r="Q718" s="17" t="str">
        <f>IFERROR(RiskRegister[[#This Row],[Inherent Impact Rating]]*RiskRegister[[#This Row],[Inherent Likelihood Rating]],"-- Error --")</f>
        <v>-- Error --</v>
      </c>
      <c r="R718" s="16" t="s">
        <v>98</v>
      </c>
      <c r="T718" s="16" t="s">
        <v>99</v>
      </c>
      <c r="U718" s="17" t="e" cm="1">
        <f t="array" aca="1" ref="U718" ca="1">+U718:Y1019VLOOKUP(RiskRegister[[#This Row],[Residual Impact Level]],'Rating factors'!$F$4:$G$9,2,FALSE)</f>
        <v>#NAME?</v>
      </c>
      <c r="V718" s="16" t="s">
        <v>79</v>
      </c>
      <c r="W718" s="17" t="str">
        <f>VLOOKUP(RiskRegister[[#This Row],[Residual Likelihood Level]],'Rating factors'!$F$16:$G$21,2,FALSE)</f>
        <v>--- Error ---</v>
      </c>
      <c r="X718" s="17" t="str">
        <f ca="1">IFERROR(VLOOKUP(RiskRegister[[#This Row],[Residual Risk Rating]],'Rating factors'!$F$30:$G$44,2,FALSE),"-- Error --")</f>
        <v>-- Error --</v>
      </c>
      <c r="Y718" s="17" t="str">
        <f ca="1">IFERROR(RiskRegister[[#This Row],[Residual Impact Rating]]*RiskRegister[[#This Row],[Residual Likelihood Rating]],"-- Error --")</f>
        <v>-- Error --</v>
      </c>
      <c r="Z718" s="16" t="s">
        <v>100</v>
      </c>
      <c r="AB718" s="39"/>
      <c r="AD718" s="20"/>
    </row>
    <row r="719" spans="1:30" s="16" customFormat="1" hidden="1" x14ac:dyDescent="0.25">
      <c r="A719" s="16">
        <v>716</v>
      </c>
      <c r="G719" s="16" t="s">
        <v>77</v>
      </c>
      <c r="I719" s="16" t="s">
        <v>75</v>
      </c>
      <c r="L719" s="105" t="s">
        <v>99</v>
      </c>
      <c r="M719" s="17" t="str">
        <f>VLOOKUP(RiskRegister[[#This Row],[Inherent Impact LevelL3:L1020D1007L3:L1019]],'Rating factors'!$F$4:$G$9,2,FALSE)</f>
        <v>--- Error ---</v>
      </c>
      <c r="N719" s="16" t="s">
        <v>79</v>
      </c>
      <c r="O719" s="17" t="str">
        <f>VLOOKUP(RiskRegister[[#This Row],[Inherent Likelihood Level]],'Rating factors'!$F$16:$G$21,2,FALSE)</f>
        <v>--- Error ---</v>
      </c>
      <c r="P719" s="17" t="str">
        <f>IFERROR(VLOOKUP(RiskRegister[[#This Row],[Inherent Risk Rating]],'Rating factors'!$F$30:$G$44,2,FALSE),"-- Error --")</f>
        <v>-- Error --</v>
      </c>
      <c r="Q719" s="17" t="str">
        <f>IFERROR(RiskRegister[[#This Row],[Inherent Impact Rating]]*RiskRegister[[#This Row],[Inherent Likelihood Rating]],"-- Error --")</f>
        <v>-- Error --</v>
      </c>
      <c r="R719" s="16" t="s">
        <v>98</v>
      </c>
      <c r="T719" s="16" t="s">
        <v>99</v>
      </c>
      <c r="U719" s="17" t="e" cm="1">
        <f t="array" aca="1" ref="U719" ca="1">+U719:Y1019VLOOKUP(RiskRegister[[#This Row],[Residual Impact Level]],'Rating factors'!$F$4:$G$9,2,FALSE)</f>
        <v>#NAME?</v>
      </c>
      <c r="V719" s="16" t="s">
        <v>79</v>
      </c>
      <c r="W719" s="17" t="str">
        <f>VLOOKUP(RiskRegister[[#This Row],[Residual Likelihood Level]],'Rating factors'!$F$16:$G$21,2,FALSE)</f>
        <v>--- Error ---</v>
      </c>
      <c r="X719" s="17" t="str">
        <f ca="1">IFERROR(VLOOKUP(RiskRegister[[#This Row],[Residual Risk Rating]],'Rating factors'!$F$30:$G$44,2,FALSE),"-- Error --")</f>
        <v>-- Error --</v>
      </c>
      <c r="Y719" s="17" t="str">
        <f ca="1">IFERROR(RiskRegister[[#This Row],[Residual Impact Rating]]*RiskRegister[[#This Row],[Residual Likelihood Rating]],"-- Error --")</f>
        <v>-- Error --</v>
      </c>
      <c r="Z719" s="16" t="s">
        <v>100</v>
      </c>
      <c r="AB719" s="39"/>
      <c r="AD719" s="20"/>
    </row>
    <row r="720" spans="1:30" s="16" customFormat="1" hidden="1" x14ac:dyDescent="0.25">
      <c r="A720" s="16">
        <v>717</v>
      </c>
      <c r="G720" s="16" t="s">
        <v>77</v>
      </c>
      <c r="I720" s="16" t="s">
        <v>75</v>
      </c>
      <c r="L720" s="105" t="s">
        <v>99</v>
      </c>
      <c r="M720" s="17" t="str">
        <f>VLOOKUP(RiskRegister[[#This Row],[Inherent Impact LevelL3:L1020D1007L3:L1019]],'Rating factors'!$F$4:$G$9,2,FALSE)</f>
        <v>--- Error ---</v>
      </c>
      <c r="N720" s="16" t="s">
        <v>79</v>
      </c>
      <c r="O720" s="17" t="str">
        <f>VLOOKUP(RiskRegister[[#This Row],[Inherent Likelihood Level]],'Rating factors'!$F$16:$G$21,2,FALSE)</f>
        <v>--- Error ---</v>
      </c>
      <c r="P720" s="17" t="str">
        <f>IFERROR(VLOOKUP(RiskRegister[[#This Row],[Inherent Risk Rating]],'Rating factors'!$F$30:$G$44,2,FALSE),"-- Error --")</f>
        <v>-- Error --</v>
      </c>
      <c r="Q720" s="17" t="str">
        <f>IFERROR(RiskRegister[[#This Row],[Inherent Impact Rating]]*RiskRegister[[#This Row],[Inherent Likelihood Rating]],"-- Error --")</f>
        <v>-- Error --</v>
      </c>
      <c r="R720" s="16" t="s">
        <v>98</v>
      </c>
      <c r="T720" s="16" t="s">
        <v>99</v>
      </c>
      <c r="U720" s="17" t="e" cm="1">
        <f t="array" aca="1" ref="U720" ca="1">+U720:Y1019VLOOKUP(RiskRegister[[#This Row],[Residual Impact Level]],'Rating factors'!$F$4:$G$9,2,FALSE)</f>
        <v>#NAME?</v>
      </c>
      <c r="V720" s="16" t="s">
        <v>79</v>
      </c>
      <c r="W720" s="17" t="str">
        <f>VLOOKUP(RiskRegister[[#This Row],[Residual Likelihood Level]],'Rating factors'!$F$16:$G$21,2,FALSE)</f>
        <v>--- Error ---</v>
      </c>
      <c r="X720" s="17" t="str">
        <f ca="1">IFERROR(VLOOKUP(RiskRegister[[#This Row],[Residual Risk Rating]],'Rating factors'!$F$30:$G$44,2,FALSE),"-- Error --")</f>
        <v>-- Error --</v>
      </c>
      <c r="Y720" s="17" t="str">
        <f ca="1">IFERROR(RiskRegister[[#This Row],[Residual Impact Rating]]*RiskRegister[[#This Row],[Residual Likelihood Rating]],"-- Error --")</f>
        <v>-- Error --</v>
      </c>
      <c r="Z720" s="16" t="s">
        <v>100</v>
      </c>
      <c r="AB720" s="39"/>
      <c r="AD720" s="20"/>
    </row>
    <row r="721" spans="1:30" s="16" customFormat="1" hidden="1" x14ac:dyDescent="0.25">
      <c r="A721" s="16">
        <v>718</v>
      </c>
      <c r="G721" s="16" t="s">
        <v>77</v>
      </c>
      <c r="I721" s="16" t="s">
        <v>75</v>
      </c>
      <c r="L721" s="105" t="s">
        <v>99</v>
      </c>
      <c r="M721" s="17" t="str">
        <f>VLOOKUP(RiskRegister[[#This Row],[Inherent Impact LevelL3:L1020D1007L3:L1019]],'Rating factors'!$F$4:$G$9,2,FALSE)</f>
        <v>--- Error ---</v>
      </c>
      <c r="N721" s="16" t="s">
        <v>79</v>
      </c>
      <c r="O721" s="17" t="str">
        <f>VLOOKUP(RiskRegister[[#This Row],[Inherent Likelihood Level]],'Rating factors'!$F$16:$G$21,2,FALSE)</f>
        <v>--- Error ---</v>
      </c>
      <c r="P721" s="17" t="str">
        <f>IFERROR(VLOOKUP(RiskRegister[[#This Row],[Inherent Risk Rating]],'Rating factors'!$F$30:$G$44,2,FALSE),"-- Error --")</f>
        <v>-- Error --</v>
      </c>
      <c r="Q721" s="17" t="str">
        <f>IFERROR(RiskRegister[[#This Row],[Inherent Impact Rating]]*RiskRegister[[#This Row],[Inherent Likelihood Rating]],"-- Error --")</f>
        <v>-- Error --</v>
      </c>
      <c r="R721" s="16" t="s">
        <v>98</v>
      </c>
      <c r="T721" s="16" t="s">
        <v>99</v>
      </c>
      <c r="U721" s="17" t="e" cm="1">
        <f t="array" aca="1" ref="U721" ca="1">+U721:Y1019VLOOKUP(RiskRegister[[#This Row],[Residual Impact Level]],'Rating factors'!$F$4:$G$9,2,FALSE)</f>
        <v>#NAME?</v>
      </c>
      <c r="V721" s="16" t="s">
        <v>79</v>
      </c>
      <c r="W721" s="17" t="str">
        <f>VLOOKUP(RiskRegister[[#This Row],[Residual Likelihood Level]],'Rating factors'!$F$16:$G$21,2,FALSE)</f>
        <v>--- Error ---</v>
      </c>
      <c r="X721" s="17" t="str">
        <f ca="1">IFERROR(VLOOKUP(RiskRegister[[#This Row],[Residual Risk Rating]],'Rating factors'!$F$30:$G$44,2,FALSE),"-- Error --")</f>
        <v>-- Error --</v>
      </c>
      <c r="Y721" s="17" t="str">
        <f ca="1">IFERROR(RiskRegister[[#This Row],[Residual Impact Rating]]*RiskRegister[[#This Row],[Residual Likelihood Rating]],"-- Error --")</f>
        <v>-- Error --</v>
      </c>
      <c r="Z721" s="16" t="s">
        <v>100</v>
      </c>
      <c r="AB721" s="39"/>
      <c r="AD721" s="20"/>
    </row>
    <row r="722" spans="1:30" s="16" customFormat="1" hidden="1" x14ac:dyDescent="0.25">
      <c r="A722" s="16">
        <v>719</v>
      </c>
      <c r="G722" s="16" t="s">
        <v>77</v>
      </c>
      <c r="I722" s="16" t="s">
        <v>75</v>
      </c>
      <c r="L722" s="105" t="s">
        <v>99</v>
      </c>
      <c r="M722" s="17" t="str">
        <f>VLOOKUP(RiskRegister[[#This Row],[Inherent Impact LevelL3:L1020D1007L3:L1019]],'Rating factors'!$F$4:$G$9,2,FALSE)</f>
        <v>--- Error ---</v>
      </c>
      <c r="N722" s="16" t="s">
        <v>79</v>
      </c>
      <c r="O722" s="17" t="str">
        <f>VLOOKUP(RiskRegister[[#This Row],[Inherent Likelihood Level]],'Rating factors'!$F$16:$G$21,2,FALSE)</f>
        <v>--- Error ---</v>
      </c>
      <c r="P722" s="17" t="str">
        <f>IFERROR(VLOOKUP(RiskRegister[[#This Row],[Inherent Risk Rating]],'Rating factors'!$F$30:$G$44,2,FALSE),"-- Error --")</f>
        <v>-- Error --</v>
      </c>
      <c r="Q722" s="17" t="str">
        <f>IFERROR(RiskRegister[[#This Row],[Inherent Impact Rating]]*RiskRegister[[#This Row],[Inherent Likelihood Rating]],"-- Error --")</f>
        <v>-- Error --</v>
      </c>
      <c r="R722" s="16" t="s">
        <v>98</v>
      </c>
      <c r="T722" s="16" t="s">
        <v>99</v>
      </c>
      <c r="U722" s="17" t="e" cm="1">
        <f t="array" aca="1" ref="U722" ca="1">+U722:Y1019VLOOKUP(RiskRegister[[#This Row],[Residual Impact Level]],'Rating factors'!$F$4:$G$9,2,FALSE)</f>
        <v>#NAME?</v>
      </c>
      <c r="V722" s="16" t="s">
        <v>79</v>
      </c>
      <c r="W722" s="17" t="str">
        <f>VLOOKUP(RiskRegister[[#This Row],[Residual Likelihood Level]],'Rating factors'!$F$16:$G$21,2,FALSE)</f>
        <v>--- Error ---</v>
      </c>
      <c r="X722" s="17" t="str">
        <f ca="1">IFERROR(VLOOKUP(RiskRegister[[#This Row],[Residual Risk Rating]],'Rating factors'!$F$30:$G$44,2,FALSE),"-- Error --")</f>
        <v>-- Error --</v>
      </c>
      <c r="Y722" s="17" t="str">
        <f ca="1">IFERROR(RiskRegister[[#This Row],[Residual Impact Rating]]*RiskRegister[[#This Row],[Residual Likelihood Rating]],"-- Error --")</f>
        <v>-- Error --</v>
      </c>
      <c r="Z722" s="16" t="s">
        <v>100</v>
      </c>
      <c r="AB722" s="39"/>
      <c r="AD722" s="20"/>
    </row>
    <row r="723" spans="1:30" s="16" customFormat="1" hidden="1" x14ac:dyDescent="0.25">
      <c r="A723" s="16">
        <v>720</v>
      </c>
      <c r="G723" s="16" t="s">
        <v>77</v>
      </c>
      <c r="I723" s="16" t="s">
        <v>75</v>
      </c>
      <c r="L723" s="105" t="s">
        <v>99</v>
      </c>
      <c r="M723" s="17" t="str">
        <f>VLOOKUP(RiskRegister[[#This Row],[Inherent Impact LevelL3:L1020D1007L3:L1019]],'Rating factors'!$F$4:$G$9,2,FALSE)</f>
        <v>--- Error ---</v>
      </c>
      <c r="N723" s="16" t="s">
        <v>79</v>
      </c>
      <c r="O723" s="17" t="str">
        <f>VLOOKUP(RiskRegister[[#This Row],[Inherent Likelihood Level]],'Rating factors'!$F$16:$G$21,2,FALSE)</f>
        <v>--- Error ---</v>
      </c>
      <c r="P723" s="17" t="str">
        <f>IFERROR(VLOOKUP(RiskRegister[[#This Row],[Inherent Risk Rating]],'Rating factors'!$F$30:$G$44,2,FALSE),"-- Error --")</f>
        <v>-- Error --</v>
      </c>
      <c r="Q723" s="17" t="str">
        <f>IFERROR(RiskRegister[[#This Row],[Inherent Impact Rating]]*RiskRegister[[#This Row],[Inherent Likelihood Rating]],"-- Error --")</f>
        <v>-- Error --</v>
      </c>
      <c r="R723" s="16" t="s">
        <v>98</v>
      </c>
      <c r="T723" s="16" t="s">
        <v>99</v>
      </c>
      <c r="U723" s="17" t="e" cm="1">
        <f t="array" aca="1" ref="U723" ca="1">+U723:Y1019VLOOKUP(RiskRegister[[#This Row],[Residual Impact Level]],'Rating factors'!$F$4:$G$9,2,FALSE)</f>
        <v>#NAME?</v>
      </c>
      <c r="V723" s="16" t="s">
        <v>79</v>
      </c>
      <c r="W723" s="17" t="str">
        <f>VLOOKUP(RiskRegister[[#This Row],[Residual Likelihood Level]],'Rating factors'!$F$16:$G$21,2,FALSE)</f>
        <v>--- Error ---</v>
      </c>
      <c r="X723" s="17" t="str">
        <f ca="1">IFERROR(VLOOKUP(RiskRegister[[#This Row],[Residual Risk Rating]],'Rating factors'!$F$30:$G$44,2,FALSE),"-- Error --")</f>
        <v>-- Error --</v>
      </c>
      <c r="Y723" s="17" t="str">
        <f ca="1">IFERROR(RiskRegister[[#This Row],[Residual Impact Rating]]*RiskRegister[[#This Row],[Residual Likelihood Rating]],"-- Error --")</f>
        <v>-- Error --</v>
      </c>
      <c r="Z723" s="16" t="s">
        <v>100</v>
      </c>
      <c r="AB723" s="39"/>
      <c r="AD723" s="20"/>
    </row>
    <row r="724" spans="1:30" s="16" customFormat="1" hidden="1" x14ac:dyDescent="0.25">
      <c r="A724" s="16">
        <v>721</v>
      </c>
      <c r="G724" s="16" t="s">
        <v>77</v>
      </c>
      <c r="I724" s="16" t="s">
        <v>75</v>
      </c>
      <c r="L724" s="105" t="s">
        <v>99</v>
      </c>
      <c r="M724" s="17" t="str">
        <f>VLOOKUP(RiskRegister[[#This Row],[Inherent Impact LevelL3:L1020D1007L3:L1019]],'Rating factors'!$F$4:$G$9,2,FALSE)</f>
        <v>--- Error ---</v>
      </c>
      <c r="N724" s="16" t="s">
        <v>79</v>
      </c>
      <c r="O724" s="17" t="str">
        <f>VLOOKUP(RiskRegister[[#This Row],[Inherent Likelihood Level]],'Rating factors'!$F$16:$G$21,2,FALSE)</f>
        <v>--- Error ---</v>
      </c>
      <c r="P724" s="17" t="str">
        <f>IFERROR(VLOOKUP(RiskRegister[[#This Row],[Inherent Risk Rating]],'Rating factors'!$F$30:$G$44,2,FALSE),"-- Error --")</f>
        <v>-- Error --</v>
      </c>
      <c r="Q724" s="17" t="str">
        <f>IFERROR(RiskRegister[[#This Row],[Inherent Impact Rating]]*RiskRegister[[#This Row],[Inherent Likelihood Rating]],"-- Error --")</f>
        <v>-- Error --</v>
      </c>
      <c r="R724" s="16" t="s">
        <v>98</v>
      </c>
      <c r="T724" s="16" t="s">
        <v>99</v>
      </c>
      <c r="U724" s="17" t="e" cm="1">
        <f t="array" aca="1" ref="U724" ca="1">+U724:Y1019VLOOKUP(RiskRegister[[#This Row],[Residual Impact Level]],'Rating factors'!$F$4:$G$9,2,FALSE)</f>
        <v>#NAME?</v>
      </c>
      <c r="V724" s="16" t="s">
        <v>79</v>
      </c>
      <c r="W724" s="17" t="str">
        <f>VLOOKUP(RiskRegister[[#This Row],[Residual Likelihood Level]],'Rating factors'!$F$16:$G$21,2,FALSE)</f>
        <v>--- Error ---</v>
      </c>
      <c r="X724" s="17" t="str">
        <f ca="1">IFERROR(VLOOKUP(RiskRegister[[#This Row],[Residual Risk Rating]],'Rating factors'!$F$30:$G$44,2,FALSE),"-- Error --")</f>
        <v>-- Error --</v>
      </c>
      <c r="Y724" s="17" t="str">
        <f ca="1">IFERROR(RiskRegister[[#This Row],[Residual Impact Rating]]*RiskRegister[[#This Row],[Residual Likelihood Rating]],"-- Error --")</f>
        <v>-- Error --</v>
      </c>
      <c r="Z724" s="16" t="s">
        <v>100</v>
      </c>
      <c r="AB724" s="39"/>
      <c r="AD724" s="20"/>
    </row>
    <row r="725" spans="1:30" s="16" customFormat="1" hidden="1" x14ac:dyDescent="0.25">
      <c r="A725" s="16">
        <v>722</v>
      </c>
      <c r="G725" s="16" t="s">
        <v>77</v>
      </c>
      <c r="I725" s="16" t="s">
        <v>75</v>
      </c>
      <c r="L725" s="105" t="s">
        <v>99</v>
      </c>
      <c r="M725" s="17" t="str">
        <f>VLOOKUP(RiskRegister[[#This Row],[Inherent Impact LevelL3:L1020D1007L3:L1019]],'Rating factors'!$F$4:$G$9,2,FALSE)</f>
        <v>--- Error ---</v>
      </c>
      <c r="N725" s="16" t="s">
        <v>79</v>
      </c>
      <c r="O725" s="17" t="str">
        <f>VLOOKUP(RiskRegister[[#This Row],[Inherent Likelihood Level]],'Rating factors'!$F$16:$G$21,2,FALSE)</f>
        <v>--- Error ---</v>
      </c>
      <c r="P725" s="17" t="str">
        <f>IFERROR(VLOOKUP(RiskRegister[[#This Row],[Inherent Risk Rating]],'Rating factors'!$F$30:$G$44,2,FALSE),"-- Error --")</f>
        <v>-- Error --</v>
      </c>
      <c r="Q725" s="17" t="str">
        <f>IFERROR(RiskRegister[[#This Row],[Inherent Impact Rating]]*RiskRegister[[#This Row],[Inherent Likelihood Rating]],"-- Error --")</f>
        <v>-- Error --</v>
      </c>
      <c r="R725" s="16" t="s">
        <v>98</v>
      </c>
      <c r="T725" s="16" t="s">
        <v>99</v>
      </c>
      <c r="U725" s="17" t="e" cm="1">
        <f t="array" aca="1" ref="U725" ca="1">+U725:Y1019VLOOKUP(RiskRegister[[#This Row],[Residual Impact Level]],'Rating factors'!$F$4:$G$9,2,FALSE)</f>
        <v>#NAME?</v>
      </c>
      <c r="V725" s="16" t="s">
        <v>79</v>
      </c>
      <c r="W725" s="17" t="str">
        <f>VLOOKUP(RiskRegister[[#This Row],[Residual Likelihood Level]],'Rating factors'!$F$16:$G$21,2,FALSE)</f>
        <v>--- Error ---</v>
      </c>
      <c r="X725" s="17" t="str">
        <f ca="1">IFERROR(VLOOKUP(RiskRegister[[#This Row],[Residual Risk Rating]],'Rating factors'!$F$30:$G$44,2,FALSE),"-- Error --")</f>
        <v>-- Error --</v>
      </c>
      <c r="Y725" s="17" t="str">
        <f ca="1">IFERROR(RiskRegister[[#This Row],[Residual Impact Rating]]*RiskRegister[[#This Row],[Residual Likelihood Rating]],"-- Error --")</f>
        <v>-- Error --</v>
      </c>
      <c r="Z725" s="16" t="s">
        <v>100</v>
      </c>
      <c r="AB725" s="39"/>
      <c r="AD725" s="20"/>
    </row>
    <row r="726" spans="1:30" s="16" customFormat="1" hidden="1" x14ac:dyDescent="0.25">
      <c r="A726" s="16">
        <v>723</v>
      </c>
      <c r="G726" s="16" t="s">
        <v>77</v>
      </c>
      <c r="I726" s="16" t="s">
        <v>75</v>
      </c>
      <c r="L726" s="105" t="s">
        <v>99</v>
      </c>
      <c r="M726" s="17" t="str">
        <f>VLOOKUP(RiskRegister[[#This Row],[Inherent Impact LevelL3:L1020D1007L3:L1019]],'Rating factors'!$F$4:$G$9,2,FALSE)</f>
        <v>--- Error ---</v>
      </c>
      <c r="N726" s="16" t="s">
        <v>79</v>
      </c>
      <c r="O726" s="17" t="str">
        <f>VLOOKUP(RiskRegister[[#This Row],[Inherent Likelihood Level]],'Rating factors'!$F$16:$G$21,2,FALSE)</f>
        <v>--- Error ---</v>
      </c>
      <c r="P726" s="17" t="str">
        <f>IFERROR(VLOOKUP(RiskRegister[[#This Row],[Inherent Risk Rating]],'Rating factors'!$F$30:$G$44,2,FALSE),"-- Error --")</f>
        <v>-- Error --</v>
      </c>
      <c r="Q726" s="17" t="str">
        <f>IFERROR(RiskRegister[[#This Row],[Inherent Impact Rating]]*RiskRegister[[#This Row],[Inherent Likelihood Rating]],"-- Error --")</f>
        <v>-- Error --</v>
      </c>
      <c r="R726" s="16" t="s">
        <v>98</v>
      </c>
      <c r="T726" s="16" t="s">
        <v>99</v>
      </c>
      <c r="U726" s="17" t="e" cm="1">
        <f t="array" aca="1" ref="U726" ca="1">+U726:Y1019VLOOKUP(RiskRegister[[#This Row],[Residual Impact Level]],'Rating factors'!$F$4:$G$9,2,FALSE)</f>
        <v>#NAME?</v>
      </c>
      <c r="V726" s="16" t="s">
        <v>79</v>
      </c>
      <c r="W726" s="17" t="str">
        <f>VLOOKUP(RiskRegister[[#This Row],[Residual Likelihood Level]],'Rating factors'!$F$16:$G$21,2,FALSE)</f>
        <v>--- Error ---</v>
      </c>
      <c r="X726" s="17" t="str">
        <f ca="1">IFERROR(VLOOKUP(RiskRegister[[#This Row],[Residual Risk Rating]],'Rating factors'!$F$30:$G$44,2,FALSE),"-- Error --")</f>
        <v>-- Error --</v>
      </c>
      <c r="Y726" s="17" t="str">
        <f ca="1">IFERROR(RiskRegister[[#This Row],[Residual Impact Rating]]*RiskRegister[[#This Row],[Residual Likelihood Rating]],"-- Error --")</f>
        <v>-- Error --</v>
      </c>
      <c r="Z726" s="16" t="s">
        <v>100</v>
      </c>
      <c r="AB726" s="39"/>
      <c r="AD726" s="20"/>
    </row>
    <row r="727" spans="1:30" s="16" customFormat="1" hidden="1" x14ac:dyDescent="0.25">
      <c r="A727" s="16">
        <v>724</v>
      </c>
      <c r="G727" s="16" t="s">
        <v>77</v>
      </c>
      <c r="I727" s="16" t="s">
        <v>75</v>
      </c>
      <c r="L727" s="105" t="s">
        <v>99</v>
      </c>
      <c r="M727" s="17" t="str">
        <f>VLOOKUP(RiskRegister[[#This Row],[Inherent Impact LevelL3:L1020D1007L3:L1019]],'Rating factors'!$F$4:$G$9,2,FALSE)</f>
        <v>--- Error ---</v>
      </c>
      <c r="N727" s="16" t="s">
        <v>79</v>
      </c>
      <c r="O727" s="17" t="str">
        <f>VLOOKUP(RiskRegister[[#This Row],[Inherent Likelihood Level]],'Rating factors'!$F$16:$G$21,2,FALSE)</f>
        <v>--- Error ---</v>
      </c>
      <c r="P727" s="17" t="str">
        <f>IFERROR(VLOOKUP(RiskRegister[[#This Row],[Inherent Risk Rating]],'Rating factors'!$F$30:$G$44,2,FALSE),"-- Error --")</f>
        <v>-- Error --</v>
      </c>
      <c r="Q727" s="17" t="str">
        <f>IFERROR(RiskRegister[[#This Row],[Inherent Impact Rating]]*RiskRegister[[#This Row],[Inherent Likelihood Rating]],"-- Error --")</f>
        <v>-- Error --</v>
      </c>
      <c r="R727" s="16" t="s">
        <v>98</v>
      </c>
      <c r="T727" s="16" t="s">
        <v>99</v>
      </c>
      <c r="U727" s="17" t="e" cm="1">
        <f t="array" aca="1" ref="U727" ca="1">+U727:Y1019VLOOKUP(RiskRegister[[#This Row],[Residual Impact Level]],'Rating factors'!$F$4:$G$9,2,FALSE)</f>
        <v>#NAME?</v>
      </c>
      <c r="V727" s="16" t="s">
        <v>79</v>
      </c>
      <c r="W727" s="17" t="str">
        <f>VLOOKUP(RiskRegister[[#This Row],[Residual Likelihood Level]],'Rating factors'!$F$16:$G$21,2,FALSE)</f>
        <v>--- Error ---</v>
      </c>
      <c r="X727" s="17" t="str">
        <f ca="1">IFERROR(VLOOKUP(RiskRegister[[#This Row],[Residual Risk Rating]],'Rating factors'!$F$30:$G$44,2,FALSE),"-- Error --")</f>
        <v>-- Error --</v>
      </c>
      <c r="Y727" s="17" t="str">
        <f ca="1">IFERROR(RiskRegister[[#This Row],[Residual Impact Rating]]*RiskRegister[[#This Row],[Residual Likelihood Rating]],"-- Error --")</f>
        <v>-- Error --</v>
      </c>
      <c r="Z727" s="16" t="s">
        <v>100</v>
      </c>
      <c r="AB727" s="39"/>
      <c r="AD727" s="20"/>
    </row>
    <row r="728" spans="1:30" s="16" customFormat="1" hidden="1" x14ac:dyDescent="0.25">
      <c r="A728" s="16">
        <v>725</v>
      </c>
      <c r="G728" s="16" t="s">
        <v>77</v>
      </c>
      <c r="I728" s="16" t="s">
        <v>75</v>
      </c>
      <c r="L728" s="105" t="s">
        <v>99</v>
      </c>
      <c r="M728" s="17" t="str">
        <f>VLOOKUP(RiskRegister[[#This Row],[Inherent Impact LevelL3:L1020D1007L3:L1019]],'Rating factors'!$F$4:$G$9,2,FALSE)</f>
        <v>--- Error ---</v>
      </c>
      <c r="N728" s="16" t="s">
        <v>79</v>
      </c>
      <c r="O728" s="17" t="str">
        <f>VLOOKUP(RiskRegister[[#This Row],[Inherent Likelihood Level]],'Rating factors'!$F$16:$G$21,2,FALSE)</f>
        <v>--- Error ---</v>
      </c>
      <c r="P728" s="17" t="str">
        <f>IFERROR(VLOOKUP(RiskRegister[[#This Row],[Inherent Risk Rating]],'Rating factors'!$F$30:$G$44,2,FALSE),"-- Error --")</f>
        <v>-- Error --</v>
      </c>
      <c r="Q728" s="17" t="str">
        <f>IFERROR(RiskRegister[[#This Row],[Inherent Impact Rating]]*RiskRegister[[#This Row],[Inherent Likelihood Rating]],"-- Error --")</f>
        <v>-- Error --</v>
      </c>
      <c r="R728" s="16" t="s">
        <v>98</v>
      </c>
      <c r="T728" s="16" t="s">
        <v>99</v>
      </c>
      <c r="U728" s="17" t="e" cm="1">
        <f t="array" aca="1" ref="U728" ca="1">+U728:Y1019VLOOKUP(RiskRegister[[#This Row],[Residual Impact Level]],'Rating factors'!$F$4:$G$9,2,FALSE)</f>
        <v>#NAME?</v>
      </c>
      <c r="V728" s="16" t="s">
        <v>79</v>
      </c>
      <c r="W728" s="17" t="str">
        <f>VLOOKUP(RiskRegister[[#This Row],[Residual Likelihood Level]],'Rating factors'!$F$16:$G$21,2,FALSE)</f>
        <v>--- Error ---</v>
      </c>
      <c r="X728" s="17" t="str">
        <f ca="1">IFERROR(VLOOKUP(RiskRegister[[#This Row],[Residual Risk Rating]],'Rating factors'!$F$30:$G$44,2,FALSE),"-- Error --")</f>
        <v>-- Error --</v>
      </c>
      <c r="Y728" s="17" t="str">
        <f ca="1">IFERROR(RiskRegister[[#This Row],[Residual Impact Rating]]*RiskRegister[[#This Row],[Residual Likelihood Rating]],"-- Error --")</f>
        <v>-- Error --</v>
      </c>
      <c r="Z728" s="16" t="s">
        <v>100</v>
      </c>
      <c r="AB728" s="39"/>
      <c r="AD728" s="20"/>
    </row>
    <row r="729" spans="1:30" s="16" customFormat="1" hidden="1" x14ac:dyDescent="0.25">
      <c r="A729" s="16">
        <v>726</v>
      </c>
      <c r="G729" s="16" t="s">
        <v>77</v>
      </c>
      <c r="I729" s="16" t="s">
        <v>75</v>
      </c>
      <c r="L729" s="105" t="s">
        <v>99</v>
      </c>
      <c r="M729" s="17" t="str">
        <f>VLOOKUP(RiskRegister[[#This Row],[Inherent Impact LevelL3:L1020D1007L3:L1019]],'Rating factors'!$F$4:$G$9,2,FALSE)</f>
        <v>--- Error ---</v>
      </c>
      <c r="N729" s="16" t="s">
        <v>79</v>
      </c>
      <c r="O729" s="17" t="str">
        <f>VLOOKUP(RiskRegister[[#This Row],[Inherent Likelihood Level]],'Rating factors'!$F$16:$G$21,2,FALSE)</f>
        <v>--- Error ---</v>
      </c>
      <c r="P729" s="17" t="str">
        <f>IFERROR(VLOOKUP(RiskRegister[[#This Row],[Inherent Risk Rating]],'Rating factors'!$F$30:$G$44,2,FALSE),"-- Error --")</f>
        <v>-- Error --</v>
      </c>
      <c r="Q729" s="17" t="str">
        <f>IFERROR(RiskRegister[[#This Row],[Inherent Impact Rating]]*RiskRegister[[#This Row],[Inherent Likelihood Rating]],"-- Error --")</f>
        <v>-- Error --</v>
      </c>
      <c r="R729" s="16" t="s">
        <v>98</v>
      </c>
      <c r="T729" s="16" t="s">
        <v>99</v>
      </c>
      <c r="U729" s="17" t="e" cm="1">
        <f t="array" aca="1" ref="U729" ca="1">+U729:Y1019VLOOKUP(RiskRegister[[#This Row],[Residual Impact Level]],'Rating factors'!$F$4:$G$9,2,FALSE)</f>
        <v>#NAME?</v>
      </c>
      <c r="V729" s="16" t="s">
        <v>79</v>
      </c>
      <c r="W729" s="17" t="str">
        <f>VLOOKUP(RiskRegister[[#This Row],[Residual Likelihood Level]],'Rating factors'!$F$16:$G$21,2,FALSE)</f>
        <v>--- Error ---</v>
      </c>
      <c r="X729" s="17" t="str">
        <f ca="1">IFERROR(VLOOKUP(RiskRegister[[#This Row],[Residual Risk Rating]],'Rating factors'!$F$30:$G$44,2,FALSE),"-- Error --")</f>
        <v>-- Error --</v>
      </c>
      <c r="Y729" s="17" t="str">
        <f ca="1">IFERROR(RiskRegister[[#This Row],[Residual Impact Rating]]*RiskRegister[[#This Row],[Residual Likelihood Rating]],"-- Error --")</f>
        <v>-- Error --</v>
      </c>
      <c r="Z729" s="16" t="s">
        <v>100</v>
      </c>
      <c r="AB729" s="39"/>
      <c r="AD729" s="20"/>
    </row>
    <row r="730" spans="1:30" s="16" customFormat="1" hidden="1" x14ac:dyDescent="0.25">
      <c r="A730" s="16">
        <v>727</v>
      </c>
      <c r="G730" s="16" t="s">
        <v>77</v>
      </c>
      <c r="I730" s="16" t="s">
        <v>75</v>
      </c>
      <c r="L730" s="105" t="s">
        <v>99</v>
      </c>
      <c r="M730" s="17" t="str">
        <f>VLOOKUP(RiskRegister[[#This Row],[Inherent Impact LevelL3:L1020D1007L3:L1019]],'Rating factors'!$F$4:$G$9,2,FALSE)</f>
        <v>--- Error ---</v>
      </c>
      <c r="N730" s="16" t="s">
        <v>79</v>
      </c>
      <c r="O730" s="17" t="str">
        <f>VLOOKUP(RiskRegister[[#This Row],[Inherent Likelihood Level]],'Rating factors'!$F$16:$G$21,2,FALSE)</f>
        <v>--- Error ---</v>
      </c>
      <c r="P730" s="17" t="str">
        <f>IFERROR(VLOOKUP(RiskRegister[[#This Row],[Inherent Risk Rating]],'Rating factors'!$F$30:$G$44,2,FALSE),"-- Error --")</f>
        <v>-- Error --</v>
      </c>
      <c r="Q730" s="17" t="str">
        <f>IFERROR(RiskRegister[[#This Row],[Inherent Impact Rating]]*RiskRegister[[#This Row],[Inherent Likelihood Rating]],"-- Error --")</f>
        <v>-- Error --</v>
      </c>
      <c r="R730" s="16" t="s">
        <v>98</v>
      </c>
      <c r="T730" s="16" t="s">
        <v>99</v>
      </c>
      <c r="U730" s="17" t="e" cm="1">
        <f t="array" aca="1" ref="U730" ca="1">+U730:Y1019VLOOKUP(RiskRegister[[#This Row],[Residual Impact Level]],'Rating factors'!$F$4:$G$9,2,FALSE)</f>
        <v>#NAME?</v>
      </c>
      <c r="V730" s="16" t="s">
        <v>79</v>
      </c>
      <c r="W730" s="17" t="str">
        <f>VLOOKUP(RiskRegister[[#This Row],[Residual Likelihood Level]],'Rating factors'!$F$16:$G$21,2,FALSE)</f>
        <v>--- Error ---</v>
      </c>
      <c r="X730" s="17" t="str">
        <f ca="1">IFERROR(VLOOKUP(RiskRegister[[#This Row],[Residual Risk Rating]],'Rating factors'!$F$30:$G$44,2,FALSE),"-- Error --")</f>
        <v>-- Error --</v>
      </c>
      <c r="Y730" s="17" t="str">
        <f ca="1">IFERROR(RiskRegister[[#This Row],[Residual Impact Rating]]*RiskRegister[[#This Row],[Residual Likelihood Rating]],"-- Error --")</f>
        <v>-- Error --</v>
      </c>
      <c r="Z730" s="16" t="s">
        <v>100</v>
      </c>
      <c r="AB730" s="39"/>
      <c r="AD730" s="20"/>
    </row>
    <row r="731" spans="1:30" s="16" customFormat="1" hidden="1" x14ac:dyDescent="0.25">
      <c r="A731" s="16">
        <v>728</v>
      </c>
      <c r="G731" s="16" t="s">
        <v>77</v>
      </c>
      <c r="I731" s="16" t="s">
        <v>75</v>
      </c>
      <c r="L731" s="105" t="s">
        <v>99</v>
      </c>
      <c r="M731" s="17" t="str">
        <f>VLOOKUP(RiskRegister[[#This Row],[Inherent Impact LevelL3:L1020D1007L3:L1019]],'Rating factors'!$F$4:$G$9,2,FALSE)</f>
        <v>--- Error ---</v>
      </c>
      <c r="N731" s="16" t="s">
        <v>79</v>
      </c>
      <c r="O731" s="17" t="str">
        <f>VLOOKUP(RiskRegister[[#This Row],[Inherent Likelihood Level]],'Rating factors'!$F$16:$G$21,2,FALSE)</f>
        <v>--- Error ---</v>
      </c>
      <c r="P731" s="17" t="str">
        <f>IFERROR(VLOOKUP(RiskRegister[[#This Row],[Inherent Risk Rating]],'Rating factors'!$F$30:$G$44,2,FALSE),"-- Error --")</f>
        <v>-- Error --</v>
      </c>
      <c r="Q731" s="17" t="str">
        <f>IFERROR(RiskRegister[[#This Row],[Inherent Impact Rating]]*RiskRegister[[#This Row],[Inherent Likelihood Rating]],"-- Error --")</f>
        <v>-- Error --</v>
      </c>
      <c r="R731" s="16" t="s">
        <v>98</v>
      </c>
      <c r="T731" s="16" t="s">
        <v>99</v>
      </c>
      <c r="U731" s="17" t="e" cm="1">
        <f t="array" aca="1" ref="U731" ca="1">+U731:Y1019VLOOKUP(RiskRegister[[#This Row],[Residual Impact Level]],'Rating factors'!$F$4:$G$9,2,FALSE)</f>
        <v>#NAME?</v>
      </c>
      <c r="V731" s="16" t="s">
        <v>79</v>
      </c>
      <c r="W731" s="17" t="str">
        <f>VLOOKUP(RiskRegister[[#This Row],[Residual Likelihood Level]],'Rating factors'!$F$16:$G$21,2,FALSE)</f>
        <v>--- Error ---</v>
      </c>
      <c r="X731" s="17" t="str">
        <f ca="1">IFERROR(VLOOKUP(RiskRegister[[#This Row],[Residual Risk Rating]],'Rating factors'!$F$30:$G$44,2,FALSE),"-- Error --")</f>
        <v>-- Error --</v>
      </c>
      <c r="Y731" s="17" t="str">
        <f ca="1">IFERROR(RiskRegister[[#This Row],[Residual Impact Rating]]*RiskRegister[[#This Row],[Residual Likelihood Rating]],"-- Error --")</f>
        <v>-- Error --</v>
      </c>
      <c r="Z731" s="16" t="s">
        <v>100</v>
      </c>
      <c r="AB731" s="39"/>
      <c r="AD731" s="20"/>
    </row>
    <row r="732" spans="1:30" s="16" customFormat="1" hidden="1" x14ac:dyDescent="0.25">
      <c r="A732" s="16">
        <v>729</v>
      </c>
      <c r="G732" s="16" t="s">
        <v>77</v>
      </c>
      <c r="I732" s="16" t="s">
        <v>75</v>
      </c>
      <c r="L732" s="105" t="s">
        <v>99</v>
      </c>
      <c r="M732" s="17" t="str">
        <f>VLOOKUP(RiskRegister[[#This Row],[Inherent Impact LevelL3:L1020D1007L3:L1019]],'Rating factors'!$F$4:$G$9,2,FALSE)</f>
        <v>--- Error ---</v>
      </c>
      <c r="N732" s="16" t="s">
        <v>79</v>
      </c>
      <c r="O732" s="17" t="str">
        <f>VLOOKUP(RiskRegister[[#This Row],[Inherent Likelihood Level]],'Rating factors'!$F$16:$G$21,2,FALSE)</f>
        <v>--- Error ---</v>
      </c>
      <c r="P732" s="17" t="str">
        <f>IFERROR(VLOOKUP(RiskRegister[[#This Row],[Inherent Risk Rating]],'Rating factors'!$F$30:$G$44,2,FALSE),"-- Error --")</f>
        <v>-- Error --</v>
      </c>
      <c r="Q732" s="17" t="str">
        <f>IFERROR(RiskRegister[[#This Row],[Inherent Impact Rating]]*RiskRegister[[#This Row],[Inherent Likelihood Rating]],"-- Error --")</f>
        <v>-- Error --</v>
      </c>
      <c r="R732" s="16" t="s">
        <v>98</v>
      </c>
      <c r="T732" s="16" t="s">
        <v>99</v>
      </c>
      <c r="U732" s="17" t="e" cm="1">
        <f t="array" aca="1" ref="U732" ca="1">+U732:Y1019VLOOKUP(RiskRegister[[#This Row],[Residual Impact Level]],'Rating factors'!$F$4:$G$9,2,FALSE)</f>
        <v>#NAME?</v>
      </c>
      <c r="V732" s="16" t="s">
        <v>79</v>
      </c>
      <c r="W732" s="17" t="str">
        <f>VLOOKUP(RiskRegister[[#This Row],[Residual Likelihood Level]],'Rating factors'!$F$16:$G$21,2,FALSE)</f>
        <v>--- Error ---</v>
      </c>
      <c r="X732" s="17" t="str">
        <f ca="1">IFERROR(VLOOKUP(RiskRegister[[#This Row],[Residual Risk Rating]],'Rating factors'!$F$30:$G$44,2,FALSE),"-- Error --")</f>
        <v>-- Error --</v>
      </c>
      <c r="Y732" s="17" t="str">
        <f ca="1">IFERROR(RiskRegister[[#This Row],[Residual Impact Rating]]*RiskRegister[[#This Row],[Residual Likelihood Rating]],"-- Error --")</f>
        <v>-- Error --</v>
      </c>
      <c r="Z732" s="16" t="s">
        <v>100</v>
      </c>
      <c r="AB732" s="39"/>
      <c r="AD732" s="20"/>
    </row>
    <row r="733" spans="1:30" s="16" customFormat="1" hidden="1" x14ac:dyDescent="0.25">
      <c r="A733" s="16">
        <v>730</v>
      </c>
      <c r="G733" s="16" t="s">
        <v>77</v>
      </c>
      <c r="I733" s="16" t="s">
        <v>75</v>
      </c>
      <c r="L733" s="105" t="s">
        <v>99</v>
      </c>
      <c r="M733" s="17" t="str">
        <f>VLOOKUP(RiskRegister[[#This Row],[Inherent Impact LevelL3:L1020D1007L3:L1019]],'Rating factors'!$F$4:$G$9,2,FALSE)</f>
        <v>--- Error ---</v>
      </c>
      <c r="N733" s="16" t="s">
        <v>79</v>
      </c>
      <c r="O733" s="17" t="str">
        <f>VLOOKUP(RiskRegister[[#This Row],[Inherent Likelihood Level]],'Rating factors'!$F$16:$G$21,2,FALSE)</f>
        <v>--- Error ---</v>
      </c>
      <c r="P733" s="17" t="str">
        <f>IFERROR(VLOOKUP(RiskRegister[[#This Row],[Inherent Risk Rating]],'Rating factors'!$F$30:$G$44,2,FALSE),"-- Error --")</f>
        <v>-- Error --</v>
      </c>
      <c r="Q733" s="17" t="str">
        <f>IFERROR(RiskRegister[[#This Row],[Inherent Impact Rating]]*RiskRegister[[#This Row],[Inherent Likelihood Rating]],"-- Error --")</f>
        <v>-- Error --</v>
      </c>
      <c r="R733" s="16" t="s">
        <v>98</v>
      </c>
      <c r="T733" s="16" t="s">
        <v>99</v>
      </c>
      <c r="U733" s="17" t="e" cm="1">
        <f t="array" aca="1" ref="U733" ca="1">+U733:Y1019VLOOKUP(RiskRegister[[#This Row],[Residual Impact Level]],'Rating factors'!$F$4:$G$9,2,FALSE)</f>
        <v>#NAME?</v>
      </c>
      <c r="V733" s="16" t="s">
        <v>79</v>
      </c>
      <c r="W733" s="17" t="str">
        <f>VLOOKUP(RiskRegister[[#This Row],[Residual Likelihood Level]],'Rating factors'!$F$16:$G$21,2,FALSE)</f>
        <v>--- Error ---</v>
      </c>
      <c r="X733" s="17" t="str">
        <f ca="1">IFERROR(VLOOKUP(RiskRegister[[#This Row],[Residual Risk Rating]],'Rating factors'!$F$30:$G$44,2,FALSE),"-- Error --")</f>
        <v>-- Error --</v>
      </c>
      <c r="Y733" s="17" t="str">
        <f ca="1">IFERROR(RiskRegister[[#This Row],[Residual Impact Rating]]*RiskRegister[[#This Row],[Residual Likelihood Rating]],"-- Error --")</f>
        <v>-- Error --</v>
      </c>
      <c r="Z733" s="16" t="s">
        <v>100</v>
      </c>
      <c r="AB733" s="39"/>
      <c r="AD733" s="20"/>
    </row>
    <row r="734" spans="1:30" s="16" customFormat="1" hidden="1" x14ac:dyDescent="0.25">
      <c r="A734" s="16">
        <v>731</v>
      </c>
      <c r="G734" s="16" t="s">
        <v>77</v>
      </c>
      <c r="I734" s="16" t="s">
        <v>75</v>
      </c>
      <c r="L734" s="105" t="s">
        <v>99</v>
      </c>
      <c r="M734" s="17" t="str">
        <f>VLOOKUP(RiskRegister[[#This Row],[Inherent Impact LevelL3:L1020D1007L3:L1019]],'Rating factors'!$F$4:$G$9,2,FALSE)</f>
        <v>--- Error ---</v>
      </c>
      <c r="N734" s="16" t="s">
        <v>79</v>
      </c>
      <c r="O734" s="17" t="str">
        <f>VLOOKUP(RiskRegister[[#This Row],[Inherent Likelihood Level]],'Rating factors'!$F$16:$G$21,2,FALSE)</f>
        <v>--- Error ---</v>
      </c>
      <c r="P734" s="17" t="str">
        <f>IFERROR(VLOOKUP(RiskRegister[[#This Row],[Inherent Risk Rating]],'Rating factors'!$F$30:$G$44,2,FALSE),"-- Error --")</f>
        <v>-- Error --</v>
      </c>
      <c r="Q734" s="17" t="str">
        <f>IFERROR(RiskRegister[[#This Row],[Inherent Impact Rating]]*RiskRegister[[#This Row],[Inherent Likelihood Rating]],"-- Error --")</f>
        <v>-- Error --</v>
      </c>
      <c r="R734" s="16" t="s">
        <v>98</v>
      </c>
      <c r="T734" s="16" t="s">
        <v>99</v>
      </c>
      <c r="U734" s="17" t="e" cm="1">
        <f t="array" aca="1" ref="U734" ca="1">+U734:Y1019VLOOKUP(RiskRegister[[#This Row],[Residual Impact Level]],'Rating factors'!$F$4:$G$9,2,FALSE)</f>
        <v>#NAME?</v>
      </c>
      <c r="V734" s="16" t="s">
        <v>79</v>
      </c>
      <c r="W734" s="17" t="str">
        <f>VLOOKUP(RiskRegister[[#This Row],[Residual Likelihood Level]],'Rating factors'!$F$16:$G$21,2,FALSE)</f>
        <v>--- Error ---</v>
      </c>
      <c r="X734" s="17" t="str">
        <f ca="1">IFERROR(VLOOKUP(RiskRegister[[#This Row],[Residual Risk Rating]],'Rating factors'!$F$30:$G$44,2,FALSE),"-- Error --")</f>
        <v>-- Error --</v>
      </c>
      <c r="Y734" s="17" t="str">
        <f ca="1">IFERROR(RiskRegister[[#This Row],[Residual Impact Rating]]*RiskRegister[[#This Row],[Residual Likelihood Rating]],"-- Error --")</f>
        <v>-- Error --</v>
      </c>
      <c r="Z734" s="16" t="s">
        <v>100</v>
      </c>
      <c r="AB734" s="39"/>
      <c r="AD734" s="20"/>
    </row>
    <row r="735" spans="1:30" s="16" customFormat="1" hidden="1" x14ac:dyDescent="0.25">
      <c r="A735" s="16">
        <v>732</v>
      </c>
      <c r="G735" s="16" t="s">
        <v>77</v>
      </c>
      <c r="I735" s="16" t="s">
        <v>75</v>
      </c>
      <c r="L735" s="105" t="s">
        <v>99</v>
      </c>
      <c r="M735" s="17" t="str">
        <f>VLOOKUP(RiskRegister[[#This Row],[Inherent Impact LevelL3:L1020D1007L3:L1019]],'Rating factors'!$F$4:$G$9,2,FALSE)</f>
        <v>--- Error ---</v>
      </c>
      <c r="N735" s="16" t="s">
        <v>79</v>
      </c>
      <c r="O735" s="17" t="str">
        <f>VLOOKUP(RiskRegister[[#This Row],[Inherent Likelihood Level]],'Rating factors'!$F$16:$G$21,2,FALSE)</f>
        <v>--- Error ---</v>
      </c>
      <c r="P735" s="17" t="str">
        <f>IFERROR(VLOOKUP(RiskRegister[[#This Row],[Inherent Risk Rating]],'Rating factors'!$F$30:$G$44,2,FALSE),"-- Error --")</f>
        <v>-- Error --</v>
      </c>
      <c r="Q735" s="17" t="str">
        <f>IFERROR(RiskRegister[[#This Row],[Inherent Impact Rating]]*RiskRegister[[#This Row],[Inherent Likelihood Rating]],"-- Error --")</f>
        <v>-- Error --</v>
      </c>
      <c r="R735" s="16" t="s">
        <v>98</v>
      </c>
      <c r="T735" s="16" t="s">
        <v>99</v>
      </c>
      <c r="U735" s="17" t="e" cm="1">
        <f t="array" aca="1" ref="U735" ca="1">+U735:Y1019VLOOKUP(RiskRegister[[#This Row],[Residual Impact Level]],'Rating factors'!$F$4:$G$9,2,FALSE)</f>
        <v>#NAME?</v>
      </c>
      <c r="V735" s="16" t="s">
        <v>79</v>
      </c>
      <c r="W735" s="17" t="str">
        <f>VLOOKUP(RiskRegister[[#This Row],[Residual Likelihood Level]],'Rating factors'!$F$16:$G$21,2,FALSE)</f>
        <v>--- Error ---</v>
      </c>
      <c r="X735" s="17" t="str">
        <f ca="1">IFERROR(VLOOKUP(RiskRegister[[#This Row],[Residual Risk Rating]],'Rating factors'!$F$30:$G$44,2,FALSE),"-- Error --")</f>
        <v>-- Error --</v>
      </c>
      <c r="Y735" s="17" t="str">
        <f ca="1">IFERROR(RiskRegister[[#This Row],[Residual Impact Rating]]*RiskRegister[[#This Row],[Residual Likelihood Rating]],"-- Error --")</f>
        <v>-- Error --</v>
      </c>
      <c r="Z735" s="16" t="s">
        <v>100</v>
      </c>
      <c r="AB735" s="39"/>
      <c r="AD735" s="20"/>
    </row>
    <row r="736" spans="1:30" s="16" customFormat="1" hidden="1" x14ac:dyDescent="0.25">
      <c r="A736" s="16">
        <v>733</v>
      </c>
      <c r="G736" s="16" t="s">
        <v>77</v>
      </c>
      <c r="I736" s="16" t="s">
        <v>75</v>
      </c>
      <c r="L736" s="105" t="s">
        <v>99</v>
      </c>
      <c r="M736" s="17" t="str">
        <f>VLOOKUP(RiskRegister[[#This Row],[Inherent Impact LevelL3:L1020D1007L3:L1019]],'Rating factors'!$F$4:$G$9,2,FALSE)</f>
        <v>--- Error ---</v>
      </c>
      <c r="N736" s="16" t="s">
        <v>79</v>
      </c>
      <c r="O736" s="17" t="str">
        <f>VLOOKUP(RiskRegister[[#This Row],[Inherent Likelihood Level]],'Rating factors'!$F$16:$G$21,2,FALSE)</f>
        <v>--- Error ---</v>
      </c>
      <c r="P736" s="17" t="str">
        <f>IFERROR(VLOOKUP(RiskRegister[[#This Row],[Inherent Risk Rating]],'Rating factors'!$F$30:$G$44,2,FALSE),"-- Error --")</f>
        <v>-- Error --</v>
      </c>
      <c r="Q736" s="17" t="str">
        <f>IFERROR(RiskRegister[[#This Row],[Inherent Impact Rating]]*RiskRegister[[#This Row],[Inherent Likelihood Rating]],"-- Error --")</f>
        <v>-- Error --</v>
      </c>
      <c r="R736" s="16" t="s">
        <v>98</v>
      </c>
      <c r="T736" s="16" t="s">
        <v>99</v>
      </c>
      <c r="U736" s="17" t="e" cm="1">
        <f t="array" aca="1" ref="U736" ca="1">+U736:Y1019VLOOKUP(RiskRegister[[#This Row],[Residual Impact Level]],'Rating factors'!$F$4:$G$9,2,FALSE)</f>
        <v>#NAME?</v>
      </c>
      <c r="V736" s="16" t="s">
        <v>79</v>
      </c>
      <c r="W736" s="17" t="str">
        <f>VLOOKUP(RiskRegister[[#This Row],[Residual Likelihood Level]],'Rating factors'!$F$16:$G$21,2,FALSE)</f>
        <v>--- Error ---</v>
      </c>
      <c r="X736" s="17" t="str">
        <f ca="1">IFERROR(VLOOKUP(RiskRegister[[#This Row],[Residual Risk Rating]],'Rating factors'!$F$30:$G$44,2,FALSE),"-- Error --")</f>
        <v>-- Error --</v>
      </c>
      <c r="Y736" s="17" t="str">
        <f ca="1">IFERROR(RiskRegister[[#This Row],[Residual Impact Rating]]*RiskRegister[[#This Row],[Residual Likelihood Rating]],"-- Error --")</f>
        <v>-- Error --</v>
      </c>
      <c r="Z736" s="16" t="s">
        <v>100</v>
      </c>
      <c r="AB736" s="39"/>
      <c r="AD736" s="20"/>
    </row>
    <row r="737" spans="1:30" s="16" customFormat="1" hidden="1" x14ac:dyDescent="0.25">
      <c r="A737" s="16">
        <v>734</v>
      </c>
      <c r="G737" s="16" t="s">
        <v>77</v>
      </c>
      <c r="I737" s="16" t="s">
        <v>75</v>
      </c>
      <c r="L737" s="105" t="s">
        <v>99</v>
      </c>
      <c r="M737" s="17" t="str">
        <f>VLOOKUP(RiskRegister[[#This Row],[Inherent Impact LevelL3:L1020D1007L3:L1019]],'Rating factors'!$F$4:$G$9,2,FALSE)</f>
        <v>--- Error ---</v>
      </c>
      <c r="N737" s="16" t="s">
        <v>79</v>
      </c>
      <c r="O737" s="17" t="str">
        <f>VLOOKUP(RiskRegister[[#This Row],[Inherent Likelihood Level]],'Rating factors'!$F$16:$G$21,2,FALSE)</f>
        <v>--- Error ---</v>
      </c>
      <c r="P737" s="17" t="str">
        <f>IFERROR(VLOOKUP(RiskRegister[[#This Row],[Inherent Risk Rating]],'Rating factors'!$F$30:$G$44,2,FALSE),"-- Error --")</f>
        <v>-- Error --</v>
      </c>
      <c r="Q737" s="17" t="str">
        <f>IFERROR(RiskRegister[[#This Row],[Inherent Impact Rating]]*RiskRegister[[#This Row],[Inherent Likelihood Rating]],"-- Error --")</f>
        <v>-- Error --</v>
      </c>
      <c r="R737" s="16" t="s">
        <v>98</v>
      </c>
      <c r="T737" s="16" t="s">
        <v>99</v>
      </c>
      <c r="U737" s="17" t="e" cm="1">
        <f t="array" aca="1" ref="U737" ca="1">+U737:Y1019VLOOKUP(RiskRegister[[#This Row],[Residual Impact Level]],'Rating factors'!$F$4:$G$9,2,FALSE)</f>
        <v>#NAME?</v>
      </c>
      <c r="V737" s="16" t="s">
        <v>79</v>
      </c>
      <c r="W737" s="17" t="str">
        <f>VLOOKUP(RiskRegister[[#This Row],[Residual Likelihood Level]],'Rating factors'!$F$16:$G$21,2,FALSE)</f>
        <v>--- Error ---</v>
      </c>
      <c r="X737" s="17" t="str">
        <f ca="1">IFERROR(VLOOKUP(RiskRegister[[#This Row],[Residual Risk Rating]],'Rating factors'!$F$30:$G$44,2,FALSE),"-- Error --")</f>
        <v>-- Error --</v>
      </c>
      <c r="Y737" s="17" t="str">
        <f ca="1">IFERROR(RiskRegister[[#This Row],[Residual Impact Rating]]*RiskRegister[[#This Row],[Residual Likelihood Rating]],"-- Error --")</f>
        <v>-- Error --</v>
      </c>
      <c r="Z737" s="16" t="s">
        <v>100</v>
      </c>
      <c r="AB737" s="39"/>
      <c r="AD737" s="20"/>
    </row>
    <row r="738" spans="1:30" s="16" customFormat="1" hidden="1" x14ac:dyDescent="0.25">
      <c r="A738" s="16">
        <v>735</v>
      </c>
      <c r="G738" s="16" t="s">
        <v>77</v>
      </c>
      <c r="I738" s="16" t="s">
        <v>75</v>
      </c>
      <c r="L738" s="105" t="s">
        <v>99</v>
      </c>
      <c r="M738" s="17" t="str">
        <f>VLOOKUP(RiskRegister[[#This Row],[Inherent Impact LevelL3:L1020D1007L3:L1019]],'Rating factors'!$F$4:$G$9,2,FALSE)</f>
        <v>--- Error ---</v>
      </c>
      <c r="N738" s="16" t="s">
        <v>79</v>
      </c>
      <c r="O738" s="17" t="str">
        <f>VLOOKUP(RiskRegister[[#This Row],[Inherent Likelihood Level]],'Rating factors'!$F$16:$G$21,2,FALSE)</f>
        <v>--- Error ---</v>
      </c>
      <c r="P738" s="17" t="str">
        <f>IFERROR(VLOOKUP(RiskRegister[[#This Row],[Inherent Risk Rating]],'Rating factors'!$F$30:$G$44,2,FALSE),"-- Error --")</f>
        <v>-- Error --</v>
      </c>
      <c r="Q738" s="17" t="str">
        <f>IFERROR(RiskRegister[[#This Row],[Inherent Impact Rating]]*RiskRegister[[#This Row],[Inherent Likelihood Rating]],"-- Error --")</f>
        <v>-- Error --</v>
      </c>
      <c r="R738" s="16" t="s">
        <v>98</v>
      </c>
      <c r="T738" s="16" t="s">
        <v>99</v>
      </c>
      <c r="U738" s="17" t="e" cm="1">
        <f t="array" aca="1" ref="U738" ca="1">+U738:Y1019VLOOKUP(RiskRegister[[#This Row],[Residual Impact Level]],'Rating factors'!$F$4:$G$9,2,FALSE)</f>
        <v>#NAME?</v>
      </c>
      <c r="V738" s="16" t="s">
        <v>79</v>
      </c>
      <c r="W738" s="17" t="str">
        <f>VLOOKUP(RiskRegister[[#This Row],[Residual Likelihood Level]],'Rating factors'!$F$16:$G$21,2,FALSE)</f>
        <v>--- Error ---</v>
      </c>
      <c r="X738" s="17" t="str">
        <f ca="1">IFERROR(VLOOKUP(RiskRegister[[#This Row],[Residual Risk Rating]],'Rating factors'!$F$30:$G$44,2,FALSE),"-- Error --")</f>
        <v>-- Error --</v>
      </c>
      <c r="Y738" s="17" t="str">
        <f ca="1">IFERROR(RiskRegister[[#This Row],[Residual Impact Rating]]*RiskRegister[[#This Row],[Residual Likelihood Rating]],"-- Error --")</f>
        <v>-- Error --</v>
      </c>
      <c r="Z738" s="16" t="s">
        <v>100</v>
      </c>
      <c r="AB738" s="39"/>
      <c r="AD738" s="20"/>
    </row>
    <row r="739" spans="1:30" s="16" customFormat="1" hidden="1" x14ac:dyDescent="0.25">
      <c r="A739" s="16">
        <v>736</v>
      </c>
      <c r="G739" s="16" t="s">
        <v>77</v>
      </c>
      <c r="I739" s="16" t="s">
        <v>75</v>
      </c>
      <c r="L739" s="105" t="s">
        <v>99</v>
      </c>
      <c r="M739" s="17" t="str">
        <f>VLOOKUP(RiskRegister[[#This Row],[Inherent Impact LevelL3:L1020D1007L3:L1019]],'Rating factors'!$F$4:$G$9,2,FALSE)</f>
        <v>--- Error ---</v>
      </c>
      <c r="N739" s="16" t="s">
        <v>79</v>
      </c>
      <c r="O739" s="17" t="str">
        <f>VLOOKUP(RiskRegister[[#This Row],[Inherent Likelihood Level]],'Rating factors'!$F$16:$G$21,2,FALSE)</f>
        <v>--- Error ---</v>
      </c>
      <c r="P739" s="17" t="str">
        <f>IFERROR(VLOOKUP(RiskRegister[[#This Row],[Inherent Risk Rating]],'Rating factors'!$F$30:$G$44,2,FALSE),"-- Error --")</f>
        <v>-- Error --</v>
      </c>
      <c r="Q739" s="17" t="str">
        <f>IFERROR(RiskRegister[[#This Row],[Inherent Impact Rating]]*RiskRegister[[#This Row],[Inherent Likelihood Rating]],"-- Error --")</f>
        <v>-- Error --</v>
      </c>
      <c r="R739" s="16" t="s">
        <v>98</v>
      </c>
      <c r="T739" s="16" t="s">
        <v>99</v>
      </c>
      <c r="U739" s="17" t="e" cm="1">
        <f t="array" aca="1" ref="U739" ca="1">+U739:Y1019VLOOKUP(RiskRegister[[#This Row],[Residual Impact Level]],'Rating factors'!$F$4:$G$9,2,FALSE)</f>
        <v>#NAME?</v>
      </c>
      <c r="V739" s="16" t="s">
        <v>79</v>
      </c>
      <c r="W739" s="17" t="str">
        <f>VLOOKUP(RiskRegister[[#This Row],[Residual Likelihood Level]],'Rating factors'!$F$16:$G$21,2,FALSE)</f>
        <v>--- Error ---</v>
      </c>
      <c r="X739" s="17" t="str">
        <f ca="1">IFERROR(VLOOKUP(RiskRegister[[#This Row],[Residual Risk Rating]],'Rating factors'!$F$30:$G$44,2,FALSE),"-- Error --")</f>
        <v>-- Error --</v>
      </c>
      <c r="Y739" s="17" t="str">
        <f ca="1">IFERROR(RiskRegister[[#This Row],[Residual Impact Rating]]*RiskRegister[[#This Row],[Residual Likelihood Rating]],"-- Error --")</f>
        <v>-- Error --</v>
      </c>
      <c r="Z739" s="16" t="s">
        <v>100</v>
      </c>
      <c r="AB739" s="39"/>
      <c r="AD739" s="20"/>
    </row>
    <row r="740" spans="1:30" s="16" customFormat="1" hidden="1" x14ac:dyDescent="0.25">
      <c r="A740" s="16">
        <v>737</v>
      </c>
      <c r="G740" s="16" t="s">
        <v>77</v>
      </c>
      <c r="I740" s="16" t="s">
        <v>75</v>
      </c>
      <c r="L740" s="105" t="s">
        <v>99</v>
      </c>
      <c r="M740" s="17" t="str">
        <f>VLOOKUP(RiskRegister[[#This Row],[Inherent Impact LevelL3:L1020D1007L3:L1019]],'Rating factors'!$F$4:$G$9,2,FALSE)</f>
        <v>--- Error ---</v>
      </c>
      <c r="N740" s="16" t="s">
        <v>79</v>
      </c>
      <c r="O740" s="17" t="str">
        <f>VLOOKUP(RiskRegister[[#This Row],[Inherent Likelihood Level]],'Rating factors'!$F$16:$G$21,2,FALSE)</f>
        <v>--- Error ---</v>
      </c>
      <c r="P740" s="17" t="str">
        <f>IFERROR(VLOOKUP(RiskRegister[[#This Row],[Inherent Risk Rating]],'Rating factors'!$F$30:$G$44,2,FALSE),"-- Error --")</f>
        <v>-- Error --</v>
      </c>
      <c r="Q740" s="17" t="str">
        <f>IFERROR(RiskRegister[[#This Row],[Inherent Impact Rating]]*RiskRegister[[#This Row],[Inherent Likelihood Rating]],"-- Error --")</f>
        <v>-- Error --</v>
      </c>
      <c r="R740" s="16" t="s">
        <v>98</v>
      </c>
      <c r="T740" s="16" t="s">
        <v>99</v>
      </c>
      <c r="U740" s="17" t="e" cm="1">
        <f t="array" aca="1" ref="U740" ca="1">+U740:Y1019VLOOKUP(RiskRegister[[#This Row],[Residual Impact Level]],'Rating factors'!$F$4:$G$9,2,FALSE)</f>
        <v>#NAME?</v>
      </c>
      <c r="V740" s="16" t="s">
        <v>79</v>
      </c>
      <c r="W740" s="17" t="str">
        <f>VLOOKUP(RiskRegister[[#This Row],[Residual Likelihood Level]],'Rating factors'!$F$16:$G$21,2,FALSE)</f>
        <v>--- Error ---</v>
      </c>
      <c r="X740" s="17" t="str">
        <f ca="1">IFERROR(VLOOKUP(RiskRegister[[#This Row],[Residual Risk Rating]],'Rating factors'!$F$30:$G$44,2,FALSE),"-- Error --")</f>
        <v>-- Error --</v>
      </c>
      <c r="Y740" s="17" t="str">
        <f ca="1">IFERROR(RiskRegister[[#This Row],[Residual Impact Rating]]*RiskRegister[[#This Row],[Residual Likelihood Rating]],"-- Error --")</f>
        <v>-- Error --</v>
      </c>
      <c r="Z740" s="16" t="s">
        <v>100</v>
      </c>
      <c r="AB740" s="39"/>
      <c r="AD740" s="20"/>
    </row>
    <row r="741" spans="1:30" s="16" customFormat="1" hidden="1" x14ac:dyDescent="0.25">
      <c r="A741" s="16">
        <v>738</v>
      </c>
      <c r="G741" s="16" t="s">
        <v>77</v>
      </c>
      <c r="I741" s="16" t="s">
        <v>75</v>
      </c>
      <c r="L741" s="105" t="s">
        <v>99</v>
      </c>
      <c r="M741" s="17" t="str">
        <f>VLOOKUP(RiskRegister[[#This Row],[Inherent Impact LevelL3:L1020D1007L3:L1019]],'Rating factors'!$F$4:$G$9,2,FALSE)</f>
        <v>--- Error ---</v>
      </c>
      <c r="N741" s="16" t="s">
        <v>79</v>
      </c>
      <c r="O741" s="17" t="str">
        <f>VLOOKUP(RiskRegister[[#This Row],[Inherent Likelihood Level]],'Rating factors'!$F$16:$G$21,2,FALSE)</f>
        <v>--- Error ---</v>
      </c>
      <c r="P741" s="17" t="str">
        <f>IFERROR(VLOOKUP(RiskRegister[[#This Row],[Inherent Risk Rating]],'Rating factors'!$F$30:$G$44,2,FALSE),"-- Error --")</f>
        <v>-- Error --</v>
      </c>
      <c r="Q741" s="17" t="str">
        <f>IFERROR(RiskRegister[[#This Row],[Inherent Impact Rating]]*RiskRegister[[#This Row],[Inherent Likelihood Rating]],"-- Error --")</f>
        <v>-- Error --</v>
      </c>
      <c r="R741" s="16" t="s">
        <v>98</v>
      </c>
      <c r="T741" s="16" t="s">
        <v>99</v>
      </c>
      <c r="U741" s="17" t="e" cm="1">
        <f t="array" aca="1" ref="U741" ca="1">+U741:Y1019VLOOKUP(RiskRegister[[#This Row],[Residual Impact Level]],'Rating factors'!$F$4:$G$9,2,FALSE)</f>
        <v>#NAME?</v>
      </c>
      <c r="V741" s="16" t="s">
        <v>79</v>
      </c>
      <c r="W741" s="17" t="str">
        <f>VLOOKUP(RiskRegister[[#This Row],[Residual Likelihood Level]],'Rating factors'!$F$16:$G$21,2,FALSE)</f>
        <v>--- Error ---</v>
      </c>
      <c r="X741" s="17" t="str">
        <f ca="1">IFERROR(VLOOKUP(RiskRegister[[#This Row],[Residual Risk Rating]],'Rating factors'!$F$30:$G$44,2,FALSE),"-- Error --")</f>
        <v>-- Error --</v>
      </c>
      <c r="Y741" s="17" t="str">
        <f ca="1">IFERROR(RiskRegister[[#This Row],[Residual Impact Rating]]*RiskRegister[[#This Row],[Residual Likelihood Rating]],"-- Error --")</f>
        <v>-- Error --</v>
      </c>
      <c r="Z741" s="16" t="s">
        <v>100</v>
      </c>
      <c r="AB741" s="39"/>
      <c r="AD741" s="20"/>
    </row>
    <row r="742" spans="1:30" s="16" customFormat="1" hidden="1" x14ac:dyDescent="0.25">
      <c r="A742" s="16">
        <v>739</v>
      </c>
      <c r="G742" s="16" t="s">
        <v>77</v>
      </c>
      <c r="I742" s="16" t="s">
        <v>75</v>
      </c>
      <c r="L742" s="105" t="s">
        <v>99</v>
      </c>
      <c r="M742" s="17" t="str">
        <f>VLOOKUP(RiskRegister[[#This Row],[Inherent Impact LevelL3:L1020D1007L3:L1019]],'Rating factors'!$F$4:$G$9,2,FALSE)</f>
        <v>--- Error ---</v>
      </c>
      <c r="N742" s="16" t="s">
        <v>79</v>
      </c>
      <c r="O742" s="17" t="str">
        <f>VLOOKUP(RiskRegister[[#This Row],[Inherent Likelihood Level]],'Rating factors'!$F$16:$G$21,2,FALSE)</f>
        <v>--- Error ---</v>
      </c>
      <c r="P742" s="17" t="str">
        <f>IFERROR(VLOOKUP(RiskRegister[[#This Row],[Inherent Risk Rating]],'Rating factors'!$F$30:$G$44,2,FALSE),"-- Error --")</f>
        <v>-- Error --</v>
      </c>
      <c r="Q742" s="17" t="str">
        <f>IFERROR(RiskRegister[[#This Row],[Inherent Impact Rating]]*RiskRegister[[#This Row],[Inherent Likelihood Rating]],"-- Error --")</f>
        <v>-- Error --</v>
      </c>
      <c r="R742" s="16" t="s">
        <v>98</v>
      </c>
      <c r="T742" s="16" t="s">
        <v>99</v>
      </c>
      <c r="U742" s="17" t="e" cm="1">
        <f t="array" aca="1" ref="U742" ca="1">+U742:Y1019VLOOKUP(RiskRegister[[#This Row],[Residual Impact Level]],'Rating factors'!$F$4:$G$9,2,FALSE)</f>
        <v>#NAME?</v>
      </c>
      <c r="V742" s="16" t="s">
        <v>79</v>
      </c>
      <c r="W742" s="17" t="str">
        <f>VLOOKUP(RiskRegister[[#This Row],[Residual Likelihood Level]],'Rating factors'!$F$16:$G$21,2,FALSE)</f>
        <v>--- Error ---</v>
      </c>
      <c r="X742" s="17" t="str">
        <f ca="1">IFERROR(VLOOKUP(RiskRegister[[#This Row],[Residual Risk Rating]],'Rating factors'!$F$30:$G$44,2,FALSE),"-- Error --")</f>
        <v>-- Error --</v>
      </c>
      <c r="Y742" s="17" t="str">
        <f ca="1">IFERROR(RiskRegister[[#This Row],[Residual Impact Rating]]*RiskRegister[[#This Row],[Residual Likelihood Rating]],"-- Error --")</f>
        <v>-- Error --</v>
      </c>
      <c r="Z742" s="16" t="s">
        <v>100</v>
      </c>
      <c r="AB742" s="39"/>
      <c r="AD742" s="20"/>
    </row>
    <row r="743" spans="1:30" s="16" customFormat="1" hidden="1" x14ac:dyDescent="0.25">
      <c r="A743" s="16">
        <v>740</v>
      </c>
      <c r="G743" s="16" t="s">
        <v>77</v>
      </c>
      <c r="I743" s="16" t="s">
        <v>75</v>
      </c>
      <c r="L743" s="105" t="s">
        <v>99</v>
      </c>
      <c r="M743" s="17" t="str">
        <f>VLOOKUP(RiskRegister[[#This Row],[Inherent Impact LevelL3:L1020D1007L3:L1019]],'Rating factors'!$F$4:$G$9,2,FALSE)</f>
        <v>--- Error ---</v>
      </c>
      <c r="N743" s="16" t="s">
        <v>79</v>
      </c>
      <c r="O743" s="17" t="str">
        <f>VLOOKUP(RiskRegister[[#This Row],[Inherent Likelihood Level]],'Rating factors'!$F$16:$G$21,2,FALSE)</f>
        <v>--- Error ---</v>
      </c>
      <c r="P743" s="17" t="str">
        <f>IFERROR(VLOOKUP(RiskRegister[[#This Row],[Inherent Risk Rating]],'Rating factors'!$F$30:$G$44,2,FALSE),"-- Error --")</f>
        <v>-- Error --</v>
      </c>
      <c r="Q743" s="17" t="str">
        <f>IFERROR(RiskRegister[[#This Row],[Inherent Impact Rating]]*RiskRegister[[#This Row],[Inherent Likelihood Rating]],"-- Error --")</f>
        <v>-- Error --</v>
      </c>
      <c r="R743" s="16" t="s">
        <v>98</v>
      </c>
      <c r="T743" s="16" t="s">
        <v>99</v>
      </c>
      <c r="U743" s="17" t="e" cm="1">
        <f t="array" aca="1" ref="U743" ca="1">+U743:Y1019VLOOKUP(RiskRegister[[#This Row],[Residual Impact Level]],'Rating factors'!$F$4:$G$9,2,FALSE)</f>
        <v>#NAME?</v>
      </c>
      <c r="V743" s="16" t="s">
        <v>79</v>
      </c>
      <c r="W743" s="17" t="str">
        <f>VLOOKUP(RiskRegister[[#This Row],[Residual Likelihood Level]],'Rating factors'!$F$16:$G$21,2,FALSE)</f>
        <v>--- Error ---</v>
      </c>
      <c r="X743" s="17" t="str">
        <f ca="1">IFERROR(VLOOKUP(RiskRegister[[#This Row],[Residual Risk Rating]],'Rating factors'!$F$30:$G$44,2,FALSE),"-- Error --")</f>
        <v>-- Error --</v>
      </c>
      <c r="Y743" s="17" t="str">
        <f ca="1">IFERROR(RiskRegister[[#This Row],[Residual Impact Rating]]*RiskRegister[[#This Row],[Residual Likelihood Rating]],"-- Error --")</f>
        <v>-- Error --</v>
      </c>
      <c r="Z743" s="16" t="s">
        <v>100</v>
      </c>
      <c r="AB743" s="39"/>
      <c r="AD743" s="20"/>
    </row>
    <row r="744" spans="1:30" s="16" customFormat="1" hidden="1" x14ac:dyDescent="0.25">
      <c r="A744" s="16">
        <v>741</v>
      </c>
      <c r="G744" s="16" t="s">
        <v>77</v>
      </c>
      <c r="I744" s="16" t="s">
        <v>75</v>
      </c>
      <c r="L744" s="105" t="s">
        <v>99</v>
      </c>
      <c r="M744" s="17" t="str">
        <f>VLOOKUP(RiskRegister[[#This Row],[Inherent Impact LevelL3:L1020D1007L3:L1019]],'Rating factors'!$F$4:$G$9,2,FALSE)</f>
        <v>--- Error ---</v>
      </c>
      <c r="N744" s="16" t="s">
        <v>79</v>
      </c>
      <c r="O744" s="17" t="str">
        <f>VLOOKUP(RiskRegister[[#This Row],[Inherent Likelihood Level]],'Rating factors'!$F$16:$G$21,2,FALSE)</f>
        <v>--- Error ---</v>
      </c>
      <c r="P744" s="17" t="str">
        <f>IFERROR(VLOOKUP(RiskRegister[[#This Row],[Inherent Risk Rating]],'Rating factors'!$F$30:$G$44,2,FALSE),"-- Error --")</f>
        <v>-- Error --</v>
      </c>
      <c r="Q744" s="17" t="str">
        <f>IFERROR(RiskRegister[[#This Row],[Inherent Impact Rating]]*RiskRegister[[#This Row],[Inherent Likelihood Rating]],"-- Error --")</f>
        <v>-- Error --</v>
      </c>
      <c r="R744" s="16" t="s">
        <v>98</v>
      </c>
      <c r="T744" s="16" t="s">
        <v>99</v>
      </c>
      <c r="U744" s="17" t="e" cm="1">
        <f t="array" aca="1" ref="U744" ca="1">+U744:Y1019VLOOKUP(RiskRegister[[#This Row],[Residual Impact Level]],'Rating factors'!$F$4:$G$9,2,FALSE)</f>
        <v>#NAME?</v>
      </c>
      <c r="V744" s="16" t="s">
        <v>79</v>
      </c>
      <c r="W744" s="17" t="str">
        <f>VLOOKUP(RiskRegister[[#This Row],[Residual Likelihood Level]],'Rating factors'!$F$16:$G$21,2,FALSE)</f>
        <v>--- Error ---</v>
      </c>
      <c r="X744" s="17" t="str">
        <f ca="1">IFERROR(VLOOKUP(RiskRegister[[#This Row],[Residual Risk Rating]],'Rating factors'!$F$30:$G$44,2,FALSE),"-- Error --")</f>
        <v>-- Error --</v>
      </c>
      <c r="Y744" s="17" t="str">
        <f ca="1">IFERROR(RiskRegister[[#This Row],[Residual Impact Rating]]*RiskRegister[[#This Row],[Residual Likelihood Rating]],"-- Error --")</f>
        <v>-- Error --</v>
      </c>
      <c r="Z744" s="16" t="s">
        <v>100</v>
      </c>
      <c r="AB744" s="39"/>
      <c r="AD744" s="20"/>
    </row>
    <row r="745" spans="1:30" s="16" customFormat="1" hidden="1" x14ac:dyDescent="0.25">
      <c r="A745" s="16">
        <v>742</v>
      </c>
      <c r="G745" s="16" t="s">
        <v>77</v>
      </c>
      <c r="I745" s="16" t="s">
        <v>75</v>
      </c>
      <c r="L745" s="105" t="s">
        <v>99</v>
      </c>
      <c r="M745" s="17" t="str">
        <f>VLOOKUP(RiskRegister[[#This Row],[Inherent Impact LevelL3:L1020D1007L3:L1019]],'Rating factors'!$F$4:$G$9,2,FALSE)</f>
        <v>--- Error ---</v>
      </c>
      <c r="N745" s="16" t="s">
        <v>79</v>
      </c>
      <c r="O745" s="17" t="str">
        <f>VLOOKUP(RiskRegister[[#This Row],[Inherent Likelihood Level]],'Rating factors'!$F$16:$G$21,2,FALSE)</f>
        <v>--- Error ---</v>
      </c>
      <c r="P745" s="17" t="str">
        <f>IFERROR(VLOOKUP(RiskRegister[[#This Row],[Inherent Risk Rating]],'Rating factors'!$F$30:$G$44,2,FALSE),"-- Error --")</f>
        <v>-- Error --</v>
      </c>
      <c r="Q745" s="17" t="str">
        <f>IFERROR(RiskRegister[[#This Row],[Inherent Impact Rating]]*RiskRegister[[#This Row],[Inherent Likelihood Rating]],"-- Error --")</f>
        <v>-- Error --</v>
      </c>
      <c r="R745" s="16" t="s">
        <v>98</v>
      </c>
      <c r="T745" s="16" t="s">
        <v>99</v>
      </c>
      <c r="U745" s="17" t="e" cm="1">
        <f t="array" aca="1" ref="U745" ca="1">+U745:Y1019VLOOKUP(RiskRegister[[#This Row],[Residual Impact Level]],'Rating factors'!$F$4:$G$9,2,FALSE)</f>
        <v>#NAME?</v>
      </c>
      <c r="V745" s="16" t="s">
        <v>79</v>
      </c>
      <c r="W745" s="17" t="str">
        <f>VLOOKUP(RiskRegister[[#This Row],[Residual Likelihood Level]],'Rating factors'!$F$16:$G$21,2,FALSE)</f>
        <v>--- Error ---</v>
      </c>
      <c r="X745" s="17" t="str">
        <f ca="1">IFERROR(VLOOKUP(RiskRegister[[#This Row],[Residual Risk Rating]],'Rating factors'!$F$30:$G$44,2,FALSE),"-- Error --")</f>
        <v>-- Error --</v>
      </c>
      <c r="Y745" s="17" t="str">
        <f ca="1">IFERROR(RiskRegister[[#This Row],[Residual Impact Rating]]*RiskRegister[[#This Row],[Residual Likelihood Rating]],"-- Error --")</f>
        <v>-- Error --</v>
      </c>
      <c r="Z745" s="16" t="s">
        <v>100</v>
      </c>
      <c r="AB745" s="39"/>
      <c r="AD745" s="20"/>
    </row>
    <row r="746" spans="1:30" s="16" customFormat="1" hidden="1" x14ac:dyDescent="0.25">
      <c r="A746" s="16">
        <v>743</v>
      </c>
      <c r="G746" s="16" t="s">
        <v>77</v>
      </c>
      <c r="I746" s="16" t="s">
        <v>75</v>
      </c>
      <c r="L746" s="105" t="s">
        <v>99</v>
      </c>
      <c r="M746" s="17" t="str">
        <f>VLOOKUP(RiskRegister[[#This Row],[Inherent Impact LevelL3:L1020D1007L3:L1019]],'Rating factors'!$F$4:$G$9,2,FALSE)</f>
        <v>--- Error ---</v>
      </c>
      <c r="N746" s="16" t="s">
        <v>79</v>
      </c>
      <c r="O746" s="17" t="str">
        <f>VLOOKUP(RiskRegister[[#This Row],[Inherent Likelihood Level]],'Rating factors'!$F$16:$G$21,2,FALSE)</f>
        <v>--- Error ---</v>
      </c>
      <c r="P746" s="17" t="str">
        <f>IFERROR(VLOOKUP(RiskRegister[[#This Row],[Inherent Risk Rating]],'Rating factors'!$F$30:$G$44,2,FALSE),"-- Error --")</f>
        <v>-- Error --</v>
      </c>
      <c r="Q746" s="17" t="str">
        <f>IFERROR(RiskRegister[[#This Row],[Inherent Impact Rating]]*RiskRegister[[#This Row],[Inherent Likelihood Rating]],"-- Error --")</f>
        <v>-- Error --</v>
      </c>
      <c r="R746" s="16" t="s">
        <v>98</v>
      </c>
      <c r="T746" s="16" t="s">
        <v>99</v>
      </c>
      <c r="U746" s="17" t="e" cm="1">
        <f t="array" aca="1" ref="U746" ca="1">+U746:Y1019VLOOKUP(RiskRegister[[#This Row],[Residual Impact Level]],'Rating factors'!$F$4:$G$9,2,FALSE)</f>
        <v>#NAME?</v>
      </c>
      <c r="V746" s="16" t="s">
        <v>79</v>
      </c>
      <c r="W746" s="17" t="str">
        <f>VLOOKUP(RiskRegister[[#This Row],[Residual Likelihood Level]],'Rating factors'!$F$16:$G$21,2,FALSE)</f>
        <v>--- Error ---</v>
      </c>
      <c r="X746" s="17" t="str">
        <f ca="1">IFERROR(VLOOKUP(RiskRegister[[#This Row],[Residual Risk Rating]],'Rating factors'!$F$30:$G$44,2,FALSE),"-- Error --")</f>
        <v>-- Error --</v>
      </c>
      <c r="Y746" s="17" t="str">
        <f ca="1">IFERROR(RiskRegister[[#This Row],[Residual Impact Rating]]*RiskRegister[[#This Row],[Residual Likelihood Rating]],"-- Error --")</f>
        <v>-- Error --</v>
      </c>
      <c r="Z746" s="16" t="s">
        <v>100</v>
      </c>
      <c r="AB746" s="39"/>
      <c r="AD746" s="20"/>
    </row>
    <row r="747" spans="1:30" s="16" customFormat="1" hidden="1" x14ac:dyDescent="0.25">
      <c r="A747" s="16">
        <v>744</v>
      </c>
      <c r="G747" s="16" t="s">
        <v>77</v>
      </c>
      <c r="I747" s="16" t="s">
        <v>75</v>
      </c>
      <c r="L747" s="105" t="s">
        <v>99</v>
      </c>
      <c r="M747" s="17" t="str">
        <f>VLOOKUP(RiskRegister[[#This Row],[Inherent Impact LevelL3:L1020D1007L3:L1019]],'Rating factors'!$F$4:$G$9,2,FALSE)</f>
        <v>--- Error ---</v>
      </c>
      <c r="N747" s="16" t="s">
        <v>79</v>
      </c>
      <c r="O747" s="17" t="str">
        <f>VLOOKUP(RiskRegister[[#This Row],[Inherent Likelihood Level]],'Rating factors'!$F$16:$G$21,2,FALSE)</f>
        <v>--- Error ---</v>
      </c>
      <c r="P747" s="17" t="str">
        <f>IFERROR(VLOOKUP(RiskRegister[[#This Row],[Inherent Risk Rating]],'Rating factors'!$F$30:$G$44,2,FALSE),"-- Error --")</f>
        <v>-- Error --</v>
      </c>
      <c r="Q747" s="17" t="str">
        <f>IFERROR(RiskRegister[[#This Row],[Inherent Impact Rating]]*RiskRegister[[#This Row],[Inherent Likelihood Rating]],"-- Error --")</f>
        <v>-- Error --</v>
      </c>
      <c r="R747" s="16" t="s">
        <v>98</v>
      </c>
      <c r="T747" s="16" t="s">
        <v>99</v>
      </c>
      <c r="U747" s="17" t="e" cm="1">
        <f t="array" aca="1" ref="U747" ca="1">+U747:Y1019VLOOKUP(RiskRegister[[#This Row],[Residual Impact Level]],'Rating factors'!$F$4:$G$9,2,FALSE)</f>
        <v>#NAME?</v>
      </c>
      <c r="V747" s="16" t="s">
        <v>79</v>
      </c>
      <c r="W747" s="17" t="str">
        <f>VLOOKUP(RiskRegister[[#This Row],[Residual Likelihood Level]],'Rating factors'!$F$16:$G$21,2,FALSE)</f>
        <v>--- Error ---</v>
      </c>
      <c r="X747" s="17" t="str">
        <f ca="1">IFERROR(VLOOKUP(RiskRegister[[#This Row],[Residual Risk Rating]],'Rating factors'!$F$30:$G$44,2,FALSE),"-- Error --")</f>
        <v>-- Error --</v>
      </c>
      <c r="Y747" s="17" t="str">
        <f ca="1">IFERROR(RiskRegister[[#This Row],[Residual Impact Rating]]*RiskRegister[[#This Row],[Residual Likelihood Rating]],"-- Error --")</f>
        <v>-- Error --</v>
      </c>
      <c r="Z747" s="16" t="s">
        <v>100</v>
      </c>
      <c r="AB747" s="39"/>
      <c r="AD747" s="20"/>
    </row>
    <row r="748" spans="1:30" s="16" customFormat="1" hidden="1" x14ac:dyDescent="0.25">
      <c r="A748" s="16">
        <v>745</v>
      </c>
      <c r="G748" s="16" t="s">
        <v>77</v>
      </c>
      <c r="I748" s="16" t="s">
        <v>75</v>
      </c>
      <c r="L748" s="105" t="s">
        <v>99</v>
      </c>
      <c r="M748" s="17" t="str">
        <f>VLOOKUP(RiskRegister[[#This Row],[Inherent Impact LevelL3:L1020D1007L3:L1019]],'Rating factors'!$F$4:$G$9,2,FALSE)</f>
        <v>--- Error ---</v>
      </c>
      <c r="N748" s="16" t="s">
        <v>79</v>
      </c>
      <c r="O748" s="17" t="str">
        <f>VLOOKUP(RiskRegister[[#This Row],[Inherent Likelihood Level]],'Rating factors'!$F$16:$G$21,2,FALSE)</f>
        <v>--- Error ---</v>
      </c>
      <c r="P748" s="17" t="str">
        <f>IFERROR(VLOOKUP(RiskRegister[[#This Row],[Inherent Risk Rating]],'Rating factors'!$F$30:$G$44,2,FALSE),"-- Error --")</f>
        <v>-- Error --</v>
      </c>
      <c r="Q748" s="17" t="str">
        <f>IFERROR(RiskRegister[[#This Row],[Inherent Impact Rating]]*RiskRegister[[#This Row],[Inherent Likelihood Rating]],"-- Error --")</f>
        <v>-- Error --</v>
      </c>
      <c r="R748" s="16" t="s">
        <v>98</v>
      </c>
      <c r="T748" s="16" t="s">
        <v>99</v>
      </c>
      <c r="U748" s="17" t="e" cm="1">
        <f t="array" aca="1" ref="U748" ca="1">+U748:Y1019VLOOKUP(RiskRegister[[#This Row],[Residual Impact Level]],'Rating factors'!$F$4:$G$9,2,FALSE)</f>
        <v>#NAME?</v>
      </c>
      <c r="V748" s="16" t="s">
        <v>79</v>
      </c>
      <c r="W748" s="17" t="str">
        <f>VLOOKUP(RiskRegister[[#This Row],[Residual Likelihood Level]],'Rating factors'!$F$16:$G$21,2,FALSE)</f>
        <v>--- Error ---</v>
      </c>
      <c r="X748" s="17" t="str">
        <f ca="1">IFERROR(VLOOKUP(RiskRegister[[#This Row],[Residual Risk Rating]],'Rating factors'!$F$30:$G$44,2,FALSE),"-- Error --")</f>
        <v>-- Error --</v>
      </c>
      <c r="Y748" s="17" t="str">
        <f ca="1">IFERROR(RiskRegister[[#This Row],[Residual Impact Rating]]*RiskRegister[[#This Row],[Residual Likelihood Rating]],"-- Error --")</f>
        <v>-- Error --</v>
      </c>
      <c r="Z748" s="16" t="s">
        <v>100</v>
      </c>
      <c r="AB748" s="39"/>
      <c r="AD748" s="20"/>
    </row>
    <row r="749" spans="1:30" s="16" customFormat="1" hidden="1" x14ac:dyDescent="0.25">
      <c r="A749" s="16">
        <v>746</v>
      </c>
      <c r="G749" s="16" t="s">
        <v>77</v>
      </c>
      <c r="I749" s="16" t="s">
        <v>75</v>
      </c>
      <c r="L749" s="105" t="s">
        <v>99</v>
      </c>
      <c r="M749" s="17" t="str">
        <f>VLOOKUP(RiskRegister[[#This Row],[Inherent Impact LevelL3:L1020D1007L3:L1019]],'Rating factors'!$F$4:$G$9,2,FALSE)</f>
        <v>--- Error ---</v>
      </c>
      <c r="N749" s="16" t="s">
        <v>79</v>
      </c>
      <c r="O749" s="17" t="str">
        <f>VLOOKUP(RiskRegister[[#This Row],[Inherent Likelihood Level]],'Rating factors'!$F$16:$G$21,2,FALSE)</f>
        <v>--- Error ---</v>
      </c>
      <c r="P749" s="17" t="str">
        <f>IFERROR(VLOOKUP(RiskRegister[[#This Row],[Inherent Risk Rating]],'Rating factors'!$F$30:$G$44,2,FALSE),"-- Error --")</f>
        <v>-- Error --</v>
      </c>
      <c r="Q749" s="17" t="str">
        <f>IFERROR(RiskRegister[[#This Row],[Inherent Impact Rating]]*RiskRegister[[#This Row],[Inherent Likelihood Rating]],"-- Error --")</f>
        <v>-- Error --</v>
      </c>
      <c r="R749" s="16" t="s">
        <v>98</v>
      </c>
      <c r="T749" s="16" t="s">
        <v>99</v>
      </c>
      <c r="U749" s="17" t="e" cm="1">
        <f t="array" aca="1" ref="U749" ca="1">+U749:Y1019VLOOKUP(RiskRegister[[#This Row],[Residual Impact Level]],'Rating factors'!$F$4:$G$9,2,FALSE)</f>
        <v>#NAME?</v>
      </c>
      <c r="V749" s="16" t="s">
        <v>79</v>
      </c>
      <c r="W749" s="17" t="str">
        <f>VLOOKUP(RiskRegister[[#This Row],[Residual Likelihood Level]],'Rating factors'!$F$16:$G$21,2,FALSE)</f>
        <v>--- Error ---</v>
      </c>
      <c r="X749" s="17" t="str">
        <f ca="1">IFERROR(VLOOKUP(RiskRegister[[#This Row],[Residual Risk Rating]],'Rating factors'!$F$30:$G$44,2,FALSE),"-- Error --")</f>
        <v>-- Error --</v>
      </c>
      <c r="Y749" s="17" t="str">
        <f ca="1">IFERROR(RiskRegister[[#This Row],[Residual Impact Rating]]*RiskRegister[[#This Row],[Residual Likelihood Rating]],"-- Error --")</f>
        <v>-- Error --</v>
      </c>
      <c r="Z749" s="16" t="s">
        <v>100</v>
      </c>
      <c r="AB749" s="39"/>
      <c r="AD749" s="20"/>
    </row>
    <row r="750" spans="1:30" s="16" customFormat="1" hidden="1" x14ac:dyDescent="0.25">
      <c r="A750" s="16">
        <v>747</v>
      </c>
      <c r="G750" s="16" t="s">
        <v>77</v>
      </c>
      <c r="I750" s="16" t="s">
        <v>75</v>
      </c>
      <c r="L750" s="105" t="s">
        <v>99</v>
      </c>
      <c r="M750" s="17" t="str">
        <f>VLOOKUP(RiskRegister[[#This Row],[Inherent Impact LevelL3:L1020D1007L3:L1019]],'Rating factors'!$F$4:$G$9,2,FALSE)</f>
        <v>--- Error ---</v>
      </c>
      <c r="N750" s="16" t="s">
        <v>79</v>
      </c>
      <c r="O750" s="17" t="str">
        <f>VLOOKUP(RiskRegister[[#This Row],[Inherent Likelihood Level]],'Rating factors'!$F$16:$G$21,2,FALSE)</f>
        <v>--- Error ---</v>
      </c>
      <c r="P750" s="17" t="str">
        <f>IFERROR(VLOOKUP(RiskRegister[[#This Row],[Inherent Risk Rating]],'Rating factors'!$F$30:$G$44,2,FALSE),"-- Error --")</f>
        <v>-- Error --</v>
      </c>
      <c r="Q750" s="17" t="str">
        <f>IFERROR(RiskRegister[[#This Row],[Inherent Impact Rating]]*RiskRegister[[#This Row],[Inherent Likelihood Rating]],"-- Error --")</f>
        <v>-- Error --</v>
      </c>
      <c r="R750" s="16" t="s">
        <v>98</v>
      </c>
      <c r="T750" s="16" t="s">
        <v>99</v>
      </c>
      <c r="U750" s="17" t="e" cm="1">
        <f t="array" aca="1" ref="U750" ca="1">+U750:Y1019VLOOKUP(RiskRegister[[#This Row],[Residual Impact Level]],'Rating factors'!$F$4:$G$9,2,FALSE)</f>
        <v>#NAME?</v>
      </c>
      <c r="V750" s="16" t="s">
        <v>79</v>
      </c>
      <c r="W750" s="17" t="str">
        <f>VLOOKUP(RiskRegister[[#This Row],[Residual Likelihood Level]],'Rating factors'!$F$16:$G$21,2,FALSE)</f>
        <v>--- Error ---</v>
      </c>
      <c r="X750" s="17" t="str">
        <f ca="1">IFERROR(VLOOKUP(RiskRegister[[#This Row],[Residual Risk Rating]],'Rating factors'!$F$30:$G$44,2,FALSE),"-- Error --")</f>
        <v>-- Error --</v>
      </c>
      <c r="Y750" s="17" t="str">
        <f ca="1">IFERROR(RiskRegister[[#This Row],[Residual Impact Rating]]*RiskRegister[[#This Row],[Residual Likelihood Rating]],"-- Error --")</f>
        <v>-- Error --</v>
      </c>
      <c r="Z750" s="16" t="s">
        <v>100</v>
      </c>
      <c r="AB750" s="39"/>
      <c r="AD750" s="20"/>
    </row>
    <row r="751" spans="1:30" s="16" customFormat="1" hidden="1" x14ac:dyDescent="0.25">
      <c r="A751" s="16">
        <v>748</v>
      </c>
      <c r="G751" s="16" t="s">
        <v>77</v>
      </c>
      <c r="I751" s="16" t="s">
        <v>75</v>
      </c>
      <c r="L751" s="105" t="s">
        <v>99</v>
      </c>
      <c r="M751" s="17" t="str">
        <f>VLOOKUP(RiskRegister[[#This Row],[Inherent Impact LevelL3:L1020D1007L3:L1019]],'Rating factors'!$F$4:$G$9,2,FALSE)</f>
        <v>--- Error ---</v>
      </c>
      <c r="N751" s="16" t="s">
        <v>79</v>
      </c>
      <c r="O751" s="17" t="str">
        <f>VLOOKUP(RiskRegister[[#This Row],[Inherent Likelihood Level]],'Rating factors'!$F$16:$G$21,2,FALSE)</f>
        <v>--- Error ---</v>
      </c>
      <c r="P751" s="17" t="str">
        <f>IFERROR(VLOOKUP(RiskRegister[[#This Row],[Inherent Risk Rating]],'Rating factors'!$F$30:$G$44,2,FALSE),"-- Error --")</f>
        <v>-- Error --</v>
      </c>
      <c r="Q751" s="17" t="str">
        <f>IFERROR(RiskRegister[[#This Row],[Inherent Impact Rating]]*RiskRegister[[#This Row],[Inherent Likelihood Rating]],"-- Error --")</f>
        <v>-- Error --</v>
      </c>
      <c r="R751" s="16" t="s">
        <v>98</v>
      </c>
      <c r="T751" s="16" t="s">
        <v>99</v>
      </c>
      <c r="U751" s="17" t="e" cm="1">
        <f t="array" aca="1" ref="U751" ca="1">+U751:Y1019VLOOKUP(RiskRegister[[#This Row],[Residual Impact Level]],'Rating factors'!$F$4:$G$9,2,FALSE)</f>
        <v>#NAME?</v>
      </c>
      <c r="V751" s="16" t="s">
        <v>79</v>
      </c>
      <c r="W751" s="17" t="str">
        <f>VLOOKUP(RiskRegister[[#This Row],[Residual Likelihood Level]],'Rating factors'!$F$16:$G$21,2,FALSE)</f>
        <v>--- Error ---</v>
      </c>
      <c r="X751" s="17" t="str">
        <f ca="1">IFERROR(VLOOKUP(RiskRegister[[#This Row],[Residual Risk Rating]],'Rating factors'!$F$30:$G$44,2,FALSE),"-- Error --")</f>
        <v>-- Error --</v>
      </c>
      <c r="Y751" s="17" t="str">
        <f ca="1">IFERROR(RiskRegister[[#This Row],[Residual Impact Rating]]*RiskRegister[[#This Row],[Residual Likelihood Rating]],"-- Error --")</f>
        <v>-- Error --</v>
      </c>
      <c r="Z751" s="16" t="s">
        <v>100</v>
      </c>
      <c r="AB751" s="39"/>
      <c r="AD751" s="20"/>
    </row>
    <row r="752" spans="1:30" s="16" customFormat="1" hidden="1" x14ac:dyDescent="0.25">
      <c r="A752" s="16">
        <v>749</v>
      </c>
      <c r="G752" s="16" t="s">
        <v>77</v>
      </c>
      <c r="I752" s="16" t="s">
        <v>75</v>
      </c>
      <c r="L752" s="105" t="s">
        <v>99</v>
      </c>
      <c r="M752" s="17" t="str">
        <f>VLOOKUP(RiskRegister[[#This Row],[Inherent Impact LevelL3:L1020D1007L3:L1019]],'Rating factors'!$F$4:$G$9,2,FALSE)</f>
        <v>--- Error ---</v>
      </c>
      <c r="N752" s="16" t="s">
        <v>79</v>
      </c>
      <c r="O752" s="17" t="str">
        <f>VLOOKUP(RiskRegister[[#This Row],[Inherent Likelihood Level]],'Rating factors'!$F$16:$G$21,2,FALSE)</f>
        <v>--- Error ---</v>
      </c>
      <c r="P752" s="17" t="str">
        <f>IFERROR(VLOOKUP(RiskRegister[[#This Row],[Inherent Risk Rating]],'Rating factors'!$F$30:$G$44,2,FALSE),"-- Error --")</f>
        <v>-- Error --</v>
      </c>
      <c r="Q752" s="17" t="str">
        <f>IFERROR(RiskRegister[[#This Row],[Inherent Impact Rating]]*RiskRegister[[#This Row],[Inherent Likelihood Rating]],"-- Error --")</f>
        <v>-- Error --</v>
      </c>
      <c r="R752" s="16" t="s">
        <v>98</v>
      </c>
      <c r="T752" s="16" t="s">
        <v>99</v>
      </c>
      <c r="U752" s="17" t="e" cm="1">
        <f t="array" aca="1" ref="U752" ca="1">+U752:Y1019VLOOKUP(RiskRegister[[#This Row],[Residual Impact Level]],'Rating factors'!$F$4:$G$9,2,FALSE)</f>
        <v>#NAME?</v>
      </c>
      <c r="V752" s="16" t="s">
        <v>79</v>
      </c>
      <c r="W752" s="17" t="str">
        <f>VLOOKUP(RiskRegister[[#This Row],[Residual Likelihood Level]],'Rating factors'!$F$16:$G$21,2,FALSE)</f>
        <v>--- Error ---</v>
      </c>
      <c r="X752" s="17" t="str">
        <f ca="1">IFERROR(VLOOKUP(RiskRegister[[#This Row],[Residual Risk Rating]],'Rating factors'!$F$30:$G$44,2,FALSE),"-- Error --")</f>
        <v>-- Error --</v>
      </c>
      <c r="Y752" s="17" t="str">
        <f ca="1">IFERROR(RiskRegister[[#This Row],[Residual Impact Rating]]*RiskRegister[[#This Row],[Residual Likelihood Rating]],"-- Error --")</f>
        <v>-- Error --</v>
      </c>
      <c r="Z752" s="16" t="s">
        <v>100</v>
      </c>
      <c r="AB752" s="39"/>
      <c r="AD752" s="20"/>
    </row>
    <row r="753" spans="1:30" s="16" customFormat="1" hidden="1" x14ac:dyDescent="0.25">
      <c r="A753" s="16">
        <v>750</v>
      </c>
      <c r="G753" s="16" t="s">
        <v>77</v>
      </c>
      <c r="I753" s="16" t="s">
        <v>75</v>
      </c>
      <c r="L753" s="105" t="s">
        <v>99</v>
      </c>
      <c r="M753" s="17" t="str">
        <f>VLOOKUP(RiskRegister[[#This Row],[Inherent Impact LevelL3:L1020D1007L3:L1019]],'Rating factors'!$F$4:$G$9,2,FALSE)</f>
        <v>--- Error ---</v>
      </c>
      <c r="N753" s="16" t="s">
        <v>79</v>
      </c>
      <c r="O753" s="17" t="str">
        <f>VLOOKUP(RiskRegister[[#This Row],[Inherent Likelihood Level]],'Rating factors'!$F$16:$G$21,2,FALSE)</f>
        <v>--- Error ---</v>
      </c>
      <c r="P753" s="17" t="str">
        <f>IFERROR(VLOOKUP(RiskRegister[[#This Row],[Inherent Risk Rating]],'Rating factors'!$F$30:$G$44,2,FALSE),"-- Error --")</f>
        <v>-- Error --</v>
      </c>
      <c r="Q753" s="17" t="str">
        <f>IFERROR(RiskRegister[[#This Row],[Inherent Impact Rating]]*RiskRegister[[#This Row],[Inherent Likelihood Rating]],"-- Error --")</f>
        <v>-- Error --</v>
      </c>
      <c r="R753" s="16" t="s">
        <v>98</v>
      </c>
      <c r="T753" s="16" t="s">
        <v>99</v>
      </c>
      <c r="U753" s="17" t="e" cm="1">
        <f t="array" aca="1" ref="U753" ca="1">+U753:Y1019VLOOKUP(RiskRegister[[#This Row],[Residual Impact Level]],'Rating factors'!$F$4:$G$9,2,FALSE)</f>
        <v>#NAME?</v>
      </c>
      <c r="V753" s="16" t="s">
        <v>79</v>
      </c>
      <c r="W753" s="17" t="str">
        <f>VLOOKUP(RiskRegister[[#This Row],[Residual Likelihood Level]],'Rating factors'!$F$16:$G$21,2,FALSE)</f>
        <v>--- Error ---</v>
      </c>
      <c r="X753" s="17" t="str">
        <f ca="1">IFERROR(VLOOKUP(RiskRegister[[#This Row],[Residual Risk Rating]],'Rating factors'!$F$30:$G$44,2,FALSE),"-- Error --")</f>
        <v>-- Error --</v>
      </c>
      <c r="Y753" s="17" t="str">
        <f ca="1">IFERROR(RiskRegister[[#This Row],[Residual Impact Rating]]*RiskRegister[[#This Row],[Residual Likelihood Rating]],"-- Error --")</f>
        <v>-- Error --</v>
      </c>
      <c r="Z753" s="16" t="s">
        <v>100</v>
      </c>
      <c r="AB753" s="39"/>
      <c r="AD753" s="20"/>
    </row>
    <row r="754" spans="1:30" s="16" customFormat="1" hidden="1" x14ac:dyDescent="0.25">
      <c r="A754" s="16">
        <v>751</v>
      </c>
      <c r="G754" s="16" t="s">
        <v>77</v>
      </c>
      <c r="I754" s="16" t="s">
        <v>75</v>
      </c>
      <c r="L754" s="105" t="s">
        <v>99</v>
      </c>
      <c r="M754" s="17" t="str">
        <f>VLOOKUP(RiskRegister[[#This Row],[Inherent Impact LevelL3:L1020D1007L3:L1019]],'Rating factors'!$F$4:$G$9,2,FALSE)</f>
        <v>--- Error ---</v>
      </c>
      <c r="N754" s="16" t="s">
        <v>79</v>
      </c>
      <c r="O754" s="17" t="str">
        <f>VLOOKUP(RiskRegister[[#This Row],[Inherent Likelihood Level]],'Rating factors'!$F$16:$G$21,2,FALSE)</f>
        <v>--- Error ---</v>
      </c>
      <c r="P754" s="17" t="str">
        <f>IFERROR(VLOOKUP(RiskRegister[[#This Row],[Inherent Risk Rating]],'Rating factors'!$F$30:$G$44,2,FALSE),"-- Error --")</f>
        <v>-- Error --</v>
      </c>
      <c r="Q754" s="17" t="str">
        <f>IFERROR(RiskRegister[[#This Row],[Inherent Impact Rating]]*RiskRegister[[#This Row],[Inherent Likelihood Rating]],"-- Error --")</f>
        <v>-- Error --</v>
      </c>
      <c r="R754" s="16" t="s">
        <v>98</v>
      </c>
      <c r="T754" s="16" t="s">
        <v>99</v>
      </c>
      <c r="U754" s="17" t="e" cm="1">
        <f t="array" aca="1" ref="U754" ca="1">+U754:Y1019VLOOKUP(RiskRegister[[#This Row],[Residual Impact Level]],'Rating factors'!$F$4:$G$9,2,FALSE)</f>
        <v>#NAME?</v>
      </c>
      <c r="V754" s="16" t="s">
        <v>79</v>
      </c>
      <c r="W754" s="17" t="str">
        <f>VLOOKUP(RiskRegister[[#This Row],[Residual Likelihood Level]],'Rating factors'!$F$16:$G$21,2,FALSE)</f>
        <v>--- Error ---</v>
      </c>
      <c r="X754" s="17" t="str">
        <f ca="1">IFERROR(VLOOKUP(RiskRegister[[#This Row],[Residual Risk Rating]],'Rating factors'!$F$30:$G$44,2,FALSE),"-- Error --")</f>
        <v>-- Error --</v>
      </c>
      <c r="Y754" s="17" t="str">
        <f ca="1">IFERROR(RiskRegister[[#This Row],[Residual Impact Rating]]*RiskRegister[[#This Row],[Residual Likelihood Rating]],"-- Error --")</f>
        <v>-- Error --</v>
      </c>
      <c r="Z754" s="16" t="s">
        <v>100</v>
      </c>
      <c r="AB754" s="39"/>
      <c r="AD754" s="20"/>
    </row>
    <row r="755" spans="1:30" s="16" customFormat="1" hidden="1" x14ac:dyDescent="0.25">
      <c r="A755" s="16">
        <v>752</v>
      </c>
      <c r="G755" s="16" t="s">
        <v>77</v>
      </c>
      <c r="I755" s="16" t="s">
        <v>75</v>
      </c>
      <c r="L755" s="105" t="s">
        <v>99</v>
      </c>
      <c r="M755" s="17" t="str">
        <f>VLOOKUP(RiskRegister[[#This Row],[Inherent Impact LevelL3:L1020D1007L3:L1019]],'Rating factors'!$F$4:$G$9,2,FALSE)</f>
        <v>--- Error ---</v>
      </c>
      <c r="N755" s="16" t="s">
        <v>79</v>
      </c>
      <c r="O755" s="17" t="str">
        <f>VLOOKUP(RiskRegister[[#This Row],[Inherent Likelihood Level]],'Rating factors'!$F$16:$G$21,2,FALSE)</f>
        <v>--- Error ---</v>
      </c>
      <c r="P755" s="17" t="str">
        <f>IFERROR(VLOOKUP(RiskRegister[[#This Row],[Inherent Risk Rating]],'Rating factors'!$F$30:$G$44,2,FALSE),"-- Error --")</f>
        <v>-- Error --</v>
      </c>
      <c r="Q755" s="17" t="str">
        <f>IFERROR(RiskRegister[[#This Row],[Inherent Impact Rating]]*RiskRegister[[#This Row],[Inherent Likelihood Rating]],"-- Error --")</f>
        <v>-- Error --</v>
      </c>
      <c r="R755" s="16" t="s">
        <v>98</v>
      </c>
      <c r="T755" s="16" t="s">
        <v>99</v>
      </c>
      <c r="U755" s="17" t="e" cm="1">
        <f t="array" aca="1" ref="U755" ca="1">+U755:Y1019VLOOKUP(RiskRegister[[#This Row],[Residual Impact Level]],'Rating factors'!$F$4:$G$9,2,FALSE)</f>
        <v>#NAME?</v>
      </c>
      <c r="V755" s="16" t="s">
        <v>79</v>
      </c>
      <c r="W755" s="17" t="str">
        <f>VLOOKUP(RiskRegister[[#This Row],[Residual Likelihood Level]],'Rating factors'!$F$16:$G$21,2,FALSE)</f>
        <v>--- Error ---</v>
      </c>
      <c r="X755" s="17" t="str">
        <f ca="1">IFERROR(VLOOKUP(RiskRegister[[#This Row],[Residual Risk Rating]],'Rating factors'!$F$30:$G$44,2,FALSE),"-- Error --")</f>
        <v>-- Error --</v>
      </c>
      <c r="Y755" s="17" t="str">
        <f ca="1">IFERROR(RiskRegister[[#This Row],[Residual Impact Rating]]*RiskRegister[[#This Row],[Residual Likelihood Rating]],"-- Error --")</f>
        <v>-- Error --</v>
      </c>
      <c r="Z755" s="16" t="s">
        <v>100</v>
      </c>
      <c r="AB755" s="39"/>
      <c r="AD755" s="20"/>
    </row>
    <row r="756" spans="1:30" s="16" customFormat="1" hidden="1" x14ac:dyDescent="0.25">
      <c r="A756" s="16">
        <v>753</v>
      </c>
      <c r="G756" s="16" t="s">
        <v>77</v>
      </c>
      <c r="I756" s="16" t="s">
        <v>75</v>
      </c>
      <c r="L756" s="105" t="s">
        <v>99</v>
      </c>
      <c r="M756" s="17" t="str">
        <f>VLOOKUP(RiskRegister[[#This Row],[Inherent Impact LevelL3:L1020D1007L3:L1019]],'Rating factors'!$F$4:$G$9,2,FALSE)</f>
        <v>--- Error ---</v>
      </c>
      <c r="N756" s="16" t="s">
        <v>79</v>
      </c>
      <c r="O756" s="17" t="str">
        <f>VLOOKUP(RiskRegister[[#This Row],[Inherent Likelihood Level]],'Rating factors'!$F$16:$G$21,2,FALSE)</f>
        <v>--- Error ---</v>
      </c>
      <c r="P756" s="17" t="str">
        <f>IFERROR(VLOOKUP(RiskRegister[[#This Row],[Inherent Risk Rating]],'Rating factors'!$F$30:$G$44,2,FALSE),"-- Error --")</f>
        <v>-- Error --</v>
      </c>
      <c r="Q756" s="17" t="str">
        <f>IFERROR(RiskRegister[[#This Row],[Inherent Impact Rating]]*RiskRegister[[#This Row],[Inherent Likelihood Rating]],"-- Error --")</f>
        <v>-- Error --</v>
      </c>
      <c r="R756" s="16" t="s">
        <v>98</v>
      </c>
      <c r="T756" s="16" t="s">
        <v>99</v>
      </c>
      <c r="U756" s="17" t="e" cm="1">
        <f t="array" aca="1" ref="U756" ca="1">+U756:Y1019VLOOKUP(RiskRegister[[#This Row],[Residual Impact Level]],'Rating factors'!$F$4:$G$9,2,FALSE)</f>
        <v>#NAME?</v>
      </c>
      <c r="V756" s="16" t="s">
        <v>79</v>
      </c>
      <c r="W756" s="17" t="str">
        <f>VLOOKUP(RiskRegister[[#This Row],[Residual Likelihood Level]],'Rating factors'!$F$16:$G$21,2,FALSE)</f>
        <v>--- Error ---</v>
      </c>
      <c r="X756" s="17" t="str">
        <f ca="1">IFERROR(VLOOKUP(RiskRegister[[#This Row],[Residual Risk Rating]],'Rating factors'!$F$30:$G$44,2,FALSE),"-- Error --")</f>
        <v>-- Error --</v>
      </c>
      <c r="Y756" s="17" t="str">
        <f ca="1">IFERROR(RiskRegister[[#This Row],[Residual Impact Rating]]*RiskRegister[[#This Row],[Residual Likelihood Rating]],"-- Error --")</f>
        <v>-- Error --</v>
      </c>
      <c r="Z756" s="16" t="s">
        <v>100</v>
      </c>
      <c r="AB756" s="39"/>
      <c r="AD756" s="20"/>
    </row>
    <row r="757" spans="1:30" s="16" customFormat="1" hidden="1" x14ac:dyDescent="0.25">
      <c r="A757" s="16">
        <v>754</v>
      </c>
      <c r="G757" s="16" t="s">
        <v>77</v>
      </c>
      <c r="I757" s="16" t="s">
        <v>75</v>
      </c>
      <c r="L757" s="105" t="s">
        <v>99</v>
      </c>
      <c r="M757" s="17" t="str">
        <f>VLOOKUP(RiskRegister[[#This Row],[Inherent Impact LevelL3:L1020D1007L3:L1019]],'Rating factors'!$F$4:$G$9,2,FALSE)</f>
        <v>--- Error ---</v>
      </c>
      <c r="N757" s="16" t="s">
        <v>79</v>
      </c>
      <c r="O757" s="17" t="str">
        <f>VLOOKUP(RiskRegister[[#This Row],[Inherent Likelihood Level]],'Rating factors'!$F$16:$G$21,2,FALSE)</f>
        <v>--- Error ---</v>
      </c>
      <c r="P757" s="17" t="str">
        <f>IFERROR(VLOOKUP(RiskRegister[[#This Row],[Inherent Risk Rating]],'Rating factors'!$F$30:$G$44,2,FALSE),"-- Error --")</f>
        <v>-- Error --</v>
      </c>
      <c r="Q757" s="17" t="str">
        <f>IFERROR(RiskRegister[[#This Row],[Inherent Impact Rating]]*RiskRegister[[#This Row],[Inherent Likelihood Rating]],"-- Error --")</f>
        <v>-- Error --</v>
      </c>
      <c r="R757" s="16" t="s">
        <v>98</v>
      </c>
      <c r="T757" s="16" t="s">
        <v>99</v>
      </c>
      <c r="U757" s="17" t="e" cm="1">
        <f t="array" aca="1" ref="U757" ca="1">+U757:Y1019VLOOKUP(RiskRegister[[#This Row],[Residual Impact Level]],'Rating factors'!$F$4:$G$9,2,FALSE)</f>
        <v>#NAME?</v>
      </c>
      <c r="V757" s="16" t="s">
        <v>79</v>
      </c>
      <c r="W757" s="17" t="str">
        <f>VLOOKUP(RiskRegister[[#This Row],[Residual Likelihood Level]],'Rating factors'!$F$16:$G$21,2,FALSE)</f>
        <v>--- Error ---</v>
      </c>
      <c r="X757" s="17" t="str">
        <f ca="1">IFERROR(VLOOKUP(RiskRegister[[#This Row],[Residual Risk Rating]],'Rating factors'!$F$30:$G$44,2,FALSE),"-- Error --")</f>
        <v>-- Error --</v>
      </c>
      <c r="Y757" s="17" t="str">
        <f ca="1">IFERROR(RiskRegister[[#This Row],[Residual Impact Rating]]*RiskRegister[[#This Row],[Residual Likelihood Rating]],"-- Error --")</f>
        <v>-- Error --</v>
      </c>
      <c r="Z757" s="16" t="s">
        <v>100</v>
      </c>
      <c r="AB757" s="39"/>
      <c r="AD757" s="20"/>
    </row>
    <row r="758" spans="1:30" s="16" customFormat="1" hidden="1" x14ac:dyDescent="0.25">
      <c r="A758" s="16">
        <v>755</v>
      </c>
      <c r="G758" s="16" t="s">
        <v>77</v>
      </c>
      <c r="I758" s="16" t="s">
        <v>75</v>
      </c>
      <c r="L758" s="105" t="s">
        <v>99</v>
      </c>
      <c r="M758" s="17" t="str">
        <f>VLOOKUP(RiskRegister[[#This Row],[Inherent Impact LevelL3:L1020D1007L3:L1019]],'Rating factors'!$F$4:$G$9,2,FALSE)</f>
        <v>--- Error ---</v>
      </c>
      <c r="N758" s="16" t="s">
        <v>79</v>
      </c>
      <c r="O758" s="17" t="str">
        <f>VLOOKUP(RiskRegister[[#This Row],[Inherent Likelihood Level]],'Rating factors'!$F$16:$G$21,2,FALSE)</f>
        <v>--- Error ---</v>
      </c>
      <c r="P758" s="17" t="str">
        <f>IFERROR(VLOOKUP(RiskRegister[[#This Row],[Inherent Risk Rating]],'Rating factors'!$F$30:$G$44,2,FALSE),"-- Error --")</f>
        <v>-- Error --</v>
      </c>
      <c r="Q758" s="17" t="str">
        <f>IFERROR(RiskRegister[[#This Row],[Inherent Impact Rating]]*RiskRegister[[#This Row],[Inherent Likelihood Rating]],"-- Error --")</f>
        <v>-- Error --</v>
      </c>
      <c r="R758" s="16" t="s">
        <v>98</v>
      </c>
      <c r="T758" s="16" t="s">
        <v>99</v>
      </c>
      <c r="U758" s="17" t="e" cm="1">
        <f t="array" aca="1" ref="U758" ca="1">+U758:Y1019VLOOKUP(RiskRegister[[#This Row],[Residual Impact Level]],'Rating factors'!$F$4:$G$9,2,FALSE)</f>
        <v>#NAME?</v>
      </c>
      <c r="V758" s="16" t="s">
        <v>79</v>
      </c>
      <c r="W758" s="17" t="str">
        <f>VLOOKUP(RiskRegister[[#This Row],[Residual Likelihood Level]],'Rating factors'!$F$16:$G$21,2,FALSE)</f>
        <v>--- Error ---</v>
      </c>
      <c r="X758" s="17" t="str">
        <f ca="1">IFERROR(VLOOKUP(RiskRegister[[#This Row],[Residual Risk Rating]],'Rating factors'!$F$30:$G$44,2,FALSE),"-- Error --")</f>
        <v>-- Error --</v>
      </c>
      <c r="Y758" s="17" t="str">
        <f ca="1">IFERROR(RiskRegister[[#This Row],[Residual Impact Rating]]*RiskRegister[[#This Row],[Residual Likelihood Rating]],"-- Error --")</f>
        <v>-- Error --</v>
      </c>
      <c r="Z758" s="16" t="s">
        <v>100</v>
      </c>
      <c r="AB758" s="39"/>
      <c r="AD758" s="20"/>
    </row>
    <row r="759" spans="1:30" s="16" customFormat="1" hidden="1" x14ac:dyDescent="0.25">
      <c r="A759" s="16">
        <v>756</v>
      </c>
      <c r="G759" s="16" t="s">
        <v>77</v>
      </c>
      <c r="I759" s="16" t="s">
        <v>75</v>
      </c>
      <c r="L759" s="105" t="s">
        <v>99</v>
      </c>
      <c r="M759" s="17" t="str">
        <f>VLOOKUP(RiskRegister[[#This Row],[Inherent Impact LevelL3:L1020D1007L3:L1019]],'Rating factors'!$F$4:$G$9,2,FALSE)</f>
        <v>--- Error ---</v>
      </c>
      <c r="N759" s="16" t="s">
        <v>79</v>
      </c>
      <c r="O759" s="17" t="str">
        <f>VLOOKUP(RiskRegister[[#This Row],[Inherent Likelihood Level]],'Rating factors'!$F$16:$G$21,2,FALSE)</f>
        <v>--- Error ---</v>
      </c>
      <c r="P759" s="17" t="str">
        <f>IFERROR(VLOOKUP(RiskRegister[[#This Row],[Inherent Risk Rating]],'Rating factors'!$F$30:$G$44,2,FALSE),"-- Error --")</f>
        <v>-- Error --</v>
      </c>
      <c r="Q759" s="17" t="str">
        <f>IFERROR(RiskRegister[[#This Row],[Inherent Impact Rating]]*RiskRegister[[#This Row],[Inherent Likelihood Rating]],"-- Error --")</f>
        <v>-- Error --</v>
      </c>
      <c r="R759" s="16" t="s">
        <v>98</v>
      </c>
      <c r="T759" s="16" t="s">
        <v>99</v>
      </c>
      <c r="U759" s="17" t="e" cm="1">
        <f t="array" aca="1" ref="U759" ca="1">+U759:Y1019VLOOKUP(RiskRegister[[#This Row],[Residual Impact Level]],'Rating factors'!$F$4:$G$9,2,FALSE)</f>
        <v>#NAME?</v>
      </c>
      <c r="V759" s="16" t="s">
        <v>79</v>
      </c>
      <c r="W759" s="17" t="str">
        <f>VLOOKUP(RiskRegister[[#This Row],[Residual Likelihood Level]],'Rating factors'!$F$16:$G$21,2,FALSE)</f>
        <v>--- Error ---</v>
      </c>
      <c r="X759" s="17" t="str">
        <f ca="1">IFERROR(VLOOKUP(RiskRegister[[#This Row],[Residual Risk Rating]],'Rating factors'!$F$30:$G$44,2,FALSE),"-- Error --")</f>
        <v>-- Error --</v>
      </c>
      <c r="Y759" s="17" t="str">
        <f ca="1">IFERROR(RiskRegister[[#This Row],[Residual Impact Rating]]*RiskRegister[[#This Row],[Residual Likelihood Rating]],"-- Error --")</f>
        <v>-- Error --</v>
      </c>
      <c r="Z759" s="16" t="s">
        <v>100</v>
      </c>
      <c r="AB759" s="39"/>
      <c r="AD759" s="20"/>
    </row>
    <row r="760" spans="1:30" s="16" customFormat="1" hidden="1" x14ac:dyDescent="0.25">
      <c r="A760" s="16">
        <v>757</v>
      </c>
      <c r="G760" s="16" t="s">
        <v>77</v>
      </c>
      <c r="I760" s="16" t="s">
        <v>75</v>
      </c>
      <c r="L760" s="105" t="s">
        <v>99</v>
      </c>
      <c r="M760" s="17" t="str">
        <f>VLOOKUP(RiskRegister[[#This Row],[Inherent Impact LevelL3:L1020D1007L3:L1019]],'Rating factors'!$F$4:$G$9,2,FALSE)</f>
        <v>--- Error ---</v>
      </c>
      <c r="N760" s="16" t="s">
        <v>79</v>
      </c>
      <c r="O760" s="17" t="str">
        <f>VLOOKUP(RiskRegister[[#This Row],[Inherent Likelihood Level]],'Rating factors'!$F$16:$G$21,2,FALSE)</f>
        <v>--- Error ---</v>
      </c>
      <c r="P760" s="17" t="str">
        <f>IFERROR(VLOOKUP(RiskRegister[[#This Row],[Inherent Risk Rating]],'Rating factors'!$F$30:$G$44,2,FALSE),"-- Error --")</f>
        <v>-- Error --</v>
      </c>
      <c r="Q760" s="17" t="str">
        <f>IFERROR(RiskRegister[[#This Row],[Inherent Impact Rating]]*RiskRegister[[#This Row],[Inherent Likelihood Rating]],"-- Error --")</f>
        <v>-- Error --</v>
      </c>
      <c r="R760" s="16" t="s">
        <v>98</v>
      </c>
      <c r="T760" s="16" t="s">
        <v>99</v>
      </c>
      <c r="U760" s="17" t="e" cm="1">
        <f t="array" aca="1" ref="U760" ca="1">+U760:Y1019VLOOKUP(RiskRegister[[#This Row],[Residual Impact Level]],'Rating factors'!$F$4:$G$9,2,FALSE)</f>
        <v>#NAME?</v>
      </c>
      <c r="V760" s="16" t="s">
        <v>79</v>
      </c>
      <c r="W760" s="17" t="str">
        <f>VLOOKUP(RiskRegister[[#This Row],[Residual Likelihood Level]],'Rating factors'!$F$16:$G$21,2,FALSE)</f>
        <v>--- Error ---</v>
      </c>
      <c r="X760" s="17" t="str">
        <f ca="1">IFERROR(VLOOKUP(RiskRegister[[#This Row],[Residual Risk Rating]],'Rating factors'!$F$30:$G$44,2,FALSE),"-- Error --")</f>
        <v>-- Error --</v>
      </c>
      <c r="Y760" s="17" t="str">
        <f ca="1">IFERROR(RiskRegister[[#This Row],[Residual Impact Rating]]*RiskRegister[[#This Row],[Residual Likelihood Rating]],"-- Error --")</f>
        <v>-- Error --</v>
      </c>
      <c r="Z760" s="16" t="s">
        <v>100</v>
      </c>
      <c r="AB760" s="39"/>
      <c r="AD760" s="20"/>
    </row>
    <row r="761" spans="1:30" s="16" customFormat="1" hidden="1" x14ac:dyDescent="0.25">
      <c r="A761" s="16">
        <v>758</v>
      </c>
      <c r="G761" s="16" t="s">
        <v>77</v>
      </c>
      <c r="I761" s="16" t="s">
        <v>75</v>
      </c>
      <c r="L761" s="105" t="s">
        <v>99</v>
      </c>
      <c r="M761" s="17" t="str">
        <f>VLOOKUP(RiskRegister[[#This Row],[Inherent Impact LevelL3:L1020D1007L3:L1019]],'Rating factors'!$F$4:$G$9,2,FALSE)</f>
        <v>--- Error ---</v>
      </c>
      <c r="N761" s="16" t="s">
        <v>79</v>
      </c>
      <c r="O761" s="17" t="str">
        <f>VLOOKUP(RiskRegister[[#This Row],[Inherent Likelihood Level]],'Rating factors'!$F$16:$G$21,2,FALSE)</f>
        <v>--- Error ---</v>
      </c>
      <c r="P761" s="17" t="str">
        <f>IFERROR(VLOOKUP(RiskRegister[[#This Row],[Inherent Risk Rating]],'Rating factors'!$F$30:$G$44,2,FALSE),"-- Error --")</f>
        <v>-- Error --</v>
      </c>
      <c r="Q761" s="17" t="str">
        <f>IFERROR(RiskRegister[[#This Row],[Inherent Impact Rating]]*RiskRegister[[#This Row],[Inherent Likelihood Rating]],"-- Error --")</f>
        <v>-- Error --</v>
      </c>
      <c r="R761" s="16" t="s">
        <v>98</v>
      </c>
      <c r="T761" s="16" t="s">
        <v>99</v>
      </c>
      <c r="U761" s="17" t="e" cm="1">
        <f t="array" aca="1" ref="U761" ca="1">+U761:Y1019VLOOKUP(RiskRegister[[#This Row],[Residual Impact Level]],'Rating factors'!$F$4:$G$9,2,FALSE)</f>
        <v>#NAME?</v>
      </c>
      <c r="V761" s="16" t="s">
        <v>79</v>
      </c>
      <c r="W761" s="17" t="str">
        <f>VLOOKUP(RiskRegister[[#This Row],[Residual Likelihood Level]],'Rating factors'!$F$16:$G$21,2,FALSE)</f>
        <v>--- Error ---</v>
      </c>
      <c r="X761" s="17" t="str">
        <f ca="1">IFERROR(VLOOKUP(RiskRegister[[#This Row],[Residual Risk Rating]],'Rating factors'!$F$30:$G$44,2,FALSE),"-- Error --")</f>
        <v>-- Error --</v>
      </c>
      <c r="Y761" s="17" t="str">
        <f ca="1">IFERROR(RiskRegister[[#This Row],[Residual Impact Rating]]*RiskRegister[[#This Row],[Residual Likelihood Rating]],"-- Error --")</f>
        <v>-- Error --</v>
      </c>
      <c r="Z761" s="16" t="s">
        <v>100</v>
      </c>
      <c r="AB761" s="39"/>
      <c r="AD761" s="20"/>
    </row>
    <row r="762" spans="1:30" s="16" customFormat="1" hidden="1" x14ac:dyDescent="0.25">
      <c r="A762" s="16">
        <v>759</v>
      </c>
      <c r="G762" s="16" t="s">
        <v>77</v>
      </c>
      <c r="I762" s="16" t="s">
        <v>75</v>
      </c>
      <c r="L762" s="105" t="s">
        <v>99</v>
      </c>
      <c r="M762" s="17" t="str">
        <f>VLOOKUP(RiskRegister[[#This Row],[Inherent Impact LevelL3:L1020D1007L3:L1019]],'Rating factors'!$F$4:$G$9,2,FALSE)</f>
        <v>--- Error ---</v>
      </c>
      <c r="N762" s="16" t="s">
        <v>79</v>
      </c>
      <c r="O762" s="17" t="str">
        <f>VLOOKUP(RiskRegister[[#This Row],[Inherent Likelihood Level]],'Rating factors'!$F$16:$G$21,2,FALSE)</f>
        <v>--- Error ---</v>
      </c>
      <c r="P762" s="17" t="str">
        <f>IFERROR(VLOOKUP(RiskRegister[[#This Row],[Inherent Risk Rating]],'Rating factors'!$F$30:$G$44,2,FALSE),"-- Error --")</f>
        <v>-- Error --</v>
      </c>
      <c r="Q762" s="17" t="str">
        <f>IFERROR(RiskRegister[[#This Row],[Inherent Impact Rating]]*RiskRegister[[#This Row],[Inherent Likelihood Rating]],"-- Error --")</f>
        <v>-- Error --</v>
      </c>
      <c r="R762" s="16" t="s">
        <v>98</v>
      </c>
      <c r="T762" s="16" t="s">
        <v>99</v>
      </c>
      <c r="U762" s="17" t="e" cm="1">
        <f t="array" aca="1" ref="U762" ca="1">+U762:Y1019VLOOKUP(RiskRegister[[#This Row],[Residual Impact Level]],'Rating factors'!$F$4:$G$9,2,FALSE)</f>
        <v>#NAME?</v>
      </c>
      <c r="V762" s="16" t="s">
        <v>79</v>
      </c>
      <c r="W762" s="17" t="str">
        <f>VLOOKUP(RiskRegister[[#This Row],[Residual Likelihood Level]],'Rating factors'!$F$16:$G$21,2,FALSE)</f>
        <v>--- Error ---</v>
      </c>
      <c r="X762" s="17" t="str">
        <f ca="1">IFERROR(VLOOKUP(RiskRegister[[#This Row],[Residual Risk Rating]],'Rating factors'!$F$30:$G$44,2,FALSE),"-- Error --")</f>
        <v>-- Error --</v>
      </c>
      <c r="Y762" s="17" t="str">
        <f ca="1">IFERROR(RiskRegister[[#This Row],[Residual Impact Rating]]*RiskRegister[[#This Row],[Residual Likelihood Rating]],"-- Error --")</f>
        <v>-- Error --</v>
      </c>
      <c r="Z762" s="16" t="s">
        <v>100</v>
      </c>
      <c r="AB762" s="39"/>
      <c r="AD762" s="20"/>
    </row>
    <row r="763" spans="1:30" s="16" customFormat="1" hidden="1" x14ac:dyDescent="0.25">
      <c r="A763" s="16">
        <v>760</v>
      </c>
      <c r="G763" s="16" t="s">
        <v>77</v>
      </c>
      <c r="I763" s="16" t="s">
        <v>75</v>
      </c>
      <c r="L763" s="105" t="s">
        <v>99</v>
      </c>
      <c r="M763" s="17" t="str">
        <f>VLOOKUP(RiskRegister[[#This Row],[Inherent Impact LevelL3:L1020D1007L3:L1019]],'Rating factors'!$F$4:$G$9,2,FALSE)</f>
        <v>--- Error ---</v>
      </c>
      <c r="N763" s="16" t="s">
        <v>79</v>
      </c>
      <c r="O763" s="17" t="str">
        <f>VLOOKUP(RiskRegister[[#This Row],[Inherent Likelihood Level]],'Rating factors'!$F$16:$G$21,2,FALSE)</f>
        <v>--- Error ---</v>
      </c>
      <c r="P763" s="17" t="str">
        <f>IFERROR(VLOOKUP(RiskRegister[[#This Row],[Inherent Risk Rating]],'Rating factors'!$F$30:$G$44,2,FALSE),"-- Error --")</f>
        <v>-- Error --</v>
      </c>
      <c r="Q763" s="17" t="str">
        <f>IFERROR(RiskRegister[[#This Row],[Inherent Impact Rating]]*RiskRegister[[#This Row],[Inherent Likelihood Rating]],"-- Error --")</f>
        <v>-- Error --</v>
      </c>
      <c r="R763" s="16" t="s">
        <v>98</v>
      </c>
      <c r="T763" s="16" t="s">
        <v>99</v>
      </c>
      <c r="U763" s="17" t="e" cm="1">
        <f t="array" aca="1" ref="U763" ca="1">+U763:Y1019VLOOKUP(RiskRegister[[#This Row],[Residual Impact Level]],'Rating factors'!$F$4:$G$9,2,FALSE)</f>
        <v>#NAME?</v>
      </c>
      <c r="V763" s="16" t="s">
        <v>79</v>
      </c>
      <c r="W763" s="17" t="str">
        <f>VLOOKUP(RiskRegister[[#This Row],[Residual Likelihood Level]],'Rating factors'!$F$16:$G$21,2,FALSE)</f>
        <v>--- Error ---</v>
      </c>
      <c r="X763" s="17" t="str">
        <f ca="1">IFERROR(VLOOKUP(RiskRegister[[#This Row],[Residual Risk Rating]],'Rating factors'!$F$30:$G$44,2,FALSE),"-- Error --")</f>
        <v>-- Error --</v>
      </c>
      <c r="Y763" s="17" t="str">
        <f ca="1">IFERROR(RiskRegister[[#This Row],[Residual Impact Rating]]*RiskRegister[[#This Row],[Residual Likelihood Rating]],"-- Error --")</f>
        <v>-- Error --</v>
      </c>
      <c r="Z763" s="16" t="s">
        <v>100</v>
      </c>
      <c r="AB763" s="39"/>
      <c r="AD763" s="20"/>
    </row>
    <row r="764" spans="1:30" s="16" customFormat="1" hidden="1" x14ac:dyDescent="0.25">
      <c r="A764" s="16">
        <v>761</v>
      </c>
      <c r="G764" s="16" t="s">
        <v>77</v>
      </c>
      <c r="I764" s="16" t="s">
        <v>75</v>
      </c>
      <c r="L764" s="105" t="s">
        <v>99</v>
      </c>
      <c r="M764" s="17" t="str">
        <f>VLOOKUP(RiskRegister[[#This Row],[Inherent Impact LevelL3:L1020D1007L3:L1019]],'Rating factors'!$F$4:$G$9,2,FALSE)</f>
        <v>--- Error ---</v>
      </c>
      <c r="N764" s="16" t="s">
        <v>79</v>
      </c>
      <c r="O764" s="17" t="str">
        <f>VLOOKUP(RiskRegister[[#This Row],[Inherent Likelihood Level]],'Rating factors'!$F$16:$G$21,2,FALSE)</f>
        <v>--- Error ---</v>
      </c>
      <c r="P764" s="17" t="str">
        <f>IFERROR(VLOOKUP(RiskRegister[[#This Row],[Inherent Risk Rating]],'Rating factors'!$F$30:$G$44,2,FALSE),"-- Error --")</f>
        <v>-- Error --</v>
      </c>
      <c r="Q764" s="17" t="str">
        <f>IFERROR(RiskRegister[[#This Row],[Inherent Impact Rating]]*RiskRegister[[#This Row],[Inherent Likelihood Rating]],"-- Error --")</f>
        <v>-- Error --</v>
      </c>
      <c r="R764" s="16" t="s">
        <v>98</v>
      </c>
      <c r="T764" s="16" t="s">
        <v>99</v>
      </c>
      <c r="U764" s="17" t="e" cm="1">
        <f t="array" aca="1" ref="U764" ca="1">+U764:Y1019VLOOKUP(RiskRegister[[#This Row],[Residual Impact Level]],'Rating factors'!$F$4:$G$9,2,FALSE)</f>
        <v>#NAME?</v>
      </c>
      <c r="V764" s="16" t="s">
        <v>79</v>
      </c>
      <c r="W764" s="17" t="str">
        <f>VLOOKUP(RiskRegister[[#This Row],[Residual Likelihood Level]],'Rating factors'!$F$16:$G$21,2,FALSE)</f>
        <v>--- Error ---</v>
      </c>
      <c r="X764" s="17" t="str">
        <f ca="1">IFERROR(VLOOKUP(RiskRegister[[#This Row],[Residual Risk Rating]],'Rating factors'!$F$30:$G$44,2,FALSE),"-- Error --")</f>
        <v>-- Error --</v>
      </c>
      <c r="Y764" s="17" t="str">
        <f ca="1">IFERROR(RiskRegister[[#This Row],[Residual Impact Rating]]*RiskRegister[[#This Row],[Residual Likelihood Rating]],"-- Error --")</f>
        <v>-- Error --</v>
      </c>
      <c r="Z764" s="16" t="s">
        <v>100</v>
      </c>
      <c r="AB764" s="39"/>
      <c r="AD764" s="20"/>
    </row>
    <row r="765" spans="1:30" s="16" customFormat="1" hidden="1" x14ac:dyDescent="0.25">
      <c r="A765" s="16">
        <v>762</v>
      </c>
      <c r="G765" s="16" t="s">
        <v>77</v>
      </c>
      <c r="I765" s="16" t="s">
        <v>75</v>
      </c>
      <c r="L765" s="105" t="s">
        <v>99</v>
      </c>
      <c r="M765" s="17" t="str">
        <f>VLOOKUP(RiskRegister[[#This Row],[Inherent Impact LevelL3:L1020D1007L3:L1019]],'Rating factors'!$F$4:$G$9,2,FALSE)</f>
        <v>--- Error ---</v>
      </c>
      <c r="N765" s="16" t="s">
        <v>79</v>
      </c>
      <c r="O765" s="17" t="str">
        <f>VLOOKUP(RiskRegister[[#This Row],[Inherent Likelihood Level]],'Rating factors'!$F$16:$G$21,2,FALSE)</f>
        <v>--- Error ---</v>
      </c>
      <c r="P765" s="17" t="str">
        <f>IFERROR(VLOOKUP(RiskRegister[[#This Row],[Inherent Risk Rating]],'Rating factors'!$F$30:$G$44,2,FALSE),"-- Error --")</f>
        <v>-- Error --</v>
      </c>
      <c r="Q765" s="17" t="str">
        <f>IFERROR(RiskRegister[[#This Row],[Inherent Impact Rating]]*RiskRegister[[#This Row],[Inherent Likelihood Rating]],"-- Error --")</f>
        <v>-- Error --</v>
      </c>
      <c r="R765" s="16" t="s">
        <v>98</v>
      </c>
      <c r="T765" s="16" t="s">
        <v>99</v>
      </c>
      <c r="U765" s="17" t="e" cm="1">
        <f t="array" aca="1" ref="U765" ca="1">+U765:Y1019VLOOKUP(RiskRegister[[#This Row],[Residual Impact Level]],'Rating factors'!$F$4:$G$9,2,FALSE)</f>
        <v>#NAME?</v>
      </c>
      <c r="V765" s="16" t="s">
        <v>79</v>
      </c>
      <c r="W765" s="17" t="str">
        <f>VLOOKUP(RiskRegister[[#This Row],[Residual Likelihood Level]],'Rating factors'!$F$16:$G$21,2,FALSE)</f>
        <v>--- Error ---</v>
      </c>
      <c r="X765" s="17" t="str">
        <f ca="1">IFERROR(VLOOKUP(RiskRegister[[#This Row],[Residual Risk Rating]],'Rating factors'!$F$30:$G$44,2,FALSE),"-- Error --")</f>
        <v>-- Error --</v>
      </c>
      <c r="Y765" s="17" t="str">
        <f ca="1">IFERROR(RiskRegister[[#This Row],[Residual Impact Rating]]*RiskRegister[[#This Row],[Residual Likelihood Rating]],"-- Error --")</f>
        <v>-- Error --</v>
      </c>
      <c r="Z765" s="16" t="s">
        <v>100</v>
      </c>
      <c r="AB765" s="39"/>
      <c r="AD765" s="20"/>
    </row>
    <row r="766" spans="1:30" s="16" customFormat="1" hidden="1" x14ac:dyDescent="0.25">
      <c r="A766" s="16">
        <v>763</v>
      </c>
      <c r="G766" s="16" t="s">
        <v>77</v>
      </c>
      <c r="I766" s="16" t="s">
        <v>75</v>
      </c>
      <c r="L766" s="105" t="s">
        <v>99</v>
      </c>
      <c r="M766" s="17" t="str">
        <f>VLOOKUP(RiskRegister[[#This Row],[Inherent Impact LevelL3:L1020D1007L3:L1019]],'Rating factors'!$F$4:$G$9,2,FALSE)</f>
        <v>--- Error ---</v>
      </c>
      <c r="N766" s="16" t="s">
        <v>79</v>
      </c>
      <c r="O766" s="17" t="str">
        <f>VLOOKUP(RiskRegister[[#This Row],[Inherent Likelihood Level]],'Rating factors'!$F$16:$G$21,2,FALSE)</f>
        <v>--- Error ---</v>
      </c>
      <c r="P766" s="17" t="str">
        <f>IFERROR(VLOOKUP(RiskRegister[[#This Row],[Inherent Risk Rating]],'Rating factors'!$F$30:$G$44,2,FALSE),"-- Error --")</f>
        <v>-- Error --</v>
      </c>
      <c r="Q766" s="17" t="str">
        <f>IFERROR(RiskRegister[[#This Row],[Inherent Impact Rating]]*RiskRegister[[#This Row],[Inherent Likelihood Rating]],"-- Error --")</f>
        <v>-- Error --</v>
      </c>
      <c r="R766" s="16" t="s">
        <v>98</v>
      </c>
      <c r="T766" s="16" t="s">
        <v>99</v>
      </c>
      <c r="U766" s="17" t="e" cm="1">
        <f t="array" aca="1" ref="U766" ca="1">+U766:Y1019VLOOKUP(RiskRegister[[#This Row],[Residual Impact Level]],'Rating factors'!$F$4:$G$9,2,FALSE)</f>
        <v>#NAME?</v>
      </c>
      <c r="V766" s="16" t="s">
        <v>79</v>
      </c>
      <c r="W766" s="17" t="str">
        <f>VLOOKUP(RiskRegister[[#This Row],[Residual Likelihood Level]],'Rating factors'!$F$16:$G$21,2,FALSE)</f>
        <v>--- Error ---</v>
      </c>
      <c r="X766" s="17" t="str">
        <f ca="1">IFERROR(VLOOKUP(RiskRegister[[#This Row],[Residual Risk Rating]],'Rating factors'!$F$30:$G$44,2,FALSE),"-- Error --")</f>
        <v>-- Error --</v>
      </c>
      <c r="Y766" s="17" t="str">
        <f ca="1">IFERROR(RiskRegister[[#This Row],[Residual Impact Rating]]*RiskRegister[[#This Row],[Residual Likelihood Rating]],"-- Error --")</f>
        <v>-- Error --</v>
      </c>
      <c r="Z766" s="16" t="s">
        <v>100</v>
      </c>
      <c r="AB766" s="39"/>
      <c r="AD766" s="20"/>
    </row>
    <row r="767" spans="1:30" s="16" customFormat="1" hidden="1" x14ac:dyDescent="0.25">
      <c r="A767" s="16">
        <v>764</v>
      </c>
      <c r="G767" s="16" t="s">
        <v>77</v>
      </c>
      <c r="I767" s="16" t="s">
        <v>75</v>
      </c>
      <c r="L767" s="105" t="s">
        <v>99</v>
      </c>
      <c r="M767" s="17" t="str">
        <f>VLOOKUP(RiskRegister[[#This Row],[Inherent Impact LevelL3:L1020D1007L3:L1019]],'Rating factors'!$F$4:$G$9,2,FALSE)</f>
        <v>--- Error ---</v>
      </c>
      <c r="N767" s="16" t="s">
        <v>79</v>
      </c>
      <c r="O767" s="17" t="str">
        <f>VLOOKUP(RiskRegister[[#This Row],[Inherent Likelihood Level]],'Rating factors'!$F$16:$G$21,2,FALSE)</f>
        <v>--- Error ---</v>
      </c>
      <c r="P767" s="17" t="str">
        <f>IFERROR(VLOOKUP(RiskRegister[[#This Row],[Inherent Risk Rating]],'Rating factors'!$F$30:$G$44,2,FALSE),"-- Error --")</f>
        <v>-- Error --</v>
      </c>
      <c r="Q767" s="17" t="str">
        <f>IFERROR(RiskRegister[[#This Row],[Inherent Impact Rating]]*RiskRegister[[#This Row],[Inherent Likelihood Rating]],"-- Error --")</f>
        <v>-- Error --</v>
      </c>
      <c r="R767" s="16" t="s">
        <v>98</v>
      </c>
      <c r="T767" s="16" t="s">
        <v>99</v>
      </c>
      <c r="U767" s="17" t="e" cm="1">
        <f t="array" aca="1" ref="U767" ca="1">+U767:Y1019VLOOKUP(RiskRegister[[#This Row],[Residual Impact Level]],'Rating factors'!$F$4:$G$9,2,FALSE)</f>
        <v>#NAME?</v>
      </c>
      <c r="V767" s="16" t="s">
        <v>79</v>
      </c>
      <c r="W767" s="17" t="str">
        <f>VLOOKUP(RiskRegister[[#This Row],[Residual Likelihood Level]],'Rating factors'!$F$16:$G$21,2,FALSE)</f>
        <v>--- Error ---</v>
      </c>
      <c r="X767" s="17" t="str">
        <f ca="1">IFERROR(VLOOKUP(RiskRegister[[#This Row],[Residual Risk Rating]],'Rating factors'!$F$30:$G$44,2,FALSE),"-- Error --")</f>
        <v>-- Error --</v>
      </c>
      <c r="Y767" s="17" t="str">
        <f ca="1">IFERROR(RiskRegister[[#This Row],[Residual Impact Rating]]*RiskRegister[[#This Row],[Residual Likelihood Rating]],"-- Error --")</f>
        <v>-- Error --</v>
      </c>
      <c r="Z767" s="16" t="s">
        <v>100</v>
      </c>
      <c r="AB767" s="39"/>
      <c r="AD767" s="20"/>
    </row>
    <row r="768" spans="1:30" s="16" customFormat="1" hidden="1" x14ac:dyDescent="0.25">
      <c r="A768" s="16">
        <v>765</v>
      </c>
      <c r="G768" s="16" t="s">
        <v>77</v>
      </c>
      <c r="I768" s="16" t="s">
        <v>75</v>
      </c>
      <c r="L768" s="105" t="s">
        <v>99</v>
      </c>
      <c r="M768" s="17" t="str">
        <f>VLOOKUP(RiskRegister[[#This Row],[Inherent Impact LevelL3:L1020D1007L3:L1019]],'Rating factors'!$F$4:$G$9,2,FALSE)</f>
        <v>--- Error ---</v>
      </c>
      <c r="N768" s="16" t="s">
        <v>79</v>
      </c>
      <c r="O768" s="17" t="str">
        <f>VLOOKUP(RiskRegister[[#This Row],[Inherent Likelihood Level]],'Rating factors'!$F$16:$G$21,2,FALSE)</f>
        <v>--- Error ---</v>
      </c>
      <c r="P768" s="17" t="str">
        <f>IFERROR(VLOOKUP(RiskRegister[[#This Row],[Inherent Risk Rating]],'Rating factors'!$F$30:$G$44,2,FALSE),"-- Error --")</f>
        <v>-- Error --</v>
      </c>
      <c r="Q768" s="17" t="str">
        <f>IFERROR(RiskRegister[[#This Row],[Inherent Impact Rating]]*RiskRegister[[#This Row],[Inherent Likelihood Rating]],"-- Error --")</f>
        <v>-- Error --</v>
      </c>
      <c r="R768" s="16" t="s">
        <v>98</v>
      </c>
      <c r="T768" s="16" t="s">
        <v>99</v>
      </c>
      <c r="U768" s="17" t="e" cm="1">
        <f t="array" aca="1" ref="U768" ca="1">+U768:Y1019VLOOKUP(RiskRegister[[#This Row],[Residual Impact Level]],'Rating factors'!$F$4:$G$9,2,FALSE)</f>
        <v>#NAME?</v>
      </c>
      <c r="V768" s="16" t="s">
        <v>79</v>
      </c>
      <c r="W768" s="17" t="str">
        <f>VLOOKUP(RiskRegister[[#This Row],[Residual Likelihood Level]],'Rating factors'!$F$16:$G$21,2,FALSE)</f>
        <v>--- Error ---</v>
      </c>
      <c r="X768" s="17" t="str">
        <f ca="1">IFERROR(VLOOKUP(RiskRegister[[#This Row],[Residual Risk Rating]],'Rating factors'!$F$30:$G$44,2,FALSE),"-- Error --")</f>
        <v>-- Error --</v>
      </c>
      <c r="Y768" s="17" t="str">
        <f ca="1">IFERROR(RiskRegister[[#This Row],[Residual Impact Rating]]*RiskRegister[[#This Row],[Residual Likelihood Rating]],"-- Error --")</f>
        <v>-- Error --</v>
      </c>
      <c r="Z768" s="16" t="s">
        <v>100</v>
      </c>
      <c r="AB768" s="39"/>
      <c r="AD768" s="20"/>
    </row>
    <row r="769" spans="1:30" s="16" customFormat="1" hidden="1" x14ac:dyDescent="0.25">
      <c r="A769" s="16">
        <v>766</v>
      </c>
      <c r="G769" s="16" t="s">
        <v>77</v>
      </c>
      <c r="I769" s="16" t="s">
        <v>75</v>
      </c>
      <c r="L769" s="105" t="s">
        <v>99</v>
      </c>
      <c r="M769" s="17" t="str">
        <f>VLOOKUP(RiskRegister[[#This Row],[Inherent Impact LevelL3:L1020D1007L3:L1019]],'Rating factors'!$F$4:$G$9,2,FALSE)</f>
        <v>--- Error ---</v>
      </c>
      <c r="N769" s="16" t="s">
        <v>79</v>
      </c>
      <c r="O769" s="17" t="str">
        <f>VLOOKUP(RiskRegister[[#This Row],[Inherent Likelihood Level]],'Rating factors'!$F$16:$G$21,2,FALSE)</f>
        <v>--- Error ---</v>
      </c>
      <c r="P769" s="17" t="str">
        <f>IFERROR(VLOOKUP(RiskRegister[[#This Row],[Inherent Risk Rating]],'Rating factors'!$F$30:$G$44,2,FALSE),"-- Error --")</f>
        <v>-- Error --</v>
      </c>
      <c r="Q769" s="17" t="str">
        <f>IFERROR(RiskRegister[[#This Row],[Inherent Impact Rating]]*RiskRegister[[#This Row],[Inherent Likelihood Rating]],"-- Error --")</f>
        <v>-- Error --</v>
      </c>
      <c r="R769" s="16" t="s">
        <v>98</v>
      </c>
      <c r="T769" s="16" t="s">
        <v>99</v>
      </c>
      <c r="U769" s="17" t="e" cm="1">
        <f t="array" aca="1" ref="U769" ca="1">+U769:Y1019VLOOKUP(RiskRegister[[#This Row],[Residual Impact Level]],'Rating factors'!$F$4:$G$9,2,FALSE)</f>
        <v>#NAME?</v>
      </c>
      <c r="V769" s="16" t="s">
        <v>79</v>
      </c>
      <c r="W769" s="17" t="str">
        <f>VLOOKUP(RiskRegister[[#This Row],[Residual Likelihood Level]],'Rating factors'!$F$16:$G$21,2,FALSE)</f>
        <v>--- Error ---</v>
      </c>
      <c r="X769" s="17" t="str">
        <f ca="1">IFERROR(VLOOKUP(RiskRegister[[#This Row],[Residual Risk Rating]],'Rating factors'!$F$30:$G$44,2,FALSE),"-- Error --")</f>
        <v>-- Error --</v>
      </c>
      <c r="Y769" s="17" t="str">
        <f ca="1">IFERROR(RiskRegister[[#This Row],[Residual Impact Rating]]*RiskRegister[[#This Row],[Residual Likelihood Rating]],"-- Error --")</f>
        <v>-- Error --</v>
      </c>
      <c r="Z769" s="16" t="s">
        <v>100</v>
      </c>
      <c r="AB769" s="39"/>
      <c r="AD769" s="20"/>
    </row>
    <row r="770" spans="1:30" s="16" customFormat="1" hidden="1" x14ac:dyDescent="0.25">
      <c r="A770" s="16">
        <v>767</v>
      </c>
      <c r="G770" s="16" t="s">
        <v>77</v>
      </c>
      <c r="I770" s="16" t="s">
        <v>75</v>
      </c>
      <c r="L770" s="105" t="s">
        <v>99</v>
      </c>
      <c r="M770" s="17" t="str">
        <f>VLOOKUP(RiskRegister[[#This Row],[Inherent Impact LevelL3:L1020D1007L3:L1019]],'Rating factors'!$F$4:$G$9,2,FALSE)</f>
        <v>--- Error ---</v>
      </c>
      <c r="N770" s="16" t="s">
        <v>79</v>
      </c>
      <c r="O770" s="17" t="str">
        <f>VLOOKUP(RiskRegister[[#This Row],[Inherent Likelihood Level]],'Rating factors'!$F$16:$G$21,2,FALSE)</f>
        <v>--- Error ---</v>
      </c>
      <c r="P770" s="17" t="str">
        <f>IFERROR(VLOOKUP(RiskRegister[[#This Row],[Inherent Risk Rating]],'Rating factors'!$F$30:$G$44,2,FALSE),"-- Error --")</f>
        <v>-- Error --</v>
      </c>
      <c r="Q770" s="17" t="str">
        <f>IFERROR(RiskRegister[[#This Row],[Inherent Impact Rating]]*RiskRegister[[#This Row],[Inherent Likelihood Rating]],"-- Error --")</f>
        <v>-- Error --</v>
      </c>
      <c r="R770" s="16" t="s">
        <v>98</v>
      </c>
      <c r="T770" s="16" t="s">
        <v>99</v>
      </c>
      <c r="U770" s="17" t="e" cm="1">
        <f t="array" aca="1" ref="U770" ca="1">+U770:Y1019VLOOKUP(RiskRegister[[#This Row],[Residual Impact Level]],'Rating factors'!$F$4:$G$9,2,FALSE)</f>
        <v>#NAME?</v>
      </c>
      <c r="V770" s="16" t="s">
        <v>79</v>
      </c>
      <c r="W770" s="17" t="str">
        <f>VLOOKUP(RiskRegister[[#This Row],[Residual Likelihood Level]],'Rating factors'!$F$16:$G$21,2,FALSE)</f>
        <v>--- Error ---</v>
      </c>
      <c r="X770" s="17" t="str">
        <f ca="1">IFERROR(VLOOKUP(RiskRegister[[#This Row],[Residual Risk Rating]],'Rating factors'!$F$30:$G$44,2,FALSE),"-- Error --")</f>
        <v>-- Error --</v>
      </c>
      <c r="Y770" s="17" t="str">
        <f ca="1">IFERROR(RiskRegister[[#This Row],[Residual Impact Rating]]*RiskRegister[[#This Row],[Residual Likelihood Rating]],"-- Error --")</f>
        <v>-- Error --</v>
      </c>
      <c r="Z770" s="16" t="s">
        <v>100</v>
      </c>
      <c r="AB770" s="39"/>
      <c r="AD770" s="20"/>
    </row>
    <row r="771" spans="1:30" s="16" customFormat="1" hidden="1" x14ac:dyDescent="0.25">
      <c r="A771" s="16">
        <v>768</v>
      </c>
      <c r="G771" s="16" t="s">
        <v>77</v>
      </c>
      <c r="I771" s="16" t="s">
        <v>75</v>
      </c>
      <c r="L771" s="105" t="s">
        <v>99</v>
      </c>
      <c r="M771" s="17" t="str">
        <f>VLOOKUP(RiskRegister[[#This Row],[Inherent Impact LevelL3:L1020D1007L3:L1019]],'Rating factors'!$F$4:$G$9,2,FALSE)</f>
        <v>--- Error ---</v>
      </c>
      <c r="N771" s="16" t="s">
        <v>79</v>
      </c>
      <c r="O771" s="17" t="str">
        <f>VLOOKUP(RiskRegister[[#This Row],[Inherent Likelihood Level]],'Rating factors'!$F$16:$G$21,2,FALSE)</f>
        <v>--- Error ---</v>
      </c>
      <c r="P771" s="17" t="str">
        <f>IFERROR(VLOOKUP(RiskRegister[[#This Row],[Inherent Risk Rating]],'Rating factors'!$F$30:$G$44,2,FALSE),"-- Error --")</f>
        <v>-- Error --</v>
      </c>
      <c r="Q771" s="17" t="str">
        <f>IFERROR(RiskRegister[[#This Row],[Inherent Impact Rating]]*RiskRegister[[#This Row],[Inherent Likelihood Rating]],"-- Error --")</f>
        <v>-- Error --</v>
      </c>
      <c r="R771" s="16" t="s">
        <v>98</v>
      </c>
      <c r="T771" s="16" t="s">
        <v>99</v>
      </c>
      <c r="U771" s="17" t="e" cm="1">
        <f t="array" aca="1" ref="U771" ca="1">+U771:Y1019VLOOKUP(RiskRegister[[#This Row],[Residual Impact Level]],'Rating factors'!$F$4:$G$9,2,FALSE)</f>
        <v>#NAME?</v>
      </c>
      <c r="V771" s="16" t="s">
        <v>79</v>
      </c>
      <c r="W771" s="17" t="str">
        <f>VLOOKUP(RiskRegister[[#This Row],[Residual Likelihood Level]],'Rating factors'!$F$16:$G$21,2,FALSE)</f>
        <v>--- Error ---</v>
      </c>
      <c r="X771" s="17" t="str">
        <f ca="1">IFERROR(VLOOKUP(RiskRegister[[#This Row],[Residual Risk Rating]],'Rating factors'!$F$30:$G$44,2,FALSE),"-- Error --")</f>
        <v>-- Error --</v>
      </c>
      <c r="Y771" s="17" t="str">
        <f ca="1">IFERROR(RiskRegister[[#This Row],[Residual Impact Rating]]*RiskRegister[[#This Row],[Residual Likelihood Rating]],"-- Error --")</f>
        <v>-- Error --</v>
      </c>
      <c r="Z771" s="16" t="s">
        <v>100</v>
      </c>
      <c r="AB771" s="39"/>
      <c r="AD771" s="20"/>
    </row>
    <row r="772" spans="1:30" s="16" customFormat="1" hidden="1" x14ac:dyDescent="0.25">
      <c r="A772" s="16">
        <v>769</v>
      </c>
      <c r="G772" s="16" t="s">
        <v>77</v>
      </c>
      <c r="I772" s="16" t="s">
        <v>75</v>
      </c>
      <c r="L772" s="105" t="s">
        <v>99</v>
      </c>
      <c r="M772" s="17" t="str">
        <f>VLOOKUP(RiskRegister[[#This Row],[Inherent Impact LevelL3:L1020D1007L3:L1019]],'Rating factors'!$F$4:$G$9,2,FALSE)</f>
        <v>--- Error ---</v>
      </c>
      <c r="N772" s="16" t="s">
        <v>79</v>
      </c>
      <c r="O772" s="17" t="str">
        <f>VLOOKUP(RiskRegister[[#This Row],[Inherent Likelihood Level]],'Rating factors'!$F$16:$G$21,2,FALSE)</f>
        <v>--- Error ---</v>
      </c>
      <c r="P772" s="17" t="str">
        <f>IFERROR(VLOOKUP(RiskRegister[[#This Row],[Inherent Risk Rating]],'Rating factors'!$F$30:$G$44,2,FALSE),"-- Error --")</f>
        <v>-- Error --</v>
      </c>
      <c r="Q772" s="17" t="str">
        <f>IFERROR(RiskRegister[[#This Row],[Inherent Impact Rating]]*RiskRegister[[#This Row],[Inherent Likelihood Rating]],"-- Error --")</f>
        <v>-- Error --</v>
      </c>
      <c r="R772" s="16" t="s">
        <v>98</v>
      </c>
      <c r="T772" s="16" t="s">
        <v>99</v>
      </c>
      <c r="U772" s="17" t="e" cm="1">
        <f t="array" aca="1" ref="U772" ca="1">+U772:Y1019VLOOKUP(RiskRegister[[#This Row],[Residual Impact Level]],'Rating factors'!$F$4:$G$9,2,FALSE)</f>
        <v>#NAME?</v>
      </c>
      <c r="V772" s="16" t="s">
        <v>79</v>
      </c>
      <c r="W772" s="17" t="str">
        <f>VLOOKUP(RiskRegister[[#This Row],[Residual Likelihood Level]],'Rating factors'!$F$16:$G$21,2,FALSE)</f>
        <v>--- Error ---</v>
      </c>
      <c r="X772" s="17" t="str">
        <f ca="1">IFERROR(VLOOKUP(RiskRegister[[#This Row],[Residual Risk Rating]],'Rating factors'!$F$30:$G$44,2,FALSE),"-- Error --")</f>
        <v>-- Error --</v>
      </c>
      <c r="Y772" s="17" t="str">
        <f ca="1">IFERROR(RiskRegister[[#This Row],[Residual Impact Rating]]*RiskRegister[[#This Row],[Residual Likelihood Rating]],"-- Error --")</f>
        <v>-- Error --</v>
      </c>
      <c r="Z772" s="16" t="s">
        <v>100</v>
      </c>
      <c r="AB772" s="39"/>
      <c r="AD772" s="20"/>
    </row>
    <row r="773" spans="1:30" s="16" customFormat="1" hidden="1" x14ac:dyDescent="0.25">
      <c r="A773" s="16">
        <v>770</v>
      </c>
      <c r="G773" s="16" t="s">
        <v>77</v>
      </c>
      <c r="I773" s="16" t="s">
        <v>75</v>
      </c>
      <c r="L773" s="105" t="s">
        <v>99</v>
      </c>
      <c r="M773" s="17" t="str">
        <f>VLOOKUP(RiskRegister[[#This Row],[Inherent Impact LevelL3:L1020D1007L3:L1019]],'Rating factors'!$F$4:$G$9,2,FALSE)</f>
        <v>--- Error ---</v>
      </c>
      <c r="N773" s="16" t="s">
        <v>79</v>
      </c>
      <c r="O773" s="17" t="str">
        <f>VLOOKUP(RiskRegister[[#This Row],[Inherent Likelihood Level]],'Rating factors'!$F$16:$G$21,2,FALSE)</f>
        <v>--- Error ---</v>
      </c>
      <c r="P773" s="17" t="str">
        <f>IFERROR(VLOOKUP(RiskRegister[[#This Row],[Inherent Risk Rating]],'Rating factors'!$F$30:$G$44,2,FALSE),"-- Error --")</f>
        <v>-- Error --</v>
      </c>
      <c r="Q773" s="17" t="str">
        <f>IFERROR(RiskRegister[[#This Row],[Inherent Impact Rating]]*RiskRegister[[#This Row],[Inherent Likelihood Rating]],"-- Error --")</f>
        <v>-- Error --</v>
      </c>
      <c r="R773" s="16" t="s">
        <v>98</v>
      </c>
      <c r="T773" s="16" t="s">
        <v>99</v>
      </c>
      <c r="U773" s="17" t="e" cm="1">
        <f t="array" aca="1" ref="U773" ca="1">+U773:Y1019VLOOKUP(RiskRegister[[#This Row],[Residual Impact Level]],'Rating factors'!$F$4:$G$9,2,FALSE)</f>
        <v>#NAME?</v>
      </c>
      <c r="V773" s="16" t="s">
        <v>79</v>
      </c>
      <c r="W773" s="17" t="str">
        <f>VLOOKUP(RiskRegister[[#This Row],[Residual Likelihood Level]],'Rating factors'!$F$16:$G$21,2,FALSE)</f>
        <v>--- Error ---</v>
      </c>
      <c r="X773" s="17" t="str">
        <f ca="1">IFERROR(VLOOKUP(RiskRegister[[#This Row],[Residual Risk Rating]],'Rating factors'!$F$30:$G$44,2,FALSE),"-- Error --")</f>
        <v>-- Error --</v>
      </c>
      <c r="Y773" s="17" t="str">
        <f ca="1">IFERROR(RiskRegister[[#This Row],[Residual Impact Rating]]*RiskRegister[[#This Row],[Residual Likelihood Rating]],"-- Error --")</f>
        <v>-- Error --</v>
      </c>
      <c r="Z773" s="16" t="s">
        <v>100</v>
      </c>
      <c r="AB773" s="39"/>
      <c r="AD773" s="20"/>
    </row>
    <row r="774" spans="1:30" s="16" customFormat="1" hidden="1" x14ac:dyDescent="0.25">
      <c r="A774" s="16">
        <v>771</v>
      </c>
      <c r="G774" s="16" t="s">
        <v>77</v>
      </c>
      <c r="I774" s="16" t="s">
        <v>75</v>
      </c>
      <c r="L774" s="105" t="s">
        <v>99</v>
      </c>
      <c r="M774" s="17" t="str">
        <f>VLOOKUP(RiskRegister[[#This Row],[Inherent Impact LevelL3:L1020D1007L3:L1019]],'Rating factors'!$F$4:$G$9,2,FALSE)</f>
        <v>--- Error ---</v>
      </c>
      <c r="N774" s="16" t="s">
        <v>79</v>
      </c>
      <c r="O774" s="17" t="str">
        <f>VLOOKUP(RiskRegister[[#This Row],[Inherent Likelihood Level]],'Rating factors'!$F$16:$G$21,2,FALSE)</f>
        <v>--- Error ---</v>
      </c>
      <c r="P774" s="17" t="str">
        <f>IFERROR(VLOOKUP(RiskRegister[[#This Row],[Inherent Risk Rating]],'Rating factors'!$F$30:$G$44,2,FALSE),"-- Error --")</f>
        <v>-- Error --</v>
      </c>
      <c r="Q774" s="17" t="str">
        <f>IFERROR(RiskRegister[[#This Row],[Inherent Impact Rating]]*RiskRegister[[#This Row],[Inherent Likelihood Rating]],"-- Error --")</f>
        <v>-- Error --</v>
      </c>
      <c r="R774" s="16" t="s">
        <v>98</v>
      </c>
      <c r="T774" s="16" t="s">
        <v>99</v>
      </c>
      <c r="U774" s="17" t="e" cm="1">
        <f t="array" aca="1" ref="U774" ca="1">+U774:Y1019VLOOKUP(RiskRegister[[#This Row],[Residual Impact Level]],'Rating factors'!$F$4:$G$9,2,FALSE)</f>
        <v>#NAME?</v>
      </c>
      <c r="V774" s="16" t="s">
        <v>79</v>
      </c>
      <c r="W774" s="17" t="str">
        <f>VLOOKUP(RiskRegister[[#This Row],[Residual Likelihood Level]],'Rating factors'!$F$16:$G$21,2,FALSE)</f>
        <v>--- Error ---</v>
      </c>
      <c r="X774" s="17" t="str">
        <f ca="1">IFERROR(VLOOKUP(RiskRegister[[#This Row],[Residual Risk Rating]],'Rating factors'!$F$30:$G$44,2,FALSE),"-- Error --")</f>
        <v>-- Error --</v>
      </c>
      <c r="Y774" s="17" t="str">
        <f ca="1">IFERROR(RiskRegister[[#This Row],[Residual Impact Rating]]*RiskRegister[[#This Row],[Residual Likelihood Rating]],"-- Error --")</f>
        <v>-- Error --</v>
      </c>
      <c r="Z774" s="16" t="s">
        <v>100</v>
      </c>
      <c r="AB774" s="39"/>
      <c r="AD774" s="20"/>
    </row>
    <row r="775" spans="1:30" s="16" customFormat="1" hidden="1" x14ac:dyDescent="0.25">
      <c r="A775" s="16">
        <v>772</v>
      </c>
      <c r="G775" s="16" t="s">
        <v>77</v>
      </c>
      <c r="I775" s="16" t="s">
        <v>75</v>
      </c>
      <c r="L775" s="105" t="s">
        <v>99</v>
      </c>
      <c r="M775" s="17" t="str">
        <f>VLOOKUP(RiskRegister[[#This Row],[Inherent Impact LevelL3:L1020D1007L3:L1019]],'Rating factors'!$F$4:$G$9,2,FALSE)</f>
        <v>--- Error ---</v>
      </c>
      <c r="N775" s="16" t="s">
        <v>79</v>
      </c>
      <c r="O775" s="17" t="str">
        <f>VLOOKUP(RiskRegister[[#This Row],[Inherent Likelihood Level]],'Rating factors'!$F$16:$G$21,2,FALSE)</f>
        <v>--- Error ---</v>
      </c>
      <c r="P775" s="17" t="str">
        <f>IFERROR(VLOOKUP(RiskRegister[[#This Row],[Inherent Risk Rating]],'Rating factors'!$F$30:$G$44,2,FALSE),"-- Error --")</f>
        <v>-- Error --</v>
      </c>
      <c r="Q775" s="17" t="str">
        <f>IFERROR(RiskRegister[[#This Row],[Inherent Impact Rating]]*RiskRegister[[#This Row],[Inherent Likelihood Rating]],"-- Error --")</f>
        <v>-- Error --</v>
      </c>
      <c r="R775" s="16" t="s">
        <v>98</v>
      </c>
      <c r="T775" s="16" t="s">
        <v>99</v>
      </c>
      <c r="U775" s="17" t="e" cm="1">
        <f t="array" aca="1" ref="U775" ca="1">+U775:Y1019VLOOKUP(RiskRegister[[#This Row],[Residual Impact Level]],'Rating factors'!$F$4:$G$9,2,FALSE)</f>
        <v>#NAME?</v>
      </c>
      <c r="V775" s="16" t="s">
        <v>79</v>
      </c>
      <c r="W775" s="17" t="str">
        <f>VLOOKUP(RiskRegister[[#This Row],[Residual Likelihood Level]],'Rating factors'!$F$16:$G$21,2,FALSE)</f>
        <v>--- Error ---</v>
      </c>
      <c r="X775" s="17" t="str">
        <f ca="1">IFERROR(VLOOKUP(RiskRegister[[#This Row],[Residual Risk Rating]],'Rating factors'!$F$30:$G$44,2,FALSE),"-- Error --")</f>
        <v>-- Error --</v>
      </c>
      <c r="Y775" s="17" t="str">
        <f ca="1">IFERROR(RiskRegister[[#This Row],[Residual Impact Rating]]*RiskRegister[[#This Row],[Residual Likelihood Rating]],"-- Error --")</f>
        <v>-- Error --</v>
      </c>
      <c r="Z775" s="16" t="s">
        <v>100</v>
      </c>
      <c r="AB775" s="39"/>
      <c r="AD775" s="20"/>
    </row>
    <row r="776" spans="1:30" s="16" customFormat="1" hidden="1" x14ac:dyDescent="0.25">
      <c r="A776" s="16">
        <v>773</v>
      </c>
      <c r="G776" s="16" t="s">
        <v>77</v>
      </c>
      <c r="I776" s="16" t="s">
        <v>75</v>
      </c>
      <c r="L776" s="105" t="s">
        <v>99</v>
      </c>
      <c r="M776" s="17" t="str">
        <f>VLOOKUP(RiskRegister[[#This Row],[Inherent Impact LevelL3:L1020D1007L3:L1019]],'Rating factors'!$F$4:$G$9,2,FALSE)</f>
        <v>--- Error ---</v>
      </c>
      <c r="N776" s="16" t="s">
        <v>79</v>
      </c>
      <c r="O776" s="17" t="str">
        <f>VLOOKUP(RiskRegister[[#This Row],[Inherent Likelihood Level]],'Rating factors'!$F$16:$G$21,2,FALSE)</f>
        <v>--- Error ---</v>
      </c>
      <c r="P776" s="17" t="str">
        <f>IFERROR(VLOOKUP(RiskRegister[[#This Row],[Inherent Risk Rating]],'Rating factors'!$F$30:$G$44,2,FALSE),"-- Error --")</f>
        <v>-- Error --</v>
      </c>
      <c r="Q776" s="17" t="str">
        <f>IFERROR(RiskRegister[[#This Row],[Inherent Impact Rating]]*RiskRegister[[#This Row],[Inherent Likelihood Rating]],"-- Error --")</f>
        <v>-- Error --</v>
      </c>
      <c r="R776" s="16" t="s">
        <v>98</v>
      </c>
      <c r="T776" s="16" t="s">
        <v>99</v>
      </c>
      <c r="U776" s="17" t="e" cm="1">
        <f t="array" aca="1" ref="U776" ca="1">+U776:Y1019VLOOKUP(RiskRegister[[#This Row],[Residual Impact Level]],'Rating factors'!$F$4:$G$9,2,FALSE)</f>
        <v>#NAME?</v>
      </c>
      <c r="V776" s="16" t="s">
        <v>79</v>
      </c>
      <c r="W776" s="17" t="str">
        <f>VLOOKUP(RiskRegister[[#This Row],[Residual Likelihood Level]],'Rating factors'!$F$16:$G$21,2,FALSE)</f>
        <v>--- Error ---</v>
      </c>
      <c r="X776" s="17" t="str">
        <f ca="1">IFERROR(VLOOKUP(RiskRegister[[#This Row],[Residual Risk Rating]],'Rating factors'!$F$30:$G$44,2,FALSE),"-- Error --")</f>
        <v>-- Error --</v>
      </c>
      <c r="Y776" s="17" t="str">
        <f ca="1">IFERROR(RiskRegister[[#This Row],[Residual Impact Rating]]*RiskRegister[[#This Row],[Residual Likelihood Rating]],"-- Error --")</f>
        <v>-- Error --</v>
      </c>
      <c r="Z776" s="16" t="s">
        <v>100</v>
      </c>
      <c r="AB776" s="39"/>
      <c r="AD776" s="20"/>
    </row>
    <row r="777" spans="1:30" s="16" customFormat="1" hidden="1" x14ac:dyDescent="0.25">
      <c r="A777" s="16">
        <v>774</v>
      </c>
      <c r="G777" s="16" t="s">
        <v>77</v>
      </c>
      <c r="I777" s="16" t="s">
        <v>75</v>
      </c>
      <c r="L777" s="105" t="s">
        <v>99</v>
      </c>
      <c r="M777" s="17" t="str">
        <f>VLOOKUP(RiskRegister[[#This Row],[Inherent Impact LevelL3:L1020D1007L3:L1019]],'Rating factors'!$F$4:$G$9,2,FALSE)</f>
        <v>--- Error ---</v>
      </c>
      <c r="N777" s="16" t="s">
        <v>79</v>
      </c>
      <c r="O777" s="17" t="str">
        <f>VLOOKUP(RiskRegister[[#This Row],[Inherent Likelihood Level]],'Rating factors'!$F$16:$G$21,2,FALSE)</f>
        <v>--- Error ---</v>
      </c>
      <c r="P777" s="17" t="str">
        <f>IFERROR(VLOOKUP(RiskRegister[[#This Row],[Inherent Risk Rating]],'Rating factors'!$F$30:$G$44,2,FALSE),"-- Error --")</f>
        <v>-- Error --</v>
      </c>
      <c r="Q777" s="17" t="str">
        <f>IFERROR(RiskRegister[[#This Row],[Inherent Impact Rating]]*RiskRegister[[#This Row],[Inherent Likelihood Rating]],"-- Error --")</f>
        <v>-- Error --</v>
      </c>
      <c r="R777" s="16" t="s">
        <v>98</v>
      </c>
      <c r="T777" s="16" t="s">
        <v>99</v>
      </c>
      <c r="U777" s="17" t="e" cm="1">
        <f t="array" aca="1" ref="U777" ca="1">+U777:Y1019VLOOKUP(RiskRegister[[#This Row],[Residual Impact Level]],'Rating factors'!$F$4:$G$9,2,FALSE)</f>
        <v>#NAME?</v>
      </c>
      <c r="V777" s="16" t="s">
        <v>79</v>
      </c>
      <c r="W777" s="17" t="str">
        <f>VLOOKUP(RiskRegister[[#This Row],[Residual Likelihood Level]],'Rating factors'!$F$16:$G$21,2,FALSE)</f>
        <v>--- Error ---</v>
      </c>
      <c r="X777" s="17" t="str">
        <f ca="1">IFERROR(VLOOKUP(RiskRegister[[#This Row],[Residual Risk Rating]],'Rating factors'!$F$30:$G$44,2,FALSE),"-- Error --")</f>
        <v>-- Error --</v>
      </c>
      <c r="Y777" s="17" t="str">
        <f ca="1">IFERROR(RiskRegister[[#This Row],[Residual Impact Rating]]*RiskRegister[[#This Row],[Residual Likelihood Rating]],"-- Error --")</f>
        <v>-- Error --</v>
      </c>
      <c r="Z777" s="16" t="s">
        <v>100</v>
      </c>
      <c r="AB777" s="39"/>
      <c r="AD777" s="20"/>
    </row>
    <row r="778" spans="1:30" s="16" customFormat="1" hidden="1" x14ac:dyDescent="0.25">
      <c r="A778" s="16">
        <v>775</v>
      </c>
      <c r="G778" s="16" t="s">
        <v>77</v>
      </c>
      <c r="I778" s="16" t="s">
        <v>75</v>
      </c>
      <c r="L778" s="105" t="s">
        <v>99</v>
      </c>
      <c r="M778" s="17" t="str">
        <f>VLOOKUP(RiskRegister[[#This Row],[Inherent Impact LevelL3:L1020D1007L3:L1019]],'Rating factors'!$F$4:$G$9,2,FALSE)</f>
        <v>--- Error ---</v>
      </c>
      <c r="N778" s="16" t="s">
        <v>79</v>
      </c>
      <c r="O778" s="17" t="str">
        <f>VLOOKUP(RiskRegister[[#This Row],[Inherent Likelihood Level]],'Rating factors'!$F$16:$G$21,2,FALSE)</f>
        <v>--- Error ---</v>
      </c>
      <c r="P778" s="17" t="str">
        <f>IFERROR(VLOOKUP(RiskRegister[[#This Row],[Inherent Risk Rating]],'Rating factors'!$F$30:$G$44,2,FALSE),"-- Error --")</f>
        <v>-- Error --</v>
      </c>
      <c r="Q778" s="17" t="str">
        <f>IFERROR(RiskRegister[[#This Row],[Inherent Impact Rating]]*RiskRegister[[#This Row],[Inherent Likelihood Rating]],"-- Error --")</f>
        <v>-- Error --</v>
      </c>
      <c r="R778" s="16" t="s">
        <v>98</v>
      </c>
      <c r="T778" s="16" t="s">
        <v>99</v>
      </c>
      <c r="U778" s="17" t="e" cm="1">
        <f t="array" aca="1" ref="U778" ca="1">+U778:Y1019VLOOKUP(RiskRegister[[#This Row],[Residual Impact Level]],'Rating factors'!$F$4:$G$9,2,FALSE)</f>
        <v>#NAME?</v>
      </c>
      <c r="V778" s="16" t="s">
        <v>79</v>
      </c>
      <c r="W778" s="17" t="str">
        <f>VLOOKUP(RiskRegister[[#This Row],[Residual Likelihood Level]],'Rating factors'!$F$16:$G$21,2,FALSE)</f>
        <v>--- Error ---</v>
      </c>
      <c r="X778" s="17" t="str">
        <f ca="1">IFERROR(VLOOKUP(RiskRegister[[#This Row],[Residual Risk Rating]],'Rating factors'!$F$30:$G$44,2,FALSE),"-- Error --")</f>
        <v>-- Error --</v>
      </c>
      <c r="Y778" s="17" t="str">
        <f ca="1">IFERROR(RiskRegister[[#This Row],[Residual Impact Rating]]*RiskRegister[[#This Row],[Residual Likelihood Rating]],"-- Error --")</f>
        <v>-- Error --</v>
      </c>
      <c r="Z778" s="16" t="s">
        <v>100</v>
      </c>
      <c r="AB778" s="39"/>
      <c r="AD778" s="20"/>
    </row>
    <row r="779" spans="1:30" s="16" customFormat="1" hidden="1" x14ac:dyDescent="0.25">
      <c r="A779" s="16">
        <v>776</v>
      </c>
      <c r="G779" s="16" t="s">
        <v>77</v>
      </c>
      <c r="I779" s="16" t="s">
        <v>75</v>
      </c>
      <c r="L779" s="105" t="s">
        <v>99</v>
      </c>
      <c r="M779" s="17" t="str">
        <f>VLOOKUP(RiskRegister[[#This Row],[Inherent Impact LevelL3:L1020D1007L3:L1019]],'Rating factors'!$F$4:$G$9,2,FALSE)</f>
        <v>--- Error ---</v>
      </c>
      <c r="N779" s="16" t="s">
        <v>79</v>
      </c>
      <c r="O779" s="17" t="str">
        <f>VLOOKUP(RiskRegister[[#This Row],[Inherent Likelihood Level]],'Rating factors'!$F$16:$G$21,2,FALSE)</f>
        <v>--- Error ---</v>
      </c>
      <c r="P779" s="17" t="str">
        <f>IFERROR(VLOOKUP(RiskRegister[[#This Row],[Inherent Risk Rating]],'Rating factors'!$F$30:$G$44,2,FALSE),"-- Error --")</f>
        <v>-- Error --</v>
      </c>
      <c r="Q779" s="17" t="str">
        <f>IFERROR(RiskRegister[[#This Row],[Inherent Impact Rating]]*RiskRegister[[#This Row],[Inherent Likelihood Rating]],"-- Error --")</f>
        <v>-- Error --</v>
      </c>
      <c r="R779" s="16" t="s">
        <v>98</v>
      </c>
      <c r="T779" s="16" t="s">
        <v>99</v>
      </c>
      <c r="U779" s="17" t="e" cm="1">
        <f t="array" aca="1" ref="U779" ca="1">+U779:Y1019VLOOKUP(RiskRegister[[#This Row],[Residual Impact Level]],'Rating factors'!$F$4:$G$9,2,FALSE)</f>
        <v>#NAME?</v>
      </c>
      <c r="V779" s="16" t="s">
        <v>79</v>
      </c>
      <c r="W779" s="17" t="str">
        <f>VLOOKUP(RiskRegister[[#This Row],[Residual Likelihood Level]],'Rating factors'!$F$16:$G$21,2,FALSE)</f>
        <v>--- Error ---</v>
      </c>
      <c r="X779" s="17" t="str">
        <f ca="1">IFERROR(VLOOKUP(RiskRegister[[#This Row],[Residual Risk Rating]],'Rating factors'!$F$30:$G$44,2,FALSE),"-- Error --")</f>
        <v>-- Error --</v>
      </c>
      <c r="Y779" s="17" t="str">
        <f ca="1">IFERROR(RiskRegister[[#This Row],[Residual Impact Rating]]*RiskRegister[[#This Row],[Residual Likelihood Rating]],"-- Error --")</f>
        <v>-- Error --</v>
      </c>
      <c r="Z779" s="16" t="s">
        <v>100</v>
      </c>
      <c r="AB779" s="39"/>
      <c r="AD779" s="20"/>
    </row>
    <row r="780" spans="1:30" s="16" customFormat="1" hidden="1" x14ac:dyDescent="0.25">
      <c r="A780" s="16">
        <v>777</v>
      </c>
      <c r="G780" s="16" t="s">
        <v>77</v>
      </c>
      <c r="I780" s="16" t="s">
        <v>75</v>
      </c>
      <c r="L780" s="105" t="s">
        <v>99</v>
      </c>
      <c r="M780" s="17" t="str">
        <f>VLOOKUP(RiskRegister[[#This Row],[Inherent Impact LevelL3:L1020D1007L3:L1019]],'Rating factors'!$F$4:$G$9,2,FALSE)</f>
        <v>--- Error ---</v>
      </c>
      <c r="N780" s="16" t="s">
        <v>79</v>
      </c>
      <c r="O780" s="17" t="str">
        <f>VLOOKUP(RiskRegister[[#This Row],[Inherent Likelihood Level]],'Rating factors'!$F$16:$G$21,2,FALSE)</f>
        <v>--- Error ---</v>
      </c>
      <c r="P780" s="17" t="str">
        <f>IFERROR(VLOOKUP(RiskRegister[[#This Row],[Inherent Risk Rating]],'Rating factors'!$F$30:$G$44,2,FALSE),"-- Error --")</f>
        <v>-- Error --</v>
      </c>
      <c r="Q780" s="17" t="str">
        <f>IFERROR(RiskRegister[[#This Row],[Inherent Impact Rating]]*RiskRegister[[#This Row],[Inherent Likelihood Rating]],"-- Error --")</f>
        <v>-- Error --</v>
      </c>
      <c r="R780" s="16" t="s">
        <v>98</v>
      </c>
      <c r="T780" s="16" t="s">
        <v>99</v>
      </c>
      <c r="U780" s="17" t="e" cm="1">
        <f t="array" aca="1" ref="U780" ca="1">+U780:Y1019VLOOKUP(RiskRegister[[#This Row],[Residual Impact Level]],'Rating factors'!$F$4:$G$9,2,FALSE)</f>
        <v>#NAME?</v>
      </c>
      <c r="V780" s="16" t="s">
        <v>79</v>
      </c>
      <c r="W780" s="17" t="str">
        <f>VLOOKUP(RiskRegister[[#This Row],[Residual Likelihood Level]],'Rating factors'!$F$16:$G$21,2,FALSE)</f>
        <v>--- Error ---</v>
      </c>
      <c r="X780" s="17" t="str">
        <f ca="1">IFERROR(VLOOKUP(RiskRegister[[#This Row],[Residual Risk Rating]],'Rating factors'!$F$30:$G$44,2,FALSE),"-- Error --")</f>
        <v>-- Error --</v>
      </c>
      <c r="Y780" s="17" t="str">
        <f ca="1">IFERROR(RiskRegister[[#This Row],[Residual Impact Rating]]*RiskRegister[[#This Row],[Residual Likelihood Rating]],"-- Error --")</f>
        <v>-- Error --</v>
      </c>
      <c r="Z780" s="16" t="s">
        <v>100</v>
      </c>
      <c r="AB780" s="39"/>
      <c r="AD780" s="20"/>
    </row>
    <row r="781" spans="1:30" s="16" customFormat="1" hidden="1" x14ac:dyDescent="0.25">
      <c r="A781" s="16">
        <v>778</v>
      </c>
      <c r="G781" s="16" t="s">
        <v>77</v>
      </c>
      <c r="I781" s="16" t="s">
        <v>75</v>
      </c>
      <c r="L781" s="105" t="s">
        <v>99</v>
      </c>
      <c r="M781" s="17" t="str">
        <f>VLOOKUP(RiskRegister[[#This Row],[Inherent Impact LevelL3:L1020D1007L3:L1019]],'Rating factors'!$F$4:$G$9,2,FALSE)</f>
        <v>--- Error ---</v>
      </c>
      <c r="N781" s="16" t="s">
        <v>79</v>
      </c>
      <c r="O781" s="17" t="str">
        <f>VLOOKUP(RiskRegister[[#This Row],[Inherent Likelihood Level]],'Rating factors'!$F$16:$G$21,2,FALSE)</f>
        <v>--- Error ---</v>
      </c>
      <c r="P781" s="17" t="str">
        <f>IFERROR(VLOOKUP(RiskRegister[[#This Row],[Inherent Risk Rating]],'Rating factors'!$F$30:$G$44,2,FALSE),"-- Error --")</f>
        <v>-- Error --</v>
      </c>
      <c r="Q781" s="17" t="str">
        <f>IFERROR(RiskRegister[[#This Row],[Inherent Impact Rating]]*RiskRegister[[#This Row],[Inherent Likelihood Rating]],"-- Error --")</f>
        <v>-- Error --</v>
      </c>
      <c r="R781" s="16" t="s">
        <v>98</v>
      </c>
      <c r="T781" s="16" t="s">
        <v>99</v>
      </c>
      <c r="U781" s="17" t="e" cm="1">
        <f t="array" aca="1" ref="U781" ca="1">+U781:Y1019VLOOKUP(RiskRegister[[#This Row],[Residual Impact Level]],'Rating factors'!$F$4:$G$9,2,FALSE)</f>
        <v>#NAME?</v>
      </c>
      <c r="V781" s="16" t="s">
        <v>79</v>
      </c>
      <c r="W781" s="17" t="str">
        <f>VLOOKUP(RiskRegister[[#This Row],[Residual Likelihood Level]],'Rating factors'!$F$16:$G$21,2,FALSE)</f>
        <v>--- Error ---</v>
      </c>
      <c r="X781" s="17" t="str">
        <f ca="1">IFERROR(VLOOKUP(RiskRegister[[#This Row],[Residual Risk Rating]],'Rating factors'!$F$30:$G$44,2,FALSE),"-- Error --")</f>
        <v>-- Error --</v>
      </c>
      <c r="Y781" s="17" t="str">
        <f ca="1">IFERROR(RiskRegister[[#This Row],[Residual Impact Rating]]*RiskRegister[[#This Row],[Residual Likelihood Rating]],"-- Error --")</f>
        <v>-- Error --</v>
      </c>
      <c r="Z781" s="16" t="s">
        <v>100</v>
      </c>
      <c r="AB781" s="39"/>
      <c r="AD781" s="20"/>
    </row>
    <row r="782" spans="1:30" s="16" customFormat="1" hidden="1" x14ac:dyDescent="0.25">
      <c r="A782" s="16">
        <v>779</v>
      </c>
      <c r="G782" s="16" t="s">
        <v>77</v>
      </c>
      <c r="I782" s="16" t="s">
        <v>75</v>
      </c>
      <c r="L782" s="105" t="s">
        <v>99</v>
      </c>
      <c r="M782" s="17" t="str">
        <f>VLOOKUP(RiskRegister[[#This Row],[Inherent Impact LevelL3:L1020D1007L3:L1019]],'Rating factors'!$F$4:$G$9,2,FALSE)</f>
        <v>--- Error ---</v>
      </c>
      <c r="N782" s="16" t="s">
        <v>79</v>
      </c>
      <c r="O782" s="17" t="str">
        <f>VLOOKUP(RiskRegister[[#This Row],[Inherent Likelihood Level]],'Rating factors'!$F$16:$G$21,2,FALSE)</f>
        <v>--- Error ---</v>
      </c>
      <c r="P782" s="17" t="str">
        <f>IFERROR(VLOOKUP(RiskRegister[[#This Row],[Inherent Risk Rating]],'Rating factors'!$F$30:$G$44,2,FALSE),"-- Error --")</f>
        <v>-- Error --</v>
      </c>
      <c r="Q782" s="17" t="str">
        <f>IFERROR(RiskRegister[[#This Row],[Inherent Impact Rating]]*RiskRegister[[#This Row],[Inherent Likelihood Rating]],"-- Error --")</f>
        <v>-- Error --</v>
      </c>
      <c r="R782" s="16" t="s">
        <v>98</v>
      </c>
      <c r="T782" s="16" t="s">
        <v>99</v>
      </c>
      <c r="U782" s="17" t="e" cm="1">
        <f t="array" aca="1" ref="U782" ca="1">+U782:Y1019VLOOKUP(RiskRegister[[#This Row],[Residual Impact Level]],'Rating factors'!$F$4:$G$9,2,FALSE)</f>
        <v>#NAME?</v>
      </c>
      <c r="V782" s="16" t="s">
        <v>79</v>
      </c>
      <c r="W782" s="17" t="str">
        <f>VLOOKUP(RiskRegister[[#This Row],[Residual Likelihood Level]],'Rating factors'!$F$16:$G$21,2,FALSE)</f>
        <v>--- Error ---</v>
      </c>
      <c r="X782" s="17" t="str">
        <f ca="1">IFERROR(VLOOKUP(RiskRegister[[#This Row],[Residual Risk Rating]],'Rating factors'!$F$30:$G$44,2,FALSE),"-- Error --")</f>
        <v>-- Error --</v>
      </c>
      <c r="Y782" s="17" t="str">
        <f ca="1">IFERROR(RiskRegister[[#This Row],[Residual Impact Rating]]*RiskRegister[[#This Row],[Residual Likelihood Rating]],"-- Error --")</f>
        <v>-- Error --</v>
      </c>
      <c r="Z782" s="16" t="s">
        <v>100</v>
      </c>
      <c r="AB782" s="39"/>
      <c r="AD782" s="20"/>
    </row>
    <row r="783" spans="1:30" s="16" customFormat="1" hidden="1" x14ac:dyDescent="0.25">
      <c r="A783" s="16">
        <v>780</v>
      </c>
      <c r="G783" s="16" t="s">
        <v>77</v>
      </c>
      <c r="I783" s="16" t="s">
        <v>75</v>
      </c>
      <c r="L783" s="105" t="s">
        <v>99</v>
      </c>
      <c r="M783" s="17" t="str">
        <f>VLOOKUP(RiskRegister[[#This Row],[Inherent Impact LevelL3:L1020D1007L3:L1019]],'Rating factors'!$F$4:$G$9,2,FALSE)</f>
        <v>--- Error ---</v>
      </c>
      <c r="N783" s="16" t="s">
        <v>79</v>
      </c>
      <c r="O783" s="17" t="str">
        <f>VLOOKUP(RiskRegister[[#This Row],[Inherent Likelihood Level]],'Rating factors'!$F$16:$G$21,2,FALSE)</f>
        <v>--- Error ---</v>
      </c>
      <c r="P783" s="17" t="str">
        <f>IFERROR(VLOOKUP(RiskRegister[[#This Row],[Inherent Risk Rating]],'Rating factors'!$F$30:$G$44,2,FALSE),"-- Error --")</f>
        <v>-- Error --</v>
      </c>
      <c r="Q783" s="17" t="str">
        <f>IFERROR(RiskRegister[[#This Row],[Inherent Impact Rating]]*RiskRegister[[#This Row],[Inherent Likelihood Rating]],"-- Error --")</f>
        <v>-- Error --</v>
      </c>
      <c r="R783" s="16" t="s">
        <v>98</v>
      </c>
      <c r="T783" s="16" t="s">
        <v>99</v>
      </c>
      <c r="U783" s="17" t="e" cm="1">
        <f t="array" aca="1" ref="U783" ca="1">+U783:Y1019VLOOKUP(RiskRegister[[#This Row],[Residual Impact Level]],'Rating factors'!$F$4:$G$9,2,FALSE)</f>
        <v>#NAME?</v>
      </c>
      <c r="V783" s="16" t="s">
        <v>79</v>
      </c>
      <c r="W783" s="17" t="str">
        <f>VLOOKUP(RiskRegister[[#This Row],[Residual Likelihood Level]],'Rating factors'!$F$16:$G$21,2,FALSE)</f>
        <v>--- Error ---</v>
      </c>
      <c r="X783" s="17" t="str">
        <f ca="1">IFERROR(VLOOKUP(RiskRegister[[#This Row],[Residual Risk Rating]],'Rating factors'!$F$30:$G$44,2,FALSE),"-- Error --")</f>
        <v>-- Error --</v>
      </c>
      <c r="Y783" s="17" t="str">
        <f ca="1">IFERROR(RiskRegister[[#This Row],[Residual Impact Rating]]*RiskRegister[[#This Row],[Residual Likelihood Rating]],"-- Error --")</f>
        <v>-- Error --</v>
      </c>
      <c r="Z783" s="16" t="s">
        <v>100</v>
      </c>
      <c r="AB783" s="39"/>
      <c r="AD783" s="20"/>
    </row>
    <row r="784" spans="1:30" s="16" customFormat="1" hidden="1" x14ac:dyDescent="0.25">
      <c r="A784" s="16">
        <v>781</v>
      </c>
      <c r="G784" s="16" t="s">
        <v>77</v>
      </c>
      <c r="I784" s="16" t="s">
        <v>75</v>
      </c>
      <c r="L784" s="105" t="s">
        <v>99</v>
      </c>
      <c r="M784" s="17" t="str">
        <f>VLOOKUP(RiskRegister[[#This Row],[Inherent Impact LevelL3:L1020D1007L3:L1019]],'Rating factors'!$F$4:$G$9,2,FALSE)</f>
        <v>--- Error ---</v>
      </c>
      <c r="N784" s="16" t="s">
        <v>79</v>
      </c>
      <c r="O784" s="17" t="str">
        <f>VLOOKUP(RiskRegister[[#This Row],[Inherent Likelihood Level]],'Rating factors'!$F$16:$G$21,2,FALSE)</f>
        <v>--- Error ---</v>
      </c>
      <c r="P784" s="17" t="str">
        <f>IFERROR(VLOOKUP(RiskRegister[[#This Row],[Inherent Risk Rating]],'Rating factors'!$F$30:$G$44,2,FALSE),"-- Error --")</f>
        <v>-- Error --</v>
      </c>
      <c r="Q784" s="17" t="str">
        <f>IFERROR(RiskRegister[[#This Row],[Inherent Impact Rating]]*RiskRegister[[#This Row],[Inherent Likelihood Rating]],"-- Error --")</f>
        <v>-- Error --</v>
      </c>
      <c r="R784" s="16" t="s">
        <v>98</v>
      </c>
      <c r="T784" s="16" t="s">
        <v>99</v>
      </c>
      <c r="U784" s="17" t="e" cm="1">
        <f t="array" aca="1" ref="U784" ca="1">+U784:Y1019VLOOKUP(RiskRegister[[#This Row],[Residual Impact Level]],'Rating factors'!$F$4:$G$9,2,FALSE)</f>
        <v>#NAME?</v>
      </c>
      <c r="V784" s="16" t="s">
        <v>79</v>
      </c>
      <c r="W784" s="17" t="str">
        <f>VLOOKUP(RiskRegister[[#This Row],[Residual Likelihood Level]],'Rating factors'!$F$16:$G$21,2,FALSE)</f>
        <v>--- Error ---</v>
      </c>
      <c r="X784" s="17" t="str">
        <f ca="1">IFERROR(VLOOKUP(RiskRegister[[#This Row],[Residual Risk Rating]],'Rating factors'!$F$30:$G$44,2,FALSE),"-- Error --")</f>
        <v>-- Error --</v>
      </c>
      <c r="Y784" s="17" t="str">
        <f ca="1">IFERROR(RiskRegister[[#This Row],[Residual Impact Rating]]*RiskRegister[[#This Row],[Residual Likelihood Rating]],"-- Error --")</f>
        <v>-- Error --</v>
      </c>
      <c r="Z784" s="16" t="s">
        <v>100</v>
      </c>
      <c r="AB784" s="39"/>
      <c r="AD784" s="20"/>
    </row>
    <row r="785" spans="1:30" s="16" customFormat="1" hidden="1" x14ac:dyDescent="0.25">
      <c r="A785" s="16">
        <v>782</v>
      </c>
      <c r="G785" s="16" t="s">
        <v>77</v>
      </c>
      <c r="I785" s="16" t="s">
        <v>75</v>
      </c>
      <c r="L785" s="105" t="s">
        <v>99</v>
      </c>
      <c r="M785" s="17" t="str">
        <f>VLOOKUP(RiskRegister[[#This Row],[Inherent Impact LevelL3:L1020D1007L3:L1019]],'Rating factors'!$F$4:$G$9,2,FALSE)</f>
        <v>--- Error ---</v>
      </c>
      <c r="N785" s="16" t="s">
        <v>79</v>
      </c>
      <c r="O785" s="17" t="str">
        <f>VLOOKUP(RiskRegister[[#This Row],[Inherent Likelihood Level]],'Rating factors'!$F$16:$G$21,2,FALSE)</f>
        <v>--- Error ---</v>
      </c>
      <c r="P785" s="17" t="str">
        <f>IFERROR(VLOOKUP(RiskRegister[[#This Row],[Inherent Risk Rating]],'Rating factors'!$F$30:$G$44,2,FALSE),"-- Error --")</f>
        <v>-- Error --</v>
      </c>
      <c r="Q785" s="17" t="str">
        <f>IFERROR(RiskRegister[[#This Row],[Inherent Impact Rating]]*RiskRegister[[#This Row],[Inherent Likelihood Rating]],"-- Error --")</f>
        <v>-- Error --</v>
      </c>
      <c r="R785" s="16" t="s">
        <v>98</v>
      </c>
      <c r="T785" s="16" t="s">
        <v>99</v>
      </c>
      <c r="U785" s="17" t="e" cm="1">
        <f t="array" aca="1" ref="U785" ca="1">+U785:Y1019VLOOKUP(RiskRegister[[#This Row],[Residual Impact Level]],'Rating factors'!$F$4:$G$9,2,FALSE)</f>
        <v>#NAME?</v>
      </c>
      <c r="V785" s="16" t="s">
        <v>79</v>
      </c>
      <c r="W785" s="17" t="str">
        <f>VLOOKUP(RiskRegister[[#This Row],[Residual Likelihood Level]],'Rating factors'!$F$16:$G$21,2,FALSE)</f>
        <v>--- Error ---</v>
      </c>
      <c r="X785" s="17" t="str">
        <f ca="1">IFERROR(VLOOKUP(RiskRegister[[#This Row],[Residual Risk Rating]],'Rating factors'!$F$30:$G$44,2,FALSE),"-- Error --")</f>
        <v>-- Error --</v>
      </c>
      <c r="Y785" s="17" t="str">
        <f ca="1">IFERROR(RiskRegister[[#This Row],[Residual Impact Rating]]*RiskRegister[[#This Row],[Residual Likelihood Rating]],"-- Error --")</f>
        <v>-- Error --</v>
      </c>
      <c r="Z785" s="16" t="s">
        <v>100</v>
      </c>
      <c r="AB785" s="39"/>
      <c r="AD785" s="20"/>
    </row>
    <row r="786" spans="1:30" s="16" customFormat="1" hidden="1" x14ac:dyDescent="0.25">
      <c r="A786" s="16">
        <v>783</v>
      </c>
      <c r="G786" s="16" t="s">
        <v>77</v>
      </c>
      <c r="I786" s="16" t="s">
        <v>75</v>
      </c>
      <c r="L786" s="105" t="s">
        <v>99</v>
      </c>
      <c r="M786" s="17" t="str">
        <f>VLOOKUP(RiskRegister[[#This Row],[Inherent Impact LevelL3:L1020D1007L3:L1019]],'Rating factors'!$F$4:$G$9,2,FALSE)</f>
        <v>--- Error ---</v>
      </c>
      <c r="N786" s="16" t="s">
        <v>79</v>
      </c>
      <c r="O786" s="17" t="str">
        <f>VLOOKUP(RiskRegister[[#This Row],[Inherent Likelihood Level]],'Rating factors'!$F$16:$G$21,2,FALSE)</f>
        <v>--- Error ---</v>
      </c>
      <c r="P786" s="17" t="str">
        <f>IFERROR(VLOOKUP(RiskRegister[[#This Row],[Inherent Risk Rating]],'Rating factors'!$F$30:$G$44,2,FALSE),"-- Error --")</f>
        <v>-- Error --</v>
      </c>
      <c r="Q786" s="17" t="str">
        <f>IFERROR(RiskRegister[[#This Row],[Inherent Impact Rating]]*RiskRegister[[#This Row],[Inherent Likelihood Rating]],"-- Error --")</f>
        <v>-- Error --</v>
      </c>
      <c r="R786" s="16" t="s">
        <v>98</v>
      </c>
      <c r="T786" s="16" t="s">
        <v>99</v>
      </c>
      <c r="U786" s="17" t="e" cm="1">
        <f t="array" aca="1" ref="U786" ca="1">+U786:Y1019VLOOKUP(RiskRegister[[#This Row],[Residual Impact Level]],'Rating factors'!$F$4:$G$9,2,FALSE)</f>
        <v>#NAME?</v>
      </c>
      <c r="V786" s="16" t="s">
        <v>79</v>
      </c>
      <c r="W786" s="17" t="str">
        <f>VLOOKUP(RiskRegister[[#This Row],[Residual Likelihood Level]],'Rating factors'!$F$16:$G$21,2,FALSE)</f>
        <v>--- Error ---</v>
      </c>
      <c r="X786" s="17" t="str">
        <f ca="1">IFERROR(VLOOKUP(RiskRegister[[#This Row],[Residual Risk Rating]],'Rating factors'!$F$30:$G$44,2,FALSE),"-- Error --")</f>
        <v>-- Error --</v>
      </c>
      <c r="Y786" s="17" t="str">
        <f ca="1">IFERROR(RiskRegister[[#This Row],[Residual Impact Rating]]*RiskRegister[[#This Row],[Residual Likelihood Rating]],"-- Error --")</f>
        <v>-- Error --</v>
      </c>
      <c r="Z786" s="16" t="s">
        <v>100</v>
      </c>
      <c r="AB786" s="39"/>
      <c r="AD786" s="20"/>
    </row>
    <row r="787" spans="1:30" s="16" customFormat="1" hidden="1" x14ac:dyDescent="0.25">
      <c r="A787" s="16">
        <v>784</v>
      </c>
      <c r="G787" s="16" t="s">
        <v>77</v>
      </c>
      <c r="I787" s="16" t="s">
        <v>75</v>
      </c>
      <c r="L787" s="105" t="s">
        <v>99</v>
      </c>
      <c r="M787" s="17" t="str">
        <f>VLOOKUP(RiskRegister[[#This Row],[Inherent Impact LevelL3:L1020D1007L3:L1019]],'Rating factors'!$F$4:$G$9,2,FALSE)</f>
        <v>--- Error ---</v>
      </c>
      <c r="N787" s="16" t="s">
        <v>79</v>
      </c>
      <c r="O787" s="17" t="str">
        <f>VLOOKUP(RiskRegister[[#This Row],[Inherent Likelihood Level]],'Rating factors'!$F$16:$G$21,2,FALSE)</f>
        <v>--- Error ---</v>
      </c>
      <c r="P787" s="17" t="str">
        <f>IFERROR(VLOOKUP(RiskRegister[[#This Row],[Inherent Risk Rating]],'Rating factors'!$F$30:$G$44,2,FALSE),"-- Error --")</f>
        <v>-- Error --</v>
      </c>
      <c r="Q787" s="17" t="str">
        <f>IFERROR(RiskRegister[[#This Row],[Inherent Impact Rating]]*RiskRegister[[#This Row],[Inherent Likelihood Rating]],"-- Error --")</f>
        <v>-- Error --</v>
      </c>
      <c r="R787" s="16" t="s">
        <v>98</v>
      </c>
      <c r="T787" s="16" t="s">
        <v>99</v>
      </c>
      <c r="U787" s="17" t="e" cm="1">
        <f t="array" aca="1" ref="U787" ca="1">+U787:Y1019VLOOKUP(RiskRegister[[#This Row],[Residual Impact Level]],'Rating factors'!$F$4:$G$9,2,FALSE)</f>
        <v>#NAME?</v>
      </c>
      <c r="V787" s="16" t="s">
        <v>79</v>
      </c>
      <c r="W787" s="17" t="str">
        <f>VLOOKUP(RiskRegister[[#This Row],[Residual Likelihood Level]],'Rating factors'!$F$16:$G$21,2,FALSE)</f>
        <v>--- Error ---</v>
      </c>
      <c r="X787" s="17" t="str">
        <f ca="1">IFERROR(VLOOKUP(RiskRegister[[#This Row],[Residual Risk Rating]],'Rating factors'!$F$30:$G$44,2,FALSE),"-- Error --")</f>
        <v>-- Error --</v>
      </c>
      <c r="Y787" s="17" t="str">
        <f ca="1">IFERROR(RiskRegister[[#This Row],[Residual Impact Rating]]*RiskRegister[[#This Row],[Residual Likelihood Rating]],"-- Error --")</f>
        <v>-- Error --</v>
      </c>
      <c r="Z787" s="16" t="s">
        <v>100</v>
      </c>
      <c r="AB787" s="39"/>
      <c r="AD787" s="20"/>
    </row>
    <row r="788" spans="1:30" s="16" customFormat="1" hidden="1" x14ac:dyDescent="0.25">
      <c r="A788" s="16">
        <v>785</v>
      </c>
      <c r="G788" s="16" t="s">
        <v>77</v>
      </c>
      <c r="I788" s="16" t="s">
        <v>75</v>
      </c>
      <c r="L788" s="105" t="s">
        <v>99</v>
      </c>
      <c r="M788" s="17" t="str">
        <f>VLOOKUP(RiskRegister[[#This Row],[Inherent Impact LevelL3:L1020D1007L3:L1019]],'Rating factors'!$F$4:$G$9,2,FALSE)</f>
        <v>--- Error ---</v>
      </c>
      <c r="N788" s="16" t="s">
        <v>79</v>
      </c>
      <c r="O788" s="17" t="str">
        <f>VLOOKUP(RiskRegister[[#This Row],[Inherent Likelihood Level]],'Rating factors'!$F$16:$G$21,2,FALSE)</f>
        <v>--- Error ---</v>
      </c>
      <c r="P788" s="17" t="str">
        <f>IFERROR(VLOOKUP(RiskRegister[[#This Row],[Inherent Risk Rating]],'Rating factors'!$F$30:$G$44,2,FALSE),"-- Error --")</f>
        <v>-- Error --</v>
      </c>
      <c r="Q788" s="17" t="str">
        <f>IFERROR(RiskRegister[[#This Row],[Inherent Impact Rating]]*RiskRegister[[#This Row],[Inherent Likelihood Rating]],"-- Error --")</f>
        <v>-- Error --</v>
      </c>
      <c r="R788" s="16" t="s">
        <v>98</v>
      </c>
      <c r="T788" s="16" t="s">
        <v>99</v>
      </c>
      <c r="U788" s="17" t="e" cm="1">
        <f t="array" aca="1" ref="U788" ca="1">+U788:Y1019VLOOKUP(RiskRegister[[#This Row],[Residual Impact Level]],'Rating factors'!$F$4:$G$9,2,FALSE)</f>
        <v>#NAME?</v>
      </c>
      <c r="V788" s="16" t="s">
        <v>79</v>
      </c>
      <c r="W788" s="17" t="str">
        <f>VLOOKUP(RiskRegister[[#This Row],[Residual Likelihood Level]],'Rating factors'!$F$16:$G$21,2,FALSE)</f>
        <v>--- Error ---</v>
      </c>
      <c r="X788" s="17" t="str">
        <f ca="1">IFERROR(VLOOKUP(RiskRegister[[#This Row],[Residual Risk Rating]],'Rating factors'!$F$30:$G$44,2,FALSE),"-- Error --")</f>
        <v>-- Error --</v>
      </c>
      <c r="Y788" s="17" t="str">
        <f ca="1">IFERROR(RiskRegister[[#This Row],[Residual Impact Rating]]*RiskRegister[[#This Row],[Residual Likelihood Rating]],"-- Error --")</f>
        <v>-- Error --</v>
      </c>
      <c r="Z788" s="16" t="s">
        <v>100</v>
      </c>
      <c r="AB788" s="39"/>
      <c r="AD788" s="20"/>
    </row>
    <row r="789" spans="1:30" s="16" customFormat="1" hidden="1" x14ac:dyDescent="0.25">
      <c r="A789" s="16">
        <v>786</v>
      </c>
      <c r="G789" s="16" t="s">
        <v>77</v>
      </c>
      <c r="I789" s="16" t="s">
        <v>75</v>
      </c>
      <c r="L789" s="105" t="s">
        <v>99</v>
      </c>
      <c r="M789" s="17" t="str">
        <f>VLOOKUP(RiskRegister[[#This Row],[Inherent Impact LevelL3:L1020D1007L3:L1019]],'Rating factors'!$F$4:$G$9,2,FALSE)</f>
        <v>--- Error ---</v>
      </c>
      <c r="N789" s="16" t="s">
        <v>79</v>
      </c>
      <c r="O789" s="17" t="str">
        <f>VLOOKUP(RiskRegister[[#This Row],[Inherent Likelihood Level]],'Rating factors'!$F$16:$G$21,2,FALSE)</f>
        <v>--- Error ---</v>
      </c>
      <c r="P789" s="17" t="str">
        <f>IFERROR(VLOOKUP(RiskRegister[[#This Row],[Inherent Risk Rating]],'Rating factors'!$F$30:$G$44,2,FALSE),"-- Error --")</f>
        <v>-- Error --</v>
      </c>
      <c r="Q789" s="17" t="str">
        <f>IFERROR(RiskRegister[[#This Row],[Inherent Impact Rating]]*RiskRegister[[#This Row],[Inherent Likelihood Rating]],"-- Error --")</f>
        <v>-- Error --</v>
      </c>
      <c r="R789" s="16" t="s">
        <v>98</v>
      </c>
      <c r="T789" s="16" t="s">
        <v>99</v>
      </c>
      <c r="U789" s="17" t="e" cm="1">
        <f t="array" aca="1" ref="U789" ca="1">+U789:Y1019VLOOKUP(RiskRegister[[#This Row],[Residual Impact Level]],'Rating factors'!$F$4:$G$9,2,FALSE)</f>
        <v>#NAME?</v>
      </c>
      <c r="V789" s="16" t="s">
        <v>79</v>
      </c>
      <c r="W789" s="17" t="str">
        <f>VLOOKUP(RiskRegister[[#This Row],[Residual Likelihood Level]],'Rating factors'!$F$16:$G$21,2,FALSE)</f>
        <v>--- Error ---</v>
      </c>
      <c r="X789" s="17" t="str">
        <f ca="1">IFERROR(VLOOKUP(RiskRegister[[#This Row],[Residual Risk Rating]],'Rating factors'!$F$30:$G$44,2,FALSE),"-- Error --")</f>
        <v>-- Error --</v>
      </c>
      <c r="Y789" s="17" t="str">
        <f ca="1">IFERROR(RiskRegister[[#This Row],[Residual Impact Rating]]*RiskRegister[[#This Row],[Residual Likelihood Rating]],"-- Error --")</f>
        <v>-- Error --</v>
      </c>
      <c r="Z789" s="16" t="s">
        <v>100</v>
      </c>
      <c r="AB789" s="39"/>
      <c r="AD789" s="20"/>
    </row>
    <row r="790" spans="1:30" s="16" customFormat="1" hidden="1" x14ac:dyDescent="0.25">
      <c r="A790" s="16">
        <v>787</v>
      </c>
      <c r="G790" s="16" t="s">
        <v>77</v>
      </c>
      <c r="I790" s="16" t="s">
        <v>75</v>
      </c>
      <c r="L790" s="105" t="s">
        <v>99</v>
      </c>
      <c r="M790" s="17" t="str">
        <f>VLOOKUP(RiskRegister[[#This Row],[Inherent Impact LevelL3:L1020D1007L3:L1019]],'Rating factors'!$F$4:$G$9,2,FALSE)</f>
        <v>--- Error ---</v>
      </c>
      <c r="N790" s="16" t="s">
        <v>79</v>
      </c>
      <c r="O790" s="17" t="str">
        <f>VLOOKUP(RiskRegister[[#This Row],[Inherent Likelihood Level]],'Rating factors'!$F$16:$G$21,2,FALSE)</f>
        <v>--- Error ---</v>
      </c>
      <c r="P790" s="17" t="str">
        <f>IFERROR(VLOOKUP(RiskRegister[[#This Row],[Inherent Risk Rating]],'Rating factors'!$F$30:$G$44,2,FALSE),"-- Error --")</f>
        <v>-- Error --</v>
      </c>
      <c r="Q790" s="17" t="str">
        <f>IFERROR(RiskRegister[[#This Row],[Inherent Impact Rating]]*RiskRegister[[#This Row],[Inherent Likelihood Rating]],"-- Error --")</f>
        <v>-- Error --</v>
      </c>
      <c r="R790" s="16" t="s">
        <v>98</v>
      </c>
      <c r="T790" s="16" t="s">
        <v>99</v>
      </c>
      <c r="U790" s="17" t="e" cm="1">
        <f t="array" aca="1" ref="U790" ca="1">+U790:Y1019VLOOKUP(RiskRegister[[#This Row],[Residual Impact Level]],'Rating factors'!$F$4:$G$9,2,FALSE)</f>
        <v>#NAME?</v>
      </c>
      <c r="V790" s="16" t="s">
        <v>79</v>
      </c>
      <c r="W790" s="17" t="str">
        <f>VLOOKUP(RiskRegister[[#This Row],[Residual Likelihood Level]],'Rating factors'!$F$16:$G$21,2,FALSE)</f>
        <v>--- Error ---</v>
      </c>
      <c r="X790" s="17" t="str">
        <f ca="1">IFERROR(VLOOKUP(RiskRegister[[#This Row],[Residual Risk Rating]],'Rating factors'!$F$30:$G$44,2,FALSE),"-- Error --")</f>
        <v>-- Error --</v>
      </c>
      <c r="Y790" s="17" t="str">
        <f ca="1">IFERROR(RiskRegister[[#This Row],[Residual Impact Rating]]*RiskRegister[[#This Row],[Residual Likelihood Rating]],"-- Error --")</f>
        <v>-- Error --</v>
      </c>
      <c r="Z790" s="16" t="s">
        <v>100</v>
      </c>
      <c r="AB790" s="39"/>
      <c r="AD790" s="20"/>
    </row>
    <row r="791" spans="1:30" s="16" customFormat="1" hidden="1" x14ac:dyDescent="0.25">
      <c r="A791" s="16">
        <v>788</v>
      </c>
      <c r="G791" s="16" t="s">
        <v>77</v>
      </c>
      <c r="I791" s="16" t="s">
        <v>75</v>
      </c>
      <c r="L791" s="105" t="s">
        <v>99</v>
      </c>
      <c r="M791" s="17" t="str">
        <f>VLOOKUP(RiskRegister[[#This Row],[Inherent Impact LevelL3:L1020D1007L3:L1019]],'Rating factors'!$F$4:$G$9,2,FALSE)</f>
        <v>--- Error ---</v>
      </c>
      <c r="N791" s="16" t="s">
        <v>79</v>
      </c>
      <c r="O791" s="17" t="str">
        <f>VLOOKUP(RiskRegister[[#This Row],[Inherent Likelihood Level]],'Rating factors'!$F$16:$G$21,2,FALSE)</f>
        <v>--- Error ---</v>
      </c>
      <c r="P791" s="17" t="str">
        <f>IFERROR(VLOOKUP(RiskRegister[[#This Row],[Inherent Risk Rating]],'Rating factors'!$F$30:$G$44,2,FALSE),"-- Error --")</f>
        <v>-- Error --</v>
      </c>
      <c r="Q791" s="17" t="str">
        <f>IFERROR(RiskRegister[[#This Row],[Inherent Impact Rating]]*RiskRegister[[#This Row],[Inherent Likelihood Rating]],"-- Error --")</f>
        <v>-- Error --</v>
      </c>
      <c r="R791" s="16" t="s">
        <v>98</v>
      </c>
      <c r="T791" s="16" t="s">
        <v>99</v>
      </c>
      <c r="U791" s="17" t="e" cm="1">
        <f t="array" aca="1" ref="U791" ca="1">+U791:Y1019VLOOKUP(RiskRegister[[#This Row],[Residual Impact Level]],'Rating factors'!$F$4:$G$9,2,FALSE)</f>
        <v>#NAME?</v>
      </c>
      <c r="V791" s="16" t="s">
        <v>79</v>
      </c>
      <c r="W791" s="17" t="str">
        <f>VLOOKUP(RiskRegister[[#This Row],[Residual Likelihood Level]],'Rating factors'!$F$16:$G$21,2,FALSE)</f>
        <v>--- Error ---</v>
      </c>
      <c r="X791" s="17" t="str">
        <f ca="1">IFERROR(VLOOKUP(RiskRegister[[#This Row],[Residual Risk Rating]],'Rating factors'!$F$30:$G$44,2,FALSE),"-- Error --")</f>
        <v>-- Error --</v>
      </c>
      <c r="Y791" s="17" t="str">
        <f ca="1">IFERROR(RiskRegister[[#This Row],[Residual Impact Rating]]*RiskRegister[[#This Row],[Residual Likelihood Rating]],"-- Error --")</f>
        <v>-- Error --</v>
      </c>
      <c r="Z791" s="16" t="s">
        <v>100</v>
      </c>
      <c r="AB791" s="39"/>
      <c r="AD791" s="20"/>
    </row>
    <row r="792" spans="1:30" s="16" customFormat="1" hidden="1" x14ac:dyDescent="0.25">
      <c r="A792" s="16">
        <v>789</v>
      </c>
      <c r="G792" s="16" t="s">
        <v>77</v>
      </c>
      <c r="I792" s="16" t="s">
        <v>75</v>
      </c>
      <c r="L792" s="105" t="s">
        <v>99</v>
      </c>
      <c r="M792" s="17" t="str">
        <f>VLOOKUP(RiskRegister[[#This Row],[Inherent Impact LevelL3:L1020D1007L3:L1019]],'Rating factors'!$F$4:$G$9,2,FALSE)</f>
        <v>--- Error ---</v>
      </c>
      <c r="N792" s="16" t="s">
        <v>79</v>
      </c>
      <c r="O792" s="17" t="str">
        <f>VLOOKUP(RiskRegister[[#This Row],[Inherent Likelihood Level]],'Rating factors'!$F$16:$G$21,2,FALSE)</f>
        <v>--- Error ---</v>
      </c>
      <c r="P792" s="17" t="str">
        <f>IFERROR(VLOOKUP(RiskRegister[[#This Row],[Inherent Risk Rating]],'Rating factors'!$F$30:$G$44,2,FALSE),"-- Error --")</f>
        <v>-- Error --</v>
      </c>
      <c r="Q792" s="17" t="str">
        <f>IFERROR(RiskRegister[[#This Row],[Inherent Impact Rating]]*RiskRegister[[#This Row],[Inherent Likelihood Rating]],"-- Error --")</f>
        <v>-- Error --</v>
      </c>
      <c r="R792" s="16" t="s">
        <v>98</v>
      </c>
      <c r="T792" s="16" t="s">
        <v>99</v>
      </c>
      <c r="U792" s="17" t="e" cm="1">
        <f t="array" aca="1" ref="U792" ca="1">+U792:Y1019VLOOKUP(RiskRegister[[#This Row],[Residual Impact Level]],'Rating factors'!$F$4:$G$9,2,FALSE)</f>
        <v>#NAME?</v>
      </c>
      <c r="V792" s="16" t="s">
        <v>79</v>
      </c>
      <c r="W792" s="17" t="str">
        <f>VLOOKUP(RiskRegister[[#This Row],[Residual Likelihood Level]],'Rating factors'!$F$16:$G$21,2,FALSE)</f>
        <v>--- Error ---</v>
      </c>
      <c r="X792" s="17" t="str">
        <f ca="1">IFERROR(VLOOKUP(RiskRegister[[#This Row],[Residual Risk Rating]],'Rating factors'!$F$30:$G$44,2,FALSE),"-- Error --")</f>
        <v>-- Error --</v>
      </c>
      <c r="Y792" s="17" t="str">
        <f ca="1">IFERROR(RiskRegister[[#This Row],[Residual Impact Rating]]*RiskRegister[[#This Row],[Residual Likelihood Rating]],"-- Error --")</f>
        <v>-- Error --</v>
      </c>
      <c r="Z792" s="16" t="s">
        <v>100</v>
      </c>
      <c r="AB792" s="39"/>
      <c r="AD792" s="20"/>
    </row>
    <row r="793" spans="1:30" s="16" customFormat="1" hidden="1" x14ac:dyDescent="0.25">
      <c r="A793" s="16">
        <v>790</v>
      </c>
      <c r="G793" s="16" t="s">
        <v>77</v>
      </c>
      <c r="I793" s="16" t="s">
        <v>75</v>
      </c>
      <c r="L793" s="105" t="s">
        <v>99</v>
      </c>
      <c r="M793" s="17" t="str">
        <f>VLOOKUP(RiskRegister[[#This Row],[Inherent Impact LevelL3:L1020D1007L3:L1019]],'Rating factors'!$F$4:$G$9,2,FALSE)</f>
        <v>--- Error ---</v>
      </c>
      <c r="N793" s="16" t="s">
        <v>79</v>
      </c>
      <c r="O793" s="17" t="str">
        <f>VLOOKUP(RiskRegister[[#This Row],[Inherent Likelihood Level]],'Rating factors'!$F$16:$G$21,2,FALSE)</f>
        <v>--- Error ---</v>
      </c>
      <c r="P793" s="17" t="str">
        <f>IFERROR(VLOOKUP(RiskRegister[[#This Row],[Inherent Risk Rating]],'Rating factors'!$F$30:$G$44,2,FALSE),"-- Error --")</f>
        <v>-- Error --</v>
      </c>
      <c r="Q793" s="17" t="str">
        <f>IFERROR(RiskRegister[[#This Row],[Inherent Impact Rating]]*RiskRegister[[#This Row],[Inherent Likelihood Rating]],"-- Error --")</f>
        <v>-- Error --</v>
      </c>
      <c r="R793" s="16" t="s">
        <v>98</v>
      </c>
      <c r="T793" s="16" t="s">
        <v>99</v>
      </c>
      <c r="U793" s="17" t="e" cm="1">
        <f t="array" aca="1" ref="U793" ca="1">+U793:Y1019VLOOKUP(RiskRegister[[#This Row],[Residual Impact Level]],'Rating factors'!$F$4:$G$9,2,FALSE)</f>
        <v>#NAME?</v>
      </c>
      <c r="V793" s="16" t="s">
        <v>79</v>
      </c>
      <c r="W793" s="17" t="str">
        <f>VLOOKUP(RiskRegister[[#This Row],[Residual Likelihood Level]],'Rating factors'!$F$16:$G$21,2,FALSE)</f>
        <v>--- Error ---</v>
      </c>
      <c r="X793" s="17" t="str">
        <f ca="1">IFERROR(VLOOKUP(RiskRegister[[#This Row],[Residual Risk Rating]],'Rating factors'!$F$30:$G$44,2,FALSE),"-- Error --")</f>
        <v>-- Error --</v>
      </c>
      <c r="Y793" s="17" t="str">
        <f ca="1">IFERROR(RiskRegister[[#This Row],[Residual Impact Rating]]*RiskRegister[[#This Row],[Residual Likelihood Rating]],"-- Error --")</f>
        <v>-- Error --</v>
      </c>
      <c r="Z793" s="16" t="s">
        <v>100</v>
      </c>
      <c r="AB793" s="39"/>
      <c r="AD793" s="20"/>
    </row>
    <row r="794" spans="1:30" s="16" customFormat="1" hidden="1" x14ac:dyDescent="0.25">
      <c r="A794" s="16">
        <v>791</v>
      </c>
      <c r="G794" s="16" t="s">
        <v>77</v>
      </c>
      <c r="I794" s="16" t="s">
        <v>75</v>
      </c>
      <c r="L794" s="105" t="s">
        <v>99</v>
      </c>
      <c r="M794" s="17" t="str">
        <f>VLOOKUP(RiskRegister[[#This Row],[Inherent Impact LevelL3:L1020D1007L3:L1019]],'Rating factors'!$F$4:$G$9,2,FALSE)</f>
        <v>--- Error ---</v>
      </c>
      <c r="N794" s="16" t="s">
        <v>79</v>
      </c>
      <c r="O794" s="17" t="str">
        <f>VLOOKUP(RiskRegister[[#This Row],[Inherent Likelihood Level]],'Rating factors'!$F$16:$G$21,2,FALSE)</f>
        <v>--- Error ---</v>
      </c>
      <c r="P794" s="17" t="str">
        <f>IFERROR(VLOOKUP(RiskRegister[[#This Row],[Inherent Risk Rating]],'Rating factors'!$F$30:$G$44,2,FALSE),"-- Error --")</f>
        <v>-- Error --</v>
      </c>
      <c r="Q794" s="17" t="str">
        <f>IFERROR(RiskRegister[[#This Row],[Inherent Impact Rating]]*RiskRegister[[#This Row],[Inherent Likelihood Rating]],"-- Error --")</f>
        <v>-- Error --</v>
      </c>
      <c r="R794" s="16" t="s">
        <v>98</v>
      </c>
      <c r="T794" s="16" t="s">
        <v>99</v>
      </c>
      <c r="U794" s="17" t="e" cm="1">
        <f t="array" aca="1" ref="U794" ca="1">+U794:Y1019VLOOKUP(RiskRegister[[#This Row],[Residual Impact Level]],'Rating factors'!$F$4:$G$9,2,FALSE)</f>
        <v>#NAME?</v>
      </c>
      <c r="V794" s="16" t="s">
        <v>79</v>
      </c>
      <c r="W794" s="17" t="str">
        <f>VLOOKUP(RiskRegister[[#This Row],[Residual Likelihood Level]],'Rating factors'!$F$16:$G$21,2,FALSE)</f>
        <v>--- Error ---</v>
      </c>
      <c r="X794" s="17" t="str">
        <f ca="1">IFERROR(VLOOKUP(RiskRegister[[#This Row],[Residual Risk Rating]],'Rating factors'!$F$30:$G$44,2,FALSE),"-- Error --")</f>
        <v>-- Error --</v>
      </c>
      <c r="Y794" s="17" t="str">
        <f ca="1">IFERROR(RiskRegister[[#This Row],[Residual Impact Rating]]*RiskRegister[[#This Row],[Residual Likelihood Rating]],"-- Error --")</f>
        <v>-- Error --</v>
      </c>
      <c r="Z794" s="16" t="s">
        <v>100</v>
      </c>
      <c r="AB794" s="39"/>
      <c r="AD794" s="20"/>
    </row>
    <row r="795" spans="1:30" s="16" customFormat="1" hidden="1" x14ac:dyDescent="0.25">
      <c r="A795" s="16">
        <v>792</v>
      </c>
      <c r="G795" s="16" t="s">
        <v>77</v>
      </c>
      <c r="I795" s="16" t="s">
        <v>75</v>
      </c>
      <c r="L795" s="105" t="s">
        <v>99</v>
      </c>
      <c r="M795" s="17" t="str">
        <f>VLOOKUP(RiskRegister[[#This Row],[Inherent Impact LevelL3:L1020D1007L3:L1019]],'Rating factors'!$F$4:$G$9,2,FALSE)</f>
        <v>--- Error ---</v>
      </c>
      <c r="N795" s="16" t="s">
        <v>79</v>
      </c>
      <c r="O795" s="17" t="str">
        <f>VLOOKUP(RiskRegister[[#This Row],[Inherent Likelihood Level]],'Rating factors'!$F$16:$G$21,2,FALSE)</f>
        <v>--- Error ---</v>
      </c>
      <c r="P795" s="17" t="str">
        <f>IFERROR(VLOOKUP(RiskRegister[[#This Row],[Inherent Risk Rating]],'Rating factors'!$F$30:$G$44,2,FALSE),"-- Error --")</f>
        <v>-- Error --</v>
      </c>
      <c r="Q795" s="17" t="str">
        <f>IFERROR(RiskRegister[[#This Row],[Inherent Impact Rating]]*RiskRegister[[#This Row],[Inherent Likelihood Rating]],"-- Error --")</f>
        <v>-- Error --</v>
      </c>
      <c r="R795" s="16" t="s">
        <v>98</v>
      </c>
      <c r="T795" s="16" t="s">
        <v>99</v>
      </c>
      <c r="U795" s="17" t="e" cm="1">
        <f t="array" aca="1" ref="U795" ca="1">+U795:Y1019VLOOKUP(RiskRegister[[#This Row],[Residual Impact Level]],'Rating factors'!$F$4:$G$9,2,FALSE)</f>
        <v>#NAME?</v>
      </c>
      <c r="V795" s="16" t="s">
        <v>79</v>
      </c>
      <c r="W795" s="17" t="str">
        <f>VLOOKUP(RiskRegister[[#This Row],[Residual Likelihood Level]],'Rating factors'!$F$16:$G$21,2,FALSE)</f>
        <v>--- Error ---</v>
      </c>
      <c r="X795" s="17" t="str">
        <f ca="1">IFERROR(VLOOKUP(RiskRegister[[#This Row],[Residual Risk Rating]],'Rating factors'!$F$30:$G$44,2,FALSE),"-- Error --")</f>
        <v>-- Error --</v>
      </c>
      <c r="Y795" s="17" t="str">
        <f ca="1">IFERROR(RiskRegister[[#This Row],[Residual Impact Rating]]*RiskRegister[[#This Row],[Residual Likelihood Rating]],"-- Error --")</f>
        <v>-- Error --</v>
      </c>
      <c r="Z795" s="16" t="s">
        <v>100</v>
      </c>
      <c r="AB795" s="39"/>
      <c r="AD795" s="20"/>
    </row>
    <row r="796" spans="1:30" s="16" customFormat="1" hidden="1" x14ac:dyDescent="0.25">
      <c r="A796" s="16">
        <v>793</v>
      </c>
      <c r="G796" s="16" t="s">
        <v>77</v>
      </c>
      <c r="I796" s="16" t="s">
        <v>75</v>
      </c>
      <c r="L796" s="105" t="s">
        <v>99</v>
      </c>
      <c r="M796" s="17" t="str">
        <f>VLOOKUP(RiskRegister[[#This Row],[Inherent Impact LevelL3:L1020D1007L3:L1019]],'Rating factors'!$F$4:$G$9,2,FALSE)</f>
        <v>--- Error ---</v>
      </c>
      <c r="N796" s="16" t="s">
        <v>79</v>
      </c>
      <c r="O796" s="17" t="str">
        <f>VLOOKUP(RiskRegister[[#This Row],[Inherent Likelihood Level]],'Rating factors'!$F$16:$G$21,2,FALSE)</f>
        <v>--- Error ---</v>
      </c>
      <c r="P796" s="17" t="str">
        <f>IFERROR(VLOOKUP(RiskRegister[[#This Row],[Inherent Risk Rating]],'Rating factors'!$F$30:$G$44,2,FALSE),"-- Error --")</f>
        <v>-- Error --</v>
      </c>
      <c r="Q796" s="17" t="str">
        <f>IFERROR(RiskRegister[[#This Row],[Inherent Impact Rating]]*RiskRegister[[#This Row],[Inherent Likelihood Rating]],"-- Error --")</f>
        <v>-- Error --</v>
      </c>
      <c r="R796" s="16" t="s">
        <v>98</v>
      </c>
      <c r="T796" s="16" t="s">
        <v>99</v>
      </c>
      <c r="U796" s="17" t="e" cm="1">
        <f t="array" aca="1" ref="U796" ca="1">+U796:Y1019VLOOKUP(RiskRegister[[#This Row],[Residual Impact Level]],'Rating factors'!$F$4:$G$9,2,FALSE)</f>
        <v>#NAME?</v>
      </c>
      <c r="V796" s="16" t="s">
        <v>79</v>
      </c>
      <c r="W796" s="17" t="str">
        <f>VLOOKUP(RiskRegister[[#This Row],[Residual Likelihood Level]],'Rating factors'!$F$16:$G$21,2,FALSE)</f>
        <v>--- Error ---</v>
      </c>
      <c r="X796" s="17" t="str">
        <f ca="1">IFERROR(VLOOKUP(RiskRegister[[#This Row],[Residual Risk Rating]],'Rating factors'!$F$30:$G$44,2,FALSE),"-- Error --")</f>
        <v>-- Error --</v>
      </c>
      <c r="Y796" s="17" t="str">
        <f ca="1">IFERROR(RiskRegister[[#This Row],[Residual Impact Rating]]*RiskRegister[[#This Row],[Residual Likelihood Rating]],"-- Error --")</f>
        <v>-- Error --</v>
      </c>
      <c r="Z796" s="16" t="s">
        <v>100</v>
      </c>
      <c r="AB796" s="39"/>
      <c r="AD796" s="20"/>
    </row>
    <row r="797" spans="1:30" s="16" customFormat="1" hidden="1" x14ac:dyDescent="0.25">
      <c r="A797" s="16">
        <v>794</v>
      </c>
      <c r="G797" s="16" t="s">
        <v>77</v>
      </c>
      <c r="I797" s="16" t="s">
        <v>75</v>
      </c>
      <c r="L797" s="105" t="s">
        <v>99</v>
      </c>
      <c r="M797" s="17" t="str">
        <f>VLOOKUP(RiskRegister[[#This Row],[Inherent Impact LevelL3:L1020D1007L3:L1019]],'Rating factors'!$F$4:$G$9,2,FALSE)</f>
        <v>--- Error ---</v>
      </c>
      <c r="N797" s="16" t="s">
        <v>79</v>
      </c>
      <c r="O797" s="17" t="str">
        <f>VLOOKUP(RiskRegister[[#This Row],[Inherent Likelihood Level]],'Rating factors'!$F$16:$G$21,2,FALSE)</f>
        <v>--- Error ---</v>
      </c>
      <c r="P797" s="17" t="str">
        <f>IFERROR(VLOOKUP(RiskRegister[[#This Row],[Inherent Risk Rating]],'Rating factors'!$F$30:$G$44,2,FALSE),"-- Error --")</f>
        <v>-- Error --</v>
      </c>
      <c r="Q797" s="17" t="str">
        <f>IFERROR(RiskRegister[[#This Row],[Inherent Impact Rating]]*RiskRegister[[#This Row],[Inherent Likelihood Rating]],"-- Error --")</f>
        <v>-- Error --</v>
      </c>
      <c r="R797" s="16" t="s">
        <v>98</v>
      </c>
      <c r="T797" s="16" t="s">
        <v>99</v>
      </c>
      <c r="U797" s="17" t="e" cm="1">
        <f t="array" aca="1" ref="U797" ca="1">+U797:Y1019VLOOKUP(RiskRegister[[#This Row],[Residual Impact Level]],'Rating factors'!$F$4:$G$9,2,FALSE)</f>
        <v>#NAME?</v>
      </c>
      <c r="V797" s="16" t="s">
        <v>79</v>
      </c>
      <c r="W797" s="17" t="str">
        <f>VLOOKUP(RiskRegister[[#This Row],[Residual Likelihood Level]],'Rating factors'!$F$16:$G$21,2,FALSE)</f>
        <v>--- Error ---</v>
      </c>
      <c r="X797" s="17" t="str">
        <f ca="1">IFERROR(VLOOKUP(RiskRegister[[#This Row],[Residual Risk Rating]],'Rating factors'!$F$30:$G$44,2,FALSE),"-- Error --")</f>
        <v>-- Error --</v>
      </c>
      <c r="Y797" s="17" t="str">
        <f ca="1">IFERROR(RiskRegister[[#This Row],[Residual Impact Rating]]*RiskRegister[[#This Row],[Residual Likelihood Rating]],"-- Error --")</f>
        <v>-- Error --</v>
      </c>
      <c r="Z797" s="16" t="s">
        <v>100</v>
      </c>
      <c r="AB797" s="39"/>
      <c r="AD797" s="20"/>
    </row>
    <row r="798" spans="1:30" s="16" customFormat="1" hidden="1" x14ac:dyDescent="0.25">
      <c r="A798" s="16">
        <v>795</v>
      </c>
      <c r="G798" s="16" t="s">
        <v>77</v>
      </c>
      <c r="I798" s="16" t="s">
        <v>75</v>
      </c>
      <c r="L798" s="105" t="s">
        <v>99</v>
      </c>
      <c r="M798" s="17" t="str">
        <f>VLOOKUP(RiskRegister[[#This Row],[Inherent Impact LevelL3:L1020D1007L3:L1019]],'Rating factors'!$F$4:$G$9,2,FALSE)</f>
        <v>--- Error ---</v>
      </c>
      <c r="N798" s="16" t="s">
        <v>79</v>
      </c>
      <c r="O798" s="17" t="str">
        <f>VLOOKUP(RiskRegister[[#This Row],[Inherent Likelihood Level]],'Rating factors'!$F$16:$G$21,2,FALSE)</f>
        <v>--- Error ---</v>
      </c>
      <c r="P798" s="17" t="str">
        <f>IFERROR(VLOOKUP(RiskRegister[[#This Row],[Inherent Risk Rating]],'Rating factors'!$F$30:$G$44,2,FALSE),"-- Error --")</f>
        <v>-- Error --</v>
      </c>
      <c r="Q798" s="17" t="str">
        <f>IFERROR(RiskRegister[[#This Row],[Inherent Impact Rating]]*RiskRegister[[#This Row],[Inherent Likelihood Rating]],"-- Error --")</f>
        <v>-- Error --</v>
      </c>
      <c r="R798" s="16" t="s">
        <v>98</v>
      </c>
      <c r="T798" s="16" t="s">
        <v>99</v>
      </c>
      <c r="U798" s="17" t="e" cm="1">
        <f t="array" aca="1" ref="U798" ca="1">+U798:Y1019VLOOKUP(RiskRegister[[#This Row],[Residual Impact Level]],'Rating factors'!$F$4:$G$9,2,FALSE)</f>
        <v>#NAME?</v>
      </c>
      <c r="V798" s="16" t="s">
        <v>79</v>
      </c>
      <c r="W798" s="17" t="str">
        <f>VLOOKUP(RiskRegister[[#This Row],[Residual Likelihood Level]],'Rating factors'!$F$16:$G$21,2,FALSE)</f>
        <v>--- Error ---</v>
      </c>
      <c r="X798" s="17" t="str">
        <f ca="1">IFERROR(VLOOKUP(RiskRegister[[#This Row],[Residual Risk Rating]],'Rating factors'!$F$30:$G$44,2,FALSE),"-- Error --")</f>
        <v>-- Error --</v>
      </c>
      <c r="Y798" s="17" t="str">
        <f ca="1">IFERROR(RiskRegister[[#This Row],[Residual Impact Rating]]*RiskRegister[[#This Row],[Residual Likelihood Rating]],"-- Error --")</f>
        <v>-- Error --</v>
      </c>
      <c r="Z798" s="16" t="s">
        <v>100</v>
      </c>
      <c r="AB798" s="39"/>
      <c r="AD798" s="20"/>
    </row>
    <row r="799" spans="1:30" s="16" customFormat="1" hidden="1" x14ac:dyDescent="0.25">
      <c r="A799" s="16">
        <v>796</v>
      </c>
      <c r="G799" s="16" t="s">
        <v>77</v>
      </c>
      <c r="I799" s="16" t="s">
        <v>75</v>
      </c>
      <c r="L799" s="105" t="s">
        <v>99</v>
      </c>
      <c r="M799" s="17" t="str">
        <f>VLOOKUP(RiskRegister[[#This Row],[Inherent Impact LevelL3:L1020D1007L3:L1019]],'Rating factors'!$F$4:$G$9,2,FALSE)</f>
        <v>--- Error ---</v>
      </c>
      <c r="N799" s="16" t="s">
        <v>79</v>
      </c>
      <c r="O799" s="17" t="str">
        <f>VLOOKUP(RiskRegister[[#This Row],[Inherent Likelihood Level]],'Rating factors'!$F$16:$G$21,2,FALSE)</f>
        <v>--- Error ---</v>
      </c>
      <c r="P799" s="17" t="str">
        <f>IFERROR(VLOOKUP(RiskRegister[[#This Row],[Inherent Risk Rating]],'Rating factors'!$F$30:$G$44,2,FALSE),"-- Error --")</f>
        <v>-- Error --</v>
      </c>
      <c r="Q799" s="17" t="str">
        <f>IFERROR(RiskRegister[[#This Row],[Inherent Impact Rating]]*RiskRegister[[#This Row],[Inherent Likelihood Rating]],"-- Error --")</f>
        <v>-- Error --</v>
      </c>
      <c r="R799" s="16" t="s">
        <v>98</v>
      </c>
      <c r="T799" s="16" t="s">
        <v>99</v>
      </c>
      <c r="U799" s="17" t="e" cm="1">
        <f t="array" aca="1" ref="U799" ca="1">+U799:Y1019VLOOKUP(RiskRegister[[#This Row],[Residual Impact Level]],'Rating factors'!$F$4:$G$9,2,FALSE)</f>
        <v>#NAME?</v>
      </c>
      <c r="V799" s="16" t="s">
        <v>79</v>
      </c>
      <c r="W799" s="17" t="str">
        <f>VLOOKUP(RiskRegister[[#This Row],[Residual Likelihood Level]],'Rating factors'!$F$16:$G$21,2,FALSE)</f>
        <v>--- Error ---</v>
      </c>
      <c r="X799" s="17" t="str">
        <f ca="1">IFERROR(VLOOKUP(RiskRegister[[#This Row],[Residual Risk Rating]],'Rating factors'!$F$30:$G$44,2,FALSE),"-- Error --")</f>
        <v>-- Error --</v>
      </c>
      <c r="Y799" s="17" t="str">
        <f ca="1">IFERROR(RiskRegister[[#This Row],[Residual Impact Rating]]*RiskRegister[[#This Row],[Residual Likelihood Rating]],"-- Error --")</f>
        <v>-- Error --</v>
      </c>
      <c r="Z799" s="16" t="s">
        <v>100</v>
      </c>
      <c r="AB799" s="39"/>
      <c r="AD799" s="20"/>
    </row>
    <row r="800" spans="1:30" s="16" customFormat="1" hidden="1" x14ac:dyDescent="0.25">
      <c r="A800" s="16">
        <v>797</v>
      </c>
      <c r="G800" s="16" t="s">
        <v>77</v>
      </c>
      <c r="I800" s="16" t="s">
        <v>75</v>
      </c>
      <c r="L800" s="105" t="s">
        <v>99</v>
      </c>
      <c r="M800" s="17" t="str">
        <f>VLOOKUP(RiskRegister[[#This Row],[Inherent Impact LevelL3:L1020D1007L3:L1019]],'Rating factors'!$F$4:$G$9,2,FALSE)</f>
        <v>--- Error ---</v>
      </c>
      <c r="N800" s="16" t="s">
        <v>79</v>
      </c>
      <c r="O800" s="17" t="str">
        <f>VLOOKUP(RiskRegister[[#This Row],[Inherent Likelihood Level]],'Rating factors'!$F$16:$G$21,2,FALSE)</f>
        <v>--- Error ---</v>
      </c>
      <c r="P800" s="17" t="str">
        <f>IFERROR(VLOOKUP(RiskRegister[[#This Row],[Inherent Risk Rating]],'Rating factors'!$F$30:$G$44,2,FALSE),"-- Error --")</f>
        <v>-- Error --</v>
      </c>
      <c r="Q800" s="17" t="str">
        <f>IFERROR(RiskRegister[[#This Row],[Inherent Impact Rating]]*RiskRegister[[#This Row],[Inherent Likelihood Rating]],"-- Error --")</f>
        <v>-- Error --</v>
      </c>
      <c r="R800" s="16" t="s">
        <v>98</v>
      </c>
      <c r="T800" s="16" t="s">
        <v>99</v>
      </c>
      <c r="U800" s="17" t="e" cm="1">
        <f t="array" aca="1" ref="U800" ca="1">+U800:Y1019VLOOKUP(RiskRegister[[#This Row],[Residual Impact Level]],'Rating factors'!$F$4:$G$9,2,FALSE)</f>
        <v>#NAME?</v>
      </c>
      <c r="V800" s="16" t="s">
        <v>79</v>
      </c>
      <c r="W800" s="17" t="str">
        <f>VLOOKUP(RiskRegister[[#This Row],[Residual Likelihood Level]],'Rating factors'!$F$16:$G$21,2,FALSE)</f>
        <v>--- Error ---</v>
      </c>
      <c r="X800" s="17" t="str">
        <f ca="1">IFERROR(VLOOKUP(RiskRegister[[#This Row],[Residual Risk Rating]],'Rating factors'!$F$30:$G$44,2,FALSE),"-- Error --")</f>
        <v>-- Error --</v>
      </c>
      <c r="Y800" s="17" t="str">
        <f ca="1">IFERROR(RiskRegister[[#This Row],[Residual Impact Rating]]*RiskRegister[[#This Row],[Residual Likelihood Rating]],"-- Error --")</f>
        <v>-- Error --</v>
      </c>
      <c r="Z800" s="16" t="s">
        <v>100</v>
      </c>
      <c r="AB800" s="39"/>
      <c r="AD800" s="20"/>
    </row>
    <row r="801" spans="1:30" s="16" customFormat="1" hidden="1" x14ac:dyDescent="0.25">
      <c r="A801" s="16">
        <v>798</v>
      </c>
      <c r="G801" s="16" t="s">
        <v>77</v>
      </c>
      <c r="I801" s="16" t="s">
        <v>75</v>
      </c>
      <c r="L801" s="105" t="s">
        <v>99</v>
      </c>
      <c r="M801" s="17" t="str">
        <f>VLOOKUP(RiskRegister[[#This Row],[Inherent Impact LevelL3:L1020D1007L3:L1019]],'Rating factors'!$F$4:$G$9,2,FALSE)</f>
        <v>--- Error ---</v>
      </c>
      <c r="N801" s="16" t="s">
        <v>79</v>
      </c>
      <c r="O801" s="17" t="str">
        <f>VLOOKUP(RiskRegister[[#This Row],[Inherent Likelihood Level]],'Rating factors'!$F$16:$G$21,2,FALSE)</f>
        <v>--- Error ---</v>
      </c>
      <c r="P801" s="17" t="str">
        <f>IFERROR(VLOOKUP(RiskRegister[[#This Row],[Inherent Risk Rating]],'Rating factors'!$F$30:$G$44,2,FALSE),"-- Error --")</f>
        <v>-- Error --</v>
      </c>
      <c r="Q801" s="17" t="str">
        <f>IFERROR(RiskRegister[[#This Row],[Inherent Impact Rating]]*RiskRegister[[#This Row],[Inherent Likelihood Rating]],"-- Error --")</f>
        <v>-- Error --</v>
      </c>
      <c r="R801" s="16" t="s">
        <v>98</v>
      </c>
      <c r="T801" s="16" t="s">
        <v>99</v>
      </c>
      <c r="U801" s="17" t="e" cm="1">
        <f t="array" aca="1" ref="U801" ca="1">+U801:Y1019VLOOKUP(RiskRegister[[#This Row],[Residual Impact Level]],'Rating factors'!$F$4:$G$9,2,FALSE)</f>
        <v>#NAME?</v>
      </c>
      <c r="V801" s="16" t="s">
        <v>79</v>
      </c>
      <c r="W801" s="17" t="str">
        <f>VLOOKUP(RiskRegister[[#This Row],[Residual Likelihood Level]],'Rating factors'!$F$16:$G$21,2,FALSE)</f>
        <v>--- Error ---</v>
      </c>
      <c r="X801" s="17" t="str">
        <f ca="1">IFERROR(VLOOKUP(RiskRegister[[#This Row],[Residual Risk Rating]],'Rating factors'!$F$30:$G$44,2,FALSE),"-- Error --")</f>
        <v>-- Error --</v>
      </c>
      <c r="Y801" s="17" t="str">
        <f ca="1">IFERROR(RiskRegister[[#This Row],[Residual Impact Rating]]*RiskRegister[[#This Row],[Residual Likelihood Rating]],"-- Error --")</f>
        <v>-- Error --</v>
      </c>
      <c r="Z801" s="16" t="s">
        <v>100</v>
      </c>
      <c r="AB801" s="39"/>
      <c r="AD801" s="20"/>
    </row>
    <row r="802" spans="1:30" s="16" customFormat="1" hidden="1" x14ac:dyDescent="0.25">
      <c r="A802" s="16">
        <v>799</v>
      </c>
      <c r="G802" s="16" t="s">
        <v>77</v>
      </c>
      <c r="I802" s="16" t="s">
        <v>75</v>
      </c>
      <c r="L802" s="105" t="s">
        <v>99</v>
      </c>
      <c r="M802" s="17" t="str">
        <f>VLOOKUP(RiskRegister[[#This Row],[Inherent Impact LevelL3:L1020D1007L3:L1019]],'Rating factors'!$F$4:$G$9,2,FALSE)</f>
        <v>--- Error ---</v>
      </c>
      <c r="N802" s="16" t="s">
        <v>79</v>
      </c>
      <c r="O802" s="17" t="str">
        <f>VLOOKUP(RiskRegister[[#This Row],[Inherent Likelihood Level]],'Rating factors'!$F$16:$G$21,2,FALSE)</f>
        <v>--- Error ---</v>
      </c>
      <c r="P802" s="17" t="str">
        <f>IFERROR(VLOOKUP(RiskRegister[[#This Row],[Inherent Risk Rating]],'Rating factors'!$F$30:$G$44,2,FALSE),"-- Error --")</f>
        <v>-- Error --</v>
      </c>
      <c r="Q802" s="17" t="str">
        <f>IFERROR(RiskRegister[[#This Row],[Inherent Impact Rating]]*RiskRegister[[#This Row],[Inherent Likelihood Rating]],"-- Error --")</f>
        <v>-- Error --</v>
      </c>
      <c r="R802" s="16" t="s">
        <v>98</v>
      </c>
      <c r="T802" s="16" t="s">
        <v>99</v>
      </c>
      <c r="U802" s="17" t="e" cm="1">
        <f t="array" aca="1" ref="U802" ca="1">+U802:Y1019VLOOKUP(RiskRegister[[#This Row],[Residual Impact Level]],'Rating factors'!$F$4:$G$9,2,FALSE)</f>
        <v>#NAME?</v>
      </c>
      <c r="V802" s="16" t="s">
        <v>79</v>
      </c>
      <c r="W802" s="17" t="str">
        <f>VLOOKUP(RiskRegister[[#This Row],[Residual Likelihood Level]],'Rating factors'!$F$16:$G$21,2,FALSE)</f>
        <v>--- Error ---</v>
      </c>
      <c r="X802" s="17" t="str">
        <f ca="1">IFERROR(VLOOKUP(RiskRegister[[#This Row],[Residual Risk Rating]],'Rating factors'!$F$30:$G$44,2,FALSE),"-- Error --")</f>
        <v>-- Error --</v>
      </c>
      <c r="Y802" s="17" t="str">
        <f ca="1">IFERROR(RiskRegister[[#This Row],[Residual Impact Rating]]*RiskRegister[[#This Row],[Residual Likelihood Rating]],"-- Error --")</f>
        <v>-- Error --</v>
      </c>
      <c r="Z802" s="16" t="s">
        <v>100</v>
      </c>
      <c r="AB802" s="39"/>
      <c r="AD802" s="20"/>
    </row>
    <row r="803" spans="1:30" s="16" customFormat="1" hidden="1" x14ac:dyDescent="0.25">
      <c r="A803" s="16">
        <v>800</v>
      </c>
      <c r="G803" s="16" t="s">
        <v>77</v>
      </c>
      <c r="I803" s="16" t="s">
        <v>75</v>
      </c>
      <c r="L803" s="105" t="s">
        <v>99</v>
      </c>
      <c r="M803" s="17" t="str">
        <f>VLOOKUP(RiskRegister[[#This Row],[Inherent Impact LevelL3:L1020D1007L3:L1019]],'Rating factors'!$F$4:$G$9,2,FALSE)</f>
        <v>--- Error ---</v>
      </c>
      <c r="N803" s="16" t="s">
        <v>79</v>
      </c>
      <c r="O803" s="17" t="str">
        <f>VLOOKUP(RiskRegister[[#This Row],[Inherent Likelihood Level]],'Rating factors'!$F$16:$G$21,2,FALSE)</f>
        <v>--- Error ---</v>
      </c>
      <c r="P803" s="17" t="str">
        <f>IFERROR(VLOOKUP(RiskRegister[[#This Row],[Inherent Risk Rating]],'Rating factors'!$F$30:$G$44,2,FALSE),"-- Error --")</f>
        <v>-- Error --</v>
      </c>
      <c r="Q803" s="17" t="str">
        <f>IFERROR(RiskRegister[[#This Row],[Inherent Impact Rating]]*RiskRegister[[#This Row],[Inherent Likelihood Rating]],"-- Error --")</f>
        <v>-- Error --</v>
      </c>
      <c r="R803" s="16" t="s">
        <v>98</v>
      </c>
      <c r="T803" s="16" t="s">
        <v>99</v>
      </c>
      <c r="U803" s="17" t="e" cm="1">
        <f t="array" aca="1" ref="U803" ca="1">+U803:Y1019VLOOKUP(RiskRegister[[#This Row],[Residual Impact Level]],'Rating factors'!$F$4:$G$9,2,FALSE)</f>
        <v>#NAME?</v>
      </c>
      <c r="V803" s="16" t="s">
        <v>79</v>
      </c>
      <c r="W803" s="17" t="str">
        <f>VLOOKUP(RiskRegister[[#This Row],[Residual Likelihood Level]],'Rating factors'!$F$16:$G$21,2,FALSE)</f>
        <v>--- Error ---</v>
      </c>
      <c r="X803" s="17" t="str">
        <f ca="1">IFERROR(VLOOKUP(RiskRegister[[#This Row],[Residual Risk Rating]],'Rating factors'!$F$30:$G$44,2,FALSE),"-- Error --")</f>
        <v>-- Error --</v>
      </c>
      <c r="Y803" s="17" t="str">
        <f ca="1">IFERROR(RiskRegister[[#This Row],[Residual Impact Rating]]*RiskRegister[[#This Row],[Residual Likelihood Rating]],"-- Error --")</f>
        <v>-- Error --</v>
      </c>
      <c r="Z803" s="16" t="s">
        <v>100</v>
      </c>
      <c r="AB803" s="39"/>
      <c r="AD803" s="20"/>
    </row>
    <row r="804" spans="1:30" s="16" customFormat="1" hidden="1" x14ac:dyDescent="0.25">
      <c r="A804" s="16">
        <v>801</v>
      </c>
      <c r="G804" s="16" t="s">
        <v>77</v>
      </c>
      <c r="I804" s="16" t="s">
        <v>75</v>
      </c>
      <c r="L804" s="105" t="s">
        <v>99</v>
      </c>
      <c r="M804" s="17" t="str">
        <f>VLOOKUP(RiskRegister[[#This Row],[Inherent Impact LevelL3:L1020D1007L3:L1019]],'Rating factors'!$F$4:$G$9,2,FALSE)</f>
        <v>--- Error ---</v>
      </c>
      <c r="N804" s="16" t="s">
        <v>79</v>
      </c>
      <c r="O804" s="17" t="str">
        <f>VLOOKUP(RiskRegister[[#This Row],[Inherent Likelihood Level]],'Rating factors'!$F$16:$G$21,2,FALSE)</f>
        <v>--- Error ---</v>
      </c>
      <c r="P804" s="17" t="str">
        <f>IFERROR(VLOOKUP(RiskRegister[[#This Row],[Inherent Risk Rating]],'Rating factors'!$F$30:$G$44,2,FALSE),"-- Error --")</f>
        <v>-- Error --</v>
      </c>
      <c r="Q804" s="17" t="str">
        <f>IFERROR(RiskRegister[[#This Row],[Inherent Impact Rating]]*RiskRegister[[#This Row],[Inherent Likelihood Rating]],"-- Error --")</f>
        <v>-- Error --</v>
      </c>
      <c r="R804" s="16" t="s">
        <v>98</v>
      </c>
      <c r="T804" s="16" t="s">
        <v>99</v>
      </c>
      <c r="U804" s="17" t="e" cm="1">
        <f t="array" aca="1" ref="U804" ca="1">+U804:Y1019VLOOKUP(RiskRegister[[#This Row],[Residual Impact Level]],'Rating factors'!$F$4:$G$9,2,FALSE)</f>
        <v>#NAME?</v>
      </c>
      <c r="V804" s="16" t="s">
        <v>79</v>
      </c>
      <c r="W804" s="17" t="str">
        <f>VLOOKUP(RiskRegister[[#This Row],[Residual Likelihood Level]],'Rating factors'!$F$16:$G$21,2,FALSE)</f>
        <v>--- Error ---</v>
      </c>
      <c r="X804" s="17" t="str">
        <f ca="1">IFERROR(VLOOKUP(RiskRegister[[#This Row],[Residual Risk Rating]],'Rating factors'!$F$30:$G$44,2,FALSE),"-- Error --")</f>
        <v>-- Error --</v>
      </c>
      <c r="Y804" s="17" t="str">
        <f ca="1">IFERROR(RiskRegister[[#This Row],[Residual Impact Rating]]*RiskRegister[[#This Row],[Residual Likelihood Rating]],"-- Error --")</f>
        <v>-- Error --</v>
      </c>
      <c r="Z804" s="16" t="s">
        <v>100</v>
      </c>
      <c r="AB804" s="39"/>
      <c r="AD804" s="20"/>
    </row>
    <row r="805" spans="1:30" s="16" customFormat="1" hidden="1" x14ac:dyDescent="0.25">
      <c r="A805" s="16">
        <v>802</v>
      </c>
      <c r="G805" s="16" t="s">
        <v>77</v>
      </c>
      <c r="I805" s="16" t="s">
        <v>75</v>
      </c>
      <c r="L805" s="105" t="s">
        <v>99</v>
      </c>
      <c r="M805" s="17" t="str">
        <f>VLOOKUP(RiskRegister[[#This Row],[Inherent Impact LevelL3:L1020D1007L3:L1019]],'Rating factors'!$F$4:$G$9,2,FALSE)</f>
        <v>--- Error ---</v>
      </c>
      <c r="N805" s="16" t="s">
        <v>79</v>
      </c>
      <c r="O805" s="17" t="str">
        <f>VLOOKUP(RiskRegister[[#This Row],[Inherent Likelihood Level]],'Rating factors'!$F$16:$G$21,2,FALSE)</f>
        <v>--- Error ---</v>
      </c>
      <c r="P805" s="17" t="str">
        <f>IFERROR(VLOOKUP(RiskRegister[[#This Row],[Inherent Risk Rating]],'Rating factors'!$F$30:$G$44,2,FALSE),"-- Error --")</f>
        <v>-- Error --</v>
      </c>
      <c r="Q805" s="17" t="str">
        <f>IFERROR(RiskRegister[[#This Row],[Inherent Impact Rating]]*RiskRegister[[#This Row],[Inherent Likelihood Rating]],"-- Error --")</f>
        <v>-- Error --</v>
      </c>
      <c r="R805" s="16" t="s">
        <v>98</v>
      </c>
      <c r="T805" s="16" t="s">
        <v>99</v>
      </c>
      <c r="U805" s="17" t="e" cm="1">
        <f t="array" aca="1" ref="U805" ca="1">+U805:Y1019VLOOKUP(RiskRegister[[#This Row],[Residual Impact Level]],'Rating factors'!$F$4:$G$9,2,FALSE)</f>
        <v>#NAME?</v>
      </c>
      <c r="V805" s="16" t="s">
        <v>79</v>
      </c>
      <c r="W805" s="17" t="str">
        <f>VLOOKUP(RiskRegister[[#This Row],[Residual Likelihood Level]],'Rating factors'!$F$16:$G$21,2,FALSE)</f>
        <v>--- Error ---</v>
      </c>
      <c r="X805" s="17" t="str">
        <f ca="1">IFERROR(VLOOKUP(RiskRegister[[#This Row],[Residual Risk Rating]],'Rating factors'!$F$30:$G$44,2,FALSE),"-- Error --")</f>
        <v>-- Error --</v>
      </c>
      <c r="Y805" s="17" t="str">
        <f ca="1">IFERROR(RiskRegister[[#This Row],[Residual Impact Rating]]*RiskRegister[[#This Row],[Residual Likelihood Rating]],"-- Error --")</f>
        <v>-- Error --</v>
      </c>
      <c r="Z805" s="16" t="s">
        <v>100</v>
      </c>
      <c r="AB805" s="39"/>
      <c r="AD805" s="20"/>
    </row>
    <row r="806" spans="1:30" s="16" customFormat="1" hidden="1" x14ac:dyDescent="0.25">
      <c r="A806" s="16">
        <v>803</v>
      </c>
      <c r="G806" s="16" t="s">
        <v>77</v>
      </c>
      <c r="I806" s="16" t="s">
        <v>75</v>
      </c>
      <c r="L806" s="105" t="s">
        <v>99</v>
      </c>
      <c r="M806" s="17" t="str">
        <f>VLOOKUP(RiskRegister[[#This Row],[Inherent Impact LevelL3:L1020D1007L3:L1019]],'Rating factors'!$F$4:$G$9,2,FALSE)</f>
        <v>--- Error ---</v>
      </c>
      <c r="N806" s="16" t="s">
        <v>79</v>
      </c>
      <c r="O806" s="17" t="str">
        <f>VLOOKUP(RiskRegister[[#This Row],[Inherent Likelihood Level]],'Rating factors'!$F$16:$G$21,2,FALSE)</f>
        <v>--- Error ---</v>
      </c>
      <c r="P806" s="17" t="str">
        <f>IFERROR(VLOOKUP(RiskRegister[[#This Row],[Inherent Risk Rating]],'Rating factors'!$F$30:$G$44,2,FALSE),"-- Error --")</f>
        <v>-- Error --</v>
      </c>
      <c r="Q806" s="17" t="str">
        <f>IFERROR(RiskRegister[[#This Row],[Inherent Impact Rating]]*RiskRegister[[#This Row],[Inherent Likelihood Rating]],"-- Error --")</f>
        <v>-- Error --</v>
      </c>
      <c r="R806" s="16" t="s">
        <v>98</v>
      </c>
      <c r="T806" s="16" t="s">
        <v>99</v>
      </c>
      <c r="U806" s="17" t="e" cm="1">
        <f t="array" aca="1" ref="U806" ca="1">+U806:Y1019VLOOKUP(RiskRegister[[#This Row],[Residual Impact Level]],'Rating factors'!$F$4:$G$9,2,FALSE)</f>
        <v>#NAME?</v>
      </c>
      <c r="V806" s="16" t="s">
        <v>79</v>
      </c>
      <c r="W806" s="17" t="str">
        <f>VLOOKUP(RiskRegister[[#This Row],[Residual Likelihood Level]],'Rating factors'!$F$16:$G$21,2,FALSE)</f>
        <v>--- Error ---</v>
      </c>
      <c r="X806" s="17" t="str">
        <f ca="1">IFERROR(VLOOKUP(RiskRegister[[#This Row],[Residual Risk Rating]],'Rating factors'!$F$30:$G$44,2,FALSE),"-- Error --")</f>
        <v>-- Error --</v>
      </c>
      <c r="Y806" s="17" t="str">
        <f ca="1">IFERROR(RiskRegister[[#This Row],[Residual Impact Rating]]*RiskRegister[[#This Row],[Residual Likelihood Rating]],"-- Error --")</f>
        <v>-- Error --</v>
      </c>
      <c r="Z806" s="16" t="s">
        <v>100</v>
      </c>
      <c r="AB806" s="39"/>
      <c r="AD806" s="20"/>
    </row>
    <row r="807" spans="1:30" s="16" customFormat="1" hidden="1" x14ac:dyDescent="0.25">
      <c r="A807" s="16">
        <v>804</v>
      </c>
      <c r="G807" s="16" t="s">
        <v>77</v>
      </c>
      <c r="I807" s="16" t="s">
        <v>75</v>
      </c>
      <c r="L807" s="105" t="s">
        <v>99</v>
      </c>
      <c r="M807" s="17" t="str">
        <f>VLOOKUP(RiskRegister[[#This Row],[Inherent Impact LevelL3:L1020D1007L3:L1019]],'Rating factors'!$F$4:$G$9,2,FALSE)</f>
        <v>--- Error ---</v>
      </c>
      <c r="N807" s="16" t="s">
        <v>79</v>
      </c>
      <c r="O807" s="17" t="str">
        <f>VLOOKUP(RiskRegister[[#This Row],[Inherent Likelihood Level]],'Rating factors'!$F$16:$G$21,2,FALSE)</f>
        <v>--- Error ---</v>
      </c>
      <c r="P807" s="17" t="str">
        <f>IFERROR(VLOOKUP(RiskRegister[[#This Row],[Inherent Risk Rating]],'Rating factors'!$F$30:$G$44,2,FALSE),"-- Error --")</f>
        <v>-- Error --</v>
      </c>
      <c r="Q807" s="17" t="str">
        <f>IFERROR(RiskRegister[[#This Row],[Inherent Impact Rating]]*RiskRegister[[#This Row],[Inherent Likelihood Rating]],"-- Error --")</f>
        <v>-- Error --</v>
      </c>
      <c r="R807" s="16" t="s">
        <v>98</v>
      </c>
      <c r="T807" s="16" t="s">
        <v>99</v>
      </c>
      <c r="U807" s="17" t="e" cm="1">
        <f t="array" aca="1" ref="U807" ca="1">+U807:Y1019VLOOKUP(RiskRegister[[#This Row],[Residual Impact Level]],'Rating factors'!$F$4:$G$9,2,FALSE)</f>
        <v>#NAME?</v>
      </c>
      <c r="V807" s="16" t="s">
        <v>79</v>
      </c>
      <c r="W807" s="17" t="str">
        <f>VLOOKUP(RiskRegister[[#This Row],[Residual Likelihood Level]],'Rating factors'!$F$16:$G$21,2,FALSE)</f>
        <v>--- Error ---</v>
      </c>
      <c r="X807" s="17" t="str">
        <f ca="1">IFERROR(VLOOKUP(RiskRegister[[#This Row],[Residual Risk Rating]],'Rating factors'!$F$30:$G$44,2,FALSE),"-- Error --")</f>
        <v>-- Error --</v>
      </c>
      <c r="Y807" s="17" t="str">
        <f ca="1">IFERROR(RiskRegister[[#This Row],[Residual Impact Rating]]*RiskRegister[[#This Row],[Residual Likelihood Rating]],"-- Error --")</f>
        <v>-- Error --</v>
      </c>
      <c r="Z807" s="16" t="s">
        <v>100</v>
      </c>
      <c r="AB807" s="39"/>
      <c r="AD807" s="20"/>
    </row>
    <row r="808" spans="1:30" s="16" customFormat="1" hidden="1" x14ac:dyDescent="0.25">
      <c r="A808" s="16">
        <v>805</v>
      </c>
      <c r="G808" s="16" t="s">
        <v>77</v>
      </c>
      <c r="I808" s="16" t="s">
        <v>75</v>
      </c>
      <c r="L808" s="105" t="s">
        <v>99</v>
      </c>
      <c r="M808" s="17" t="str">
        <f>VLOOKUP(RiskRegister[[#This Row],[Inherent Impact LevelL3:L1020D1007L3:L1019]],'Rating factors'!$F$4:$G$9,2,FALSE)</f>
        <v>--- Error ---</v>
      </c>
      <c r="N808" s="16" t="s">
        <v>79</v>
      </c>
      <c r="O808" s="17" t="str">
        <f>VLOOKUP(RiskRegister[[#This Row],[Inherent Likelihood Level]],'Rating factors'!$F$16:$G$21,2,FALSE)</f>
        <v>--- Error ---</v>
      </c>
      <c r="P808" s="17" t="str">
        <f>IFERROR(VLOOKUP(RiskRegister[[#This Row],[Inherent Risk Rating]],'Rating factors'!$F$30:$G$44,2,FALSE),"-- Error --")</f>
        <v>-- Error --</v>
      </c>
      <c r="Q808" s="17" t="str">
        <f>IFERROR(RiskRegister[[#This Row],[Inherent Impact Rating]]*RiskRegister[[#This Row],[Inherent Likelihood Rating]],"-- Error --")</f>
        <v>-- Error --</v>
      </c>
      <c r="R808" s="16" t="s">
        <v>98</v>
      </c>
      <c r="T808" s="16" t="s">
        <v>99</v>
      </c>
      <c r="U808" s="17" t="e" cm="1">
        <f t="array" aca="1" ref="U808" ca="1">+U808:Y1019VLOOKUP(RiskRegister[[#This Row],[Residual Impact Level]],'Rating factors'!$F$4:$G$9,2,FALSE)</f>
        <v>#NAME?</v>
      </c>
      <c r="V808" s="16" t="s">
        <v>79</v>
      </c>
      <c r="W808" s="17" t="str">
        <f>VLOOKUP(RiskRegister[[#This Row],[Residual Likelihood Level]],'Rating factors'!$F$16:$G$21,2,FALSE)</f>
        <v>--- Error ---</v>
      </c>
      <c r="X808" s="17" t="str">
        <f ca="1">IFERROR(VLOOKUP(RiskRegister[[#This Row],[Residual Risk Rating]],'Rating factors'!$F$30:$G$44,2,FALSE),"-- Error --")</f>
        <v>-- Error --</v>
      </c>
      <c r="Y808" s="17" t="str">
        <f ca="1">IFERROR(RiskRegister[[#This Row],[Residual Impact Rating]]*RiskRegister[[#This Row],[Residual Likelihood Rating]],"-- Error --")</f>
        <v>-- Error --</v>
      </c>
      <c r="Z808" s="16" t="s">
        <v>100</v>
      </c>
      <c r="AB808" s="39"/>
      <c r="AD808" s="20"/>
    </row>
    <row r="809" spans="1:30" s="16" customFormat="1" hidden="1" x14ac:dyDescent="0.25">
      <c r="A809" s="16">
        <v>806</v>
      </c>
      <c r="G809" s="16" t="s">
        <v>77</v>
      </c>
      <c r="I809" s="16" t="s">
        <v>75</v>
      </c>
      <c r="L809" s="105" t="s">
        <v>99</v>
      </c>
      <c r="M809" s="17" t="str">
        <f>VLOOKUP(RiskRegister[[#This Row],[Inherent Impact LevelL3:L1020D1007L3:L1019]],'Rating factors'!$F$4:$G$9,2,FALSE)</f>
        <v>--- Error ---</v>
      </c>
      <c r="N809" s="16" t="s">
        <v>79</v>
      </c>
      <c r="O809" s="17" t="str">
        <f>VLOOKUP(RiskRegister[[#This Row],[Inherent Likelihood Level]],'Rating factors'!$F$16:$G$21,2,FALSE)</f>
        <v>--- Error ---</v>
      </c>
      <c r="P809" s="17" t="str">
        <f>IFERROR(VLOOKUP(RiskRegister[[#This Row],[Inherent Risk Rating]],'Rating factors'!$F$30:$G$44,2,FALSE),"-- Error --")</f>
        <v>-- Error --</v>
      </c>
      <c r="Q809" s="17" t="str">
        <f>IFERROR(RiskRegister[[#This Row],[Inherent Impact Rating]]*RiskRegister[[#This Row],[Inherent Likelihood Rating]],"-- Error --")</f>
        <v>-- Error --</v>
      </c>
      <c r="R809" s="16" t="s">
        <v>98</v>
      </c>
      <c r="T809" s="16" t="s">
        <v>99</v>
      </c>
      <c r="U809" s="17" t="e" cm="1">
        <f t="array" aca="1" ref="U809" ca="1">+U809:Y1019VLOOKUP(RiskRegister[[#This Row],[Residual Impact Level]],'Rating factors'!$F$4:$G$9,2,FALSE)</f>
        <v>#NAME?</v>
      </c>
      <c r="V809" s="16" t="s">
        <v>79</v>
      </c>
      <c r="W809" s="17" t="str">
        <f>VLOOKUP(RiskRegister[[#This Row],[Residual Likelihood Level]],'Rating factors'!$F$16:$G$21,2,FALSE)</f>
        <v>--- Error ---</v>
      </c>
      <c r="X809" s="17" t="str">
        <f ca="1">IFERROR(VLOOKUP(RiskRegister[[#This Row],[Residual Risk Rating]],'Rating factors'!$F$30:$G$44,2,FALSE),"-- Error --")</f>
        <v>-- Error --</v>
      </c>
      <c r="Y809" s="17" t="str">
        <f ca="1">IFERROR(RiskRegister[[#This Row],[Residual Impact Rating]]*RiskRegister[[#This Row],[Residual Likelihood Rating]],"-- Error --")</f>
        <v>-- Error --</v>
      </c>
      <c r="Z809" s="16" t="s">
        <v>100</v>
      </c>
      <c r="AB809" s="39"/>
      <c r="AD809" s="20"/>
    </row>
    <row r="810" spans="1:30" s="16" customFormat="1" hidden="1" x14ac:dyDescent="0.25">
      <c r="A810" s="16">
        <v>807</v>
      </c>
      <c r="G810" s="16" t="s">
        <v>77</v>
      </c>
      <c r="I810" s="16" t="s">
        <v>75</v>
      </c>
      <c r="L810" s="105" t="s">
        <v>99</v>
      </c>
      <c r="M810" s="17" t="str">
        <f>VLOOKUP(RiskRegister[[#This Row],[Inherent Impact LevelL3:L1020D1007L3:L1019]],'Rating factors'!$F$4:$G$9,2,FALSE)</f>
        <v>--- Error ---</v>
      </c>
      <c r="N810" s="16" t="s">
        <v>79</v>
      </c>
      <c r="O810" s="17" t="str">
        <f>VLOOKUP(RiskRegister[[#This Row],[Inherent Likelihood Level]],'Rating factors'!$F$16:$G$21,2,FALSE)</f>
        <v>--- Error ---</v>
      </c>
      <c r="P810" s="17" t="str">
        <f>IFERROR(VLOOKUP(RiskRegister[[#This Row],[Inherent Risk Rating]],'Rating factors'!$F$30:$G$44,2,FALSE),"-- Error --")</f>
        <v>-- Error --</v>
      </c>
      <c r="Q810" s="17" t="str">
        <f>IFERROR(RiskRegister[[#This Row],[Inherent Impact Rating]]*RiskRegister[[#This Row],[Inherent Likelihood Rating]],"-- Error --")</f>
        <v>-- Error --</v>
      </c>
      <c r="R810" s="16" t="s">
        <v>98</v>
      </c>
      <c r="T810" s="16" t="s">
        <v>99</v>
      </c>
      <c r="U810" s="17" t="e" cm="1">
        <f t="array" aca="1" ref="U810" ca="1">+U810:Y1019VLOOKUP(RiskRegister[[#This Row],[Residual Impact Level]],'Rating factors'!$F$4:$G$9,2,FALSE)</f>
        <v>#NAME?</v>
      </c>
      <c r="V810" s="16" t="s">
        <v>79</v>
      </c>
      <c r="W810" s="17" t="str">
        <f>VLOOKUP(RiskRegister[[#This Row],[Residual Likelihood Level]],'Rating factors'!$F$16:$G$21,2,FALSE)</f>
        <v>--- Error ---</v>
      </c>
      <c r="X810" s="17" t="str">
        <f ca="1">IFERROR(VLOOKUP(RiskRegister[[#This Row],[Residual Risk Rating]],'Rating factors'!$F$30:$G$44,2,FALSE),"-- Error --")</f>
        <v>-- Error --</v>
      </c>
      <c r="Y810" s="17" t="str">
        <f ca="1">IFERROR(RiskRegister[[#This Row],[Residual Impact Rating]]*RiskRegister[[#This Row],[Residual Likelihood Rating]],"-- Error --")</f>
        <v>-- Error --</v>
      </c>
      <c r="Z810" s="16" t="s">
        <v>100</v>
      </c>
      <c r="AB810" s="39"/>
      <c r="AD810" s="20"/>
    </row>
    <row r="811" spans="1:30" s="16" customFormat="1" hidden="1" x14ac:dyDescent="0.25">
      <c r="A811" s="16">
        <v>808</v>
      </c>
      <c r="G811" s="16" t="s">
        <v>77</v>
      </c>
      <c r="I811" s="16" t="s">
        <v>75</v>
      </c>
      <c r="L811" s="105" t="s">
        <v>99</v>
      </c>
      <c r="M811" s="17" t="str">
        <f>VLOOKUP(RiskRegister[[#This Row],[Inherent Impact LevelL3:L1020D1007L3:L1019]],'Rating factors'!$F$4:$G$9,2,FALSE)</f>
        <v>--- Error ---</v>
      </c>
      <c r="N811" s="16" t="s">
        <v>79</v>
      </c>
      <c r="O811" s="17" t="str">
        <f>VLOOKUP(RiskRegister[[#This Row],[Inherent Likelihood Level]],'Rating factors'!$F$16:$G$21,2,FALSE)</f>
        <v>--- Error ---</v>
      </c>
      <c r="P811" s="17" t="str">
        <f>IFERROR(VLOOKUP(RiskRegister[[#This Row],[Inherent Risk Rating]],'Rating factors'!$F$30:$G$44,2,FALSE),"-- Error --")</f>
        <v>-- Error --</v>
      </c>
      <c r="Q811" s="17" t="str">
        <f>IFERROR(RiskRegister[[#This Row],[Inherent Impact Rating]]*RiskRegister[[#This Row],[Inherent Likelihood Rating]],"-- Error --")</f>
        <v>-- Error --</v>
      </c>
      <c r="R811" s="16" t="s">
        <v>98</v>
      </c>
      <c r="T811" s="16" t="s">
        <v>99</v>
      </c>
      <c r="U811" s="17" t="e" cm="1">
        <f t="array" aca="1" ref="U811" ca="1">+U811:Y1019VLOOKUP(RiskRegister[[#This Row],[Residual Impact Level]],'Rating factors'!$F$4:$G$9,2,FALSE)</f>
        <v>#NAME?</v>
      </c>
      <c r="V811" s="16" t="s">
        <v>79</v>
      </c>
      <c r="W811" s="17" t="str">
        <f>VLOOKUP(RiskRegister[[#This Row],[Residual Likelihood Level]],'Rating factors'!$F$16:$G$21,2,FALSE)</f>
        <v>--- Error ---</v>
      </c>
      <c r="X811" s="17" t="str">
        <f ca="1">IFERROR(VLOOKUP(RiskRegister[[#This Row],[Residual Risk Rating]],'Rating factors'!$F$30:$G$44,2,FALSE),"-- Error --")</f>
        <v>-- Error --</v>
      </c>
      <c r="Y811" s="17" t="str">
        <f ca="1">IFERROR(RiskRegister[[#This Row],[Residual Impact Rating]]*RiskRegister[[#This Row],[Residual Likelihood Rating]],"-- Error --")</f>
        <v>-- Error --</v>
      </c>
      <c r="Z811" s="16" t="s">
        <v>100</v>
      </c>
      <c r="AB811" s="39"/>
      <c r="AD811" s="20"/>
    </row>
    <row r="812" spans="1:30" s="16" customFormat="1" hidden="1" x14ac:dyDescent="0.25">
      <c r="A812" s="16">
        <v>809</v>
      </c>
      <c r="G812" s="16" t="s">
        <v>77</v>
      </c>
      <c r="I812" s="16" t="s">
        <v>75</v>
      </c>
      <c r="L812" s="105" t="s">
        <v>99</v>
      </c>
      <c r="M812" s="17" t="str">
        <f>VLOOKUP(RiskRegister[[#This Row],[Inherent Impact LevelL3:L1020D1007L3:L1019]],'Rating factors'!$F$4:$G$9,2,FALSE)</f>
        <v>--- Error ---</v>
      </c>
      <c r="N812" s="16" t="s">
        <v>79</v>
      </c>
      <c r="O812" s="17" t="str">
        <f>VLOOKUP(RiskRegister[[#This Row],[Inherent Likelihood Level]],'Rating factors'!$F$16:$G$21,2,FALSE)</f>
        <v>--- Error ---</v>
      </c>
      <c r="P812" s="17" t="str">
        <f>IFERROR(VLOOKUP(RiskRegister[[#This Row],[Inherent Risk Rating]],'Rating factors'!$F$30:$G$44,2,FALSE),"-- Error --")</f>
        <v>-- Error --</v>
      </c>
      <c r="Q812" s="17" t="str">
        <f>IFERROR(RiskRegister[[#This Row],[Inherent Impact Rating]]*RiskRegister[[#This Row],[Inherent Likelihood Rating]],"-- Error --")</f>
        <v>-- Error --</v>
      </c>
      <c r="R812" s="16" t="s">
        <v>98</v>
      </c>
      <c r="T812" s="16" t="s">
        <v>99</v>
      </c>
      <c r="U812" s="17" t="e" cm="1">
        <f t="array" aca="1" ref="U812" ca="1">+U812:Y1019VLOOKUP(RiskRegister[[#This Row],[Residual Impact Level]],'Rating factors'!$F$4:$G$9,2,FALSE)</f>
        <v>#NAME?</v>
      </c>
      <c r="V812" s="16" t="s">
        <v>79</v>
      </c>
      <c r="W812" s="17" t="str">
        <f>VLOOKUP(RiskRegister[[#This Row],[Residual Likelihood Level]],'Rating factors'!$F$16:$G$21,2,FALSE)</f>
        <v>--- Error ---</v>
      </c>
      <c r="X812" s="17" t="str">
        <f ca="1">IFERROR(VLOOKUP(RiskRegister[[#This Row],[Residual Risk Rating]],'Rating factors'!$F$30:$G$44,2,FALSE),"-- Error --")</f>
        <v>-- Error --</v>
      </c>
      <c r="Y812" s="17" t="str">
        <f ca="1">IFERROR(RiskRegister[[#This Row],[Residual Impact Rating]]*RiskRegister[[#This Row],[Residual Likelihood Rating]],"-- Error --")</f>
        <v>-- Error --</v>
      </c>
      <c r="Z812" s="16" t="s">
        <v>100</v>
      </c>
      <c r="AB812" s="39"/>
      <c r="AD812" s="20"/>
    </row>
    <row r="813" spans="1:30" s="16" customFormat="1" hidden="1" x14ac:dyDescent="0.25">
      <c r="A813" s="16">
        <v>810</v>
      </c>
      <c r="G813" s="16" t="s">
        <v>77</v>
      </c>
      <c r="I813" s="16" t="s">
        <v>75</v>
      </c>
      <c r="L813" s="105" t="s">
        <v>99</v>
      </c>
      <c r="M813" s="17" t="str">
        <f>VLOOKUP(RiskRegister[[#This Row],[Inherent Impact LevelL3:L1020D1007L3:L1019]],'Rating factors'!$F$4:$G$9,2,FALSE)</f>
        <v>--- Error ---</v>
      </c>
      <c r="N813" s="16" t="s">
        <v>79</v>
      </c>
      <c r="O813" s="17" t="str">
        <f>VLOOKUP(RiskRegister[[#This Row],[Inherent Likelihood Level]],'Rating factors'!$F$16:$G$21,2,FALSE)</f>
        <v>--- Error ---</v>
      </c>
      <c r="P813" s="17" t="str">
        <f>IFERROR(VLOOKUP(RiskRegister[[#This Row],[Inherent Risk Rating]],'Rating factors'!$F$30:$G$44,2,FALSE),"-- Error --")</f>
        <v>-- Error --</v>
      </c>
      <c r="Q813" s="17" t="str">
        <f>IFERROR(RiskRegister[[#This Row],[Inherent Impact Rating]]*RiskRegister[[#This Row],[Inherent Likelihood Rating]],"-- Error --")</f>
        <v>-- Error --</v>
      </c>
      <c r="R813" s="16" t="s">
        <v>98</v>
      </c>
      <c r="T813" s="16" t="s">
        <v>99</v>
      </c>
      <c r="U813" s="17" t="e" cm="1">
        <f t="array" aca="1" ref="U813" ca="1">+U813:Y1019VLOOKUP(RiskRegister[[#This Row],[Residual Impact Level]],'Rating factors'!$F$4:$G$9,2,FALSE)</f>
        <v>#NAME?</v>
      </c>
      <c r="V813" s="16" t="s">
        <v>79</v>
      </c>
      <c r="W813" s="17" t="str">
        <f>VLOOKUP(RiskRegister[[#This Row],[Residual Likelihood Level]],'Rating factors'!$F$16:$G$21,2,FALSE)</f>
        <v>--- Error ---</v>
      </c>
      <c r="X813" s="17" t="str">
        <f ca="1">IFERROR(VLOOKUP(RiskRegister[[#This Row],[Residual Risk Rating]],'Rating factors'!$F$30:$G$44,2,FALSE),"-- Error --")</f>
        <v>-- Error --</v>
      </c>
      <c r="Y813" s="17" t="str">
        <f ca="1">IFERROR(RiskRegister[[#This Row],[Residual Impact Rating]]*RiskRegister[[#This Row],[Residual Likelihood Rating]],"-- Error --")</f>
        <v>-- Error --</v>
      </c>
      <c r="Z813" s="16" t="s">
        <v>100</v>
      </c>
      <c r="AB813" s="39"/>
      <c r="AD813" s="20"/>
    </row>
    <row r="814" spans="1:30" s="16" customFormat="1" hidden="1" x14ac:dyDescent="0.25">
      <c r="A814" s="16">
        <v>811</v>
      </c>
      <c r="G814" s="16" t="s">
        <v>77</v>
      </c>
      <c r="I814" s="16" t="s">
        <v>75</v>
      </c>
      <c r="L814" s="105" t="s">
        <v>99</v>
      </c>
      <c r="M814" s="17" t="str">
        <f>VLOOKUP(RiskRegister[[#This Row],[Inherent Impact LevelL3:L1020D1007L3:L1019]],'Rating factors'!$F$4:$G$9,2,FALSE)</f>
        <v>--- Error ---</v>
      </c>
      <c r="N814" s="16" t="s">
        <v>79</v>
      </c>
      <c r="O814" s="17" t="str">
        <f>VLOOKUP(RiskRegister[[#This Row],[Inherent Likelihood Level]],'Rating factors'!$F$16:$G$21,2,FALSE)</f>
        <v>--- Error ---</v>
      </c>
      <c r="P814" s="17" t="str">
        <f>IFERROR(VLOOKUP(RiskRegister[[#This Row],[Inherent Risk Rating]],'Rating factors'!$F$30:$G$44,2,FALSE),"-- Error --")</f>
        <v>-- Error --</v>
      </c>
      <c r="Q814" s="17" t="str">
        <f>IFERROR(RiskRegister[[#This Row],[Inherent Impact Rating]]*RiskRegister[[#This Row],[Inherent Likelihood Rating]],"-- Error --")</f>
        <v>-- Error --</v>
      </c>
      <c r="R814" s="16" t="s">
        <v>98</v>
      </c>
      <c r="T814" s="16" t="s">
        <v>99</v>
      </c>
      <c r="U814" s="17" t="e" cm="1">
        <f t="array" aca="1" ref="U814" ca="1">+U814:Y1019VLOOKUP(RiskRegister[[#This Row],[Residual Impact Level]],'Rating factors'!$F$4:$G$9,2,FALSE)</f>
        <v>#NAME?</v>
      </c>
      <c r="V814" s="16" t="s">
        <v>79</v>
      </c>
      <c r="W814" s="17" t="str">
        <f>VLOOKUP(RiskRegister[[#This Row],[Residual Likelihood Level]],'Rating factors'!$F$16:$G$21,2,FALSE)</f>
        <v>--- Error ---</v>
      </c>
      <c r="X814" s="17" t="str">
        <f ca="1">IFERROR(VLOOKUP(RiskRegister[[#This Row],[Residual Risk Rating]],'Rating factors'!$F$30:$G$44,2,FALSE),"-- Error --")</f>
        <v>-- Error --</v>
      </c>
      <c r="Y814" s="17" t="str">
        <f ca="1">IFERROR(RiskRegister[[#This Row],[Residual Impact Rating]]*RiskRegister[[#This Row],[Residual Likelihood Rating]],"-- Error --")</f>
        <v>-- Error --</v>
      </c>
      <c r="Z814" s="16" t="s">
        <v>100</v>
      </c>
      <c r="AB814" s="39"/>
      <c r="AD814" s="20"/>
    </row>
    <row r="815" spans="1:30" s="16" customFormat="1" hidden="1" x14ac:dyDescent="0.25">
      <c r="A815" s="16">
        <v>812</v>
      </c>
      <c r="G815" s="16" t="s">
        <v>77</v>
      </c>
      <c r="I815" s="16" t="s">
        <v>75</v>
      </c>
      <c r="L815" s="105" t="s">
        <v>99</v>
      </c>
      <c r="M815" s="17" t="str">
        <f>VLOOKUP(RiskRegister[[#This Row],[Inherent Impact LevelL3:L1020D1007L3:L1019]],'Rating factors'!$F$4:$G$9,2,FALSE)</f>
        <v>--- Error ---</v>
      </c>
      <c r="N815" s="16" t="s">
        <v>79</v>
      </c>
      <c r="O815" s="17" t="str">
        <f>VLOOKUP(RiskRegister[[#This Row],[Inherent Likelihood Level]],'Rating factors'!$F$16:$G$21,2,FALSE)</f>
        <v>--- Error ---</v>
      </c>
      <c r="P815" s="17" t="str">
        <f>IFERROR(VLOOKUP(RiskRegister[[#This Row],[Inherent Risk Rating]],'Rating factors'!$F$30:$G$44,2,FALSE),"-- Error --")</f>
        <v>-- Error --</v>
      </c>
      <c r="Q815" s="17" t="str">
        <f>IFERROR(RiskRegister[[#This Row],[Inherent Impact Rating]]*RiskRegister[[#This Row],[Inherent Likelihood Rating]],"-- Error --")</f>
        <v>-- Error --</v>
      </c>
      <c r="R815" s="16" t="s">
        <v>98</v>
      </c>
      <c r="T815" s="16" t="s">
        <v>99</v>
      </c>
      <c r="U815" s="17" t="e" cm="1">
        <f t="array" aca="1" ref="U815" ca="1">+U815:Y1019VLOOKUP(RiskRegister[[#This Row],[Residual Impact Level]],'Rating factors'!$F$4:$G$9,2,FALSE)</f>
        <v>#NAME?</v>
      </c>
      <c r="V815" s="16" t="s">
        <v>79</v>
      </c>
      <c r="W815" s="17" t="str">
        <f>VLOOKUP(RiskRegister[[#This Row],[Residual Likelihood Level]],'Rating factors'!$F$16:$G$21,2,FALSE)</f>
        <v>--- Error ---</v>
      </c>
      <c r="X815" s="17" t="str">
        <f ca="1">IFERROR(VLOOKUP(RiskRegister[[#This Row],[Residual Risk Rating]],'Rating factors'!$F$30:$G$44,2,FALSE),"-- Error --")</f>
        <v>-- Error --</v>
      </c>
      <c r="Y815" s="17" t="str">
        <f ca="1">IFERROR(RiskRegister[[#This Row],[Residual Impact Rating]]*RiskRegister[[#This Row],[Residual Likelihood Rating]],"-- Error --")</f>
        <v>-- Error --</v>
      </c>
      <c r="Z815" s="16" t="s">
        <v>100</v>
      </c>
      <c r="AB815" s="39"/>
      <c r="AD815" s="20"/>
    </row>
    <row r="816" spans="1:30" s="16" customFormat="1" hidden="1" x14ac:dyDescent="0.25">
      <c r="A816" s="16">
        <v>813</v>
      </c>
      <c r="G816" s="16" t="s">
        <v>77</v>
      </c>
      <c r="I816" s="16" t="s">
        <v>75</v>
      </c>
      <c r="L816" s="105" t="s">
        <v>99</v>
      </c>
      <c r="M816" s="17" t="str">
        <f>VLOOKUP(RiskRegister[[#This Row],[Inherent Impact LevelL3:L1020D1007L3:L1019]],'Rating factors'!$F$4:$G$9,2,FALSE)</f>
        <v>--- Error ---</v>
      </c>
      <c r="N816" s="16" t="s">
        <v>79</v>
      </c>
      <c r="O816" s="17" t="str">
        <f>VLOOKUP(RiskRegister[[#This Row],[Inherent Likelihood Level]],'Rating factors'!$F$16:$G$21,2,FALSE)</f>
        <v>--- Error ---</v>
      </c>
      <c r="P816" s="17" t="str">
        <f>IFERROR(VLOOKUP(RiskRegister[[#This Row],[Inherent Risk Rating]],'Rating factors'!$F$30:$G$44,2,FALSE),"-- Error --")</f>
        <v>-- Error --</v>
      </c>
      <c r="Q816" s="17" t="str">
        <f>IFERROR(RiskRegister[[#This Row],[Inherent Impact Rating]]*RiskRegister[[#This Row],[Inherent Likelihood Rating]],"-- Error --")</f>
        <v>-- Error --</v>
      </c>
      <c r="R816" s="16" t="s">
        <v>98</v>
      </c>
      <c r="T816" s="16" t="s">
        <v>99</v>
      </c>
      <c r="U816" s="17" t="e" cm="1">
        <f t="array" aca="1" ref="U816" ca="1">+U816:Y1019VLOOKUP(RiskRegister[[#This Row],[Residual Impact Level]],'Rating factors'!$F$4:$G$9,2,FALSE)</f>
        <v>#NAME?</v>
      </c>
      <c r="V816" s="16" t="s">
        <v>79</v>
      </c>
      <c r="W816" s="17" t="str">
        <f>VLOOKUP(RiskRegister[[#This Row],[Residual Likelihood Level]],'Rating factors'!$F$16:$G$21,2,FALSE)</f>
        <v>--- Error ---</v>
      </c>
      <c r="X816" s="17" t="str">
        <f ca="1">IFERROR(VLOOKUP(RiskRegister[[#This Row],[Residual Risk Rating]],'Rating factors'!$F$30:$G$44,2,FALSE),"-- Error --")</f>
        <v>-- Error --</v>
      </c>
      <c r="Y816" s="17" t="str">
        <f ca="1">IFERROR(RiskRegister[[#This Row],[Residual Impact Rating]]*RiskRegister[[#This Row],[Residual Likelihood Rating]],"-- Error --")</f>
        <v>-- Error --</v>
      </c>
      <c r="Z816" s="16" t="s">
        <v>100</v>
      </c>
      <c r="AB816" s="39"/>
      <c r="AD816" s="20"/>
    </row>
    <row r="817" spans="1:30" s="16" customFormat="1" hidden="1" x14ac:dyDescent="0.25">
      <c r="A817" s="16">
        <v>814</v>
      </c>
      <c r="G817" s="16" t="s">
        <v>77</v>
      </c>
      <c r="I817" s="16" t="s">
        <v>75</v>
      </c>
      <c r="L817" s="105" t="s">
        <v>99</v>
      </c>
      <c r="M817" s="17" t="str">
        <f>VLOOKUP(RiskRegister[[#This Row],[Inherent Impact LevelL3:L1020D1007L3:L1019]],'Rating factors'!$F$4:$G$9,2,FALSE)</f>
        <v>--- Error ---</v>
      </c>
      <c r="N817" s="16" t="s">
        <v>79</v>
      </c>
      <c r="O817" s="17" t="str">
        <f>VLOOKUP(RiskRegister[[#This Row],[Inherent Likelihood Level]],'Rating factors'!$F$16:$G$21,2,FALSE)</f>
        <v>--- Error ---</v>
      </c>
      <c r="P817" s="17" t="str">
        <f>IFERROR(VLOOKUP(RiskRegister[[#This Row],[Inherent Risk Rating]],'Rating factors'!$F$30:$G$44,2,FALSE),"-- Error --")</f>
        <v>-- Error --</v>
      </c>
      <c r="Q817" s="17" t="str">
        <f>IFERROR(RiskRegister[[#This Row],[Inherent Impact Rating]]*RiskRegister[[#This Row],[Inherent Likelihood Rating]],"-- Error --")</f>
        <v>-- Error --</v>
      </c>
      <c r="R817" s="16" t="s">
        <v>98</v>
      </c>
      <c r="T817" s="16" t="s">
        <v>99</v>
      </c>
      <c r="U817" s="17" t="e" cm="1">
        <f t="array" aca="1" ref="U817" ca="1">+U817:Y1019VLOOKUP(RiskRegister[[#This Row],[Residual Impact Level]],'Rating factors'!$F$4:$G$9,2,FALSE)</f>
        <v>#NAME?</v>
      </c>
      <c r="V817" s="16" t="s">
        <v>79</v>
      </c>
      <c r="W817" s="17" t="str">
        <f>VLOOKUP(RiskRegister[[#This Row],[Residual Likelihood Level]],'Rating factors'!$F$16:$G$21,2,FALSE)</f>
        <v>--- Error ---</v>
      </c>
      <c r="X817" s="17" t="str">
        <f ca="1">IFERROR(VLOOKUP(RiskRegister[[#This Row],[Residual Risk Rating]],'Rating factors'!$F$30:$G$44,2,FALSE),"-- Error --")</f>
        <v>-- Error --</v>
      </c>
      <c r="Y817" s="17" t="str">
        <f ca="1">IFERROR(RiskRegister[[#This Row],[Residual Impact Rating]]*RiskRegister[[#This Row],[Residual Likelihood Rating]],"-- Error --")</f>
        <v>-- Error --</v>
      </c>
      <c r="Z817" s="16" t="s">
        <v>100</v>
      </c>
      <c r="AB817" s="39"/>
      <c r="AD817" s="20"/>
    </row>
    <row r="818" spans="1:30" s="16" customFormat="1" hidden="1" x14ac:dyDescent="0.25">
      <c r="A818" s="16">
        <v>815</v>
      </c>
      <c r="G818" s="16" t="s">
        <v>77</v>
      </c>
      <c r="I818" s="16" t="s">
        <v>75</v>
      </c>
      <c r="L818" s="105" t="s">
        <v>99</v>
      </c>
      <c r="M818" s="17" t="str">
        <f>VLOOKUP(RiskRegister[[#This Row],[Inherent Impact LevelL3:L1020D1007L3:L1019]],'Rating factors'!$F$4:$G$9,2,FALSE)</f>
        <v>--- Error ---</v>
      </c>
      <c r="N818" s="16" t="s">
        <v>79</v>
      </c>
      <c r="O818" s="17" t="str">
        <f>VLOOKUP(RiskRegister[[#This Row],[Inherent Likelihood Level]],'Rating factors'!$F$16:$G$21,2,FALSE)</f>
        <v>--- Error ---</v>
      </c>
      <c r="P818" s="17" t="str">
        <f>IFERROR(VLOOKUP(RiskRegister[[#This Row],[Inherent Risk Rating]],'Rating factors'!$F$30:$G$44,2,FALSE),"-- Error --")</f>
        <v>-- Error --</v>
      </c>
      <c r="Q818" s="17" t="str">
        <f>IFERROR(RiskRegister[[#This Row],[Inherent Impact Rating]]*RiskRegister[[#This Row],[Inherent Likelihood Rating]],"-- Error --")</f>
        <v>-- Error --</v>
      </c>
      <c r="R818" s="16" t="s">
        <v>98</v>
      </c>
      <c r="T818" s="16" t="s">
        <v>99</v>
      </c>
      <c r="U818" s="17" t="e" cm="1">
        <f t="array" aca="1" ref="U818" ca="1">+U818:Y1019VLOOKUP(RiskRegister[[#This Row],[Residual Impact Level]],'Rating factors'!$F$4:$G$9,2,FALSE)</f>
        <v>#NAME?</v>
      </c>
      <c r="V818" s="16" t="s">
        <v>79</v>
      </c>
      <c r="W818" s="17" t="str">
        <f>VLOOKUP(RiskRegister[[#This Row],[Residual Likelihood Level]],'Rating factors'!$F$16:$G$21,2,FALSE)</f>
        <v>--- Error ---</v>
      </c>
      <c r="X818" s="17" t="str">
        <f ca="1">IFERROR(VLOOKUP(RiskRegister[[#This Row],[Residual Risk Rating]],'Rating factors'!$F$30:$G$44,2,FALSE),"-- Error --")</f>
        <v>-- Error --</v>
      </c>
      <c r="Y818" s="17" t="str">
        <f ca="1">IFERROR(RiskRegister[[#This Row],[Residual Impact Rating]]*RiskRegister[[#This Row],[Residual Likelihood Rating]],"-- Error --")</f>
        <v>-- Error --</v>
      </c>
      <c r="Z818" s="16" t="s">
        <v>100</v>
      </c>
      <c r="AB818" s="39"/>
      <c r="AD818" s="20"/>
    </row>
    <row r="819" spans="1:30" s="16" customFormat="1" hidden="1" x14ac:dyDescent="0.25">
      <c r="A819" s="16">
        <v>816</v>
      </c>
      <c r="G819" s="16" t="s">
        <v>77</v>
      </c>
      <c r="I819" s="16" t="s">
        <v>75</v>
      </c>
      <c r="L819" s="105" t="s">
        <v>99</v>
      </c>
      <c r="M819" s="17" t="str">
        <f>VLOOKUP(RiskRegister[[#This Row],[Inherent Impact LevelL3:L1020D1007L3:L1019]],'Rating factors'!$F$4:$G$9,2,FALSE)</f>
        <v>--- Error ---</v>
      </c>
      <c r="N819" s="16" t="s">
        <v>79</v>
      </c>
      <c r="O819" s="17" t="str">
        <f>VLOOKUP(RiskRegister[[#This Row],[Inherent Likelihood Level]],'Rating factors'!$F$16:$G$21,2,FALSE)</f>
        <v>--- Error ---</v>
      </c>
      <c r="P819" s="17" t="str">
        <f>IFERROR(VLOOKUP(RiskRegister[[#This Row],[Inherent Risk Rating]],'Rating factors'!$F$30:$G$44,2,FALSE),"-- Error --")</f>
        <v>-- Error --</v>
      </c>
      <c r="Q819" s="17" t="str">
        <f>IFERROR(RiskRegister[[#This Row],[Inherent Impact Rating]]*RiskRegister[[#This Row],[Inherent Likelihood Rating]],"-- Error --")</f>
        <v>-- Error --</v>
      </c>
      <c r="R819" s="16" t="s">
        <v>98</v>
      </c>
      <c r="T819" s="16" t="s">
        <v>99</v>
      </c>
      <c r="U819" s="17" t="e" cm="1">
        <f t="array" aca="1" ref="U819" ca="1">+U819:Y1019VLOOKUP(RiskRegister[[#This Row],[Residual Impact Level]],'Rating factors'!$F$4:$G$9,2,FALSE)</f>
        <v>#NAME?</v>
      </c>
      <c r="V819" s="16" t="s">
        <v>79</v>
      </c>
      <c r="W819" s="17" t="str">
        <f>VLOOKUP(RiskRegister[[#This Row],[Residual Likelihood Level]],'Rating factors'!$F$16:$G$21,2,FALSE)</f>
        <v>--- Error ---</v>
      </c>
      <c r="X819" s="17" t="str">
        <f ca="1">IFERROR(VLOOKUP(RiskRegister[[#This Row],[Residual Risk Rating]],'Rating factors'!$F$30:$G$44,2,FALSE),"-- Error --")</f>
        <v>-- Error --</v>
      </c>
      <c r="Y819" s="17" t="str">
        <f ca="1">IFERROR(RiskRegister[[#This Row],[Residual Impact Rating]]*RiskRegister[[#This Row],[Residual Likelihood Rating]],"-- Error --")</f>
        <v>-- Error --</v>
      </c>
      <c r="Z819" s="16" t="s">
        <v>100</v>
      </c>
      <c r="AB819" s="39"/>
      <c r="AD819" s="20"/>
    </row>
    <row r="820" spans="1:30" s="16" customFormat="1" hidden="1" x14ac:dyDescent="0.25">
      <c r="A820" s="16">
        <v>817</v>
      </c>
      <c r="G820" s="16" t="s">
        <v>77</v>
      </c>
      <c r="I820" s="16" t="s">
        <v>75</v>
      </c>
      <c r="L820" s="105" t="s">
        <v>99</v>
      </c>
      <c r="M820" s="17" t="str">
        <f>VLOOKUP(RiskRegister[[#This Row],[Inherent Impact LevelL3:L1020D1007L3:L1019]],'Rating factors'!$F$4:$G$9,2,FALSE)</f>
        <v>--- Error ---</v>
      </c>
      <c r="N820" s="16" t="s">
        <v>79</v>
      </c>
      <c r="O820" s="17" t="str">
        <f>VLOOKUP(RiskRegister[[#This Row],[Inherent Likelihood Level]],'Rating factors'!$F$16:$G$21,2,FALSE)</f>
        <v>--- Error ---</v>
      </c>
      <c r="P820" s="17" t="str">
        <f>IFERROR(VLOOKUP(RiskRegister[[#This Row],[Inherent Risk Rating]],'Rating factors'!$F$30:$G$44,2,FALSE),"-- Error --")</f>
        <v>-- Error --</v>
      </c>
      <c r="Q820" s="17" t="str">
        <f>IFERROR(RiskRegister[[#This Row],[Inherent Impact Rating]]*RiskRegister[[#This Row],[Inherent Likelihood Rating]],"-- Error --")</f>
        <v>-- Error --</v>
      </c>
      <c r="R820" s="16" t="s">
        <v>98</v>
      </c>
      <c r="T820" s="16" t="s">
        <v>99</v>
      </c>
      <c r="U820" s="17" t="e" cm="1">
        <f t="array" aca="1" ref="U820" ca="1">+U820:Y1019VLOOKUP(RiskRegister[[#This Row],[Residual Impact Level]],'Rating factors'!$F$4:$G$9,2,FALSE)</f>
        <v>#NAME?</v>
      </c>
      <c r="V820" s="16" t="s">
        <v>79</v>
      </c>
      <c r="W820" s="17" t="str">
        <f>VLOOKUP(RiskRegister[[#This Row],[Residual Likelihood Level]],'Rating factors'!$F$16:$G$21,2,FALSE)</f>
        <v>--- Error ---</v>
      </c>
      <c r="X820" s="17" t="str">
        <f ca="1">IFERROR(VLOOKUP(RiskRegister[[#This Row],[Residual Risk Rating]],'Rating factors'!$F$30:$G$44,2,FALSE),"-- Error --")</f>
        <v>-- Error --</v>
      </c>
      <c r="Y820" s="17" t="str">
        <f ca="1">IFERROR(RiskRegister[[#This Row],[Residual Impact Rating]]*RiskRegister[[#This Row],[Residual Likelihood Rating]],"-- Error --")</f>
        <v>-- Error --</v>
      </c>
      <c r="Z820" s="16" t="s">
        <v>100</v>
      </c>
      <c r="AB820" s="39"/>
      <c r="AD820" s="20"/>
    </row>
    <row r="821" spans="1:30" s="16" customFormat="1" hidden="1" x14ac:dyDescent="0.25">
      <c r="A821" s="16">
        <v>818</v>
      </c>
      <c r="G821" s="16" t="s">
        <v>77</v>
      </c>
      <c r="I821" s="16" t="s">
        <v>75</v>
      </c>
      <c r="L821" s="105" t="s">
        <v>99</v>
      </c>
      <c r="M821" s="17" t="str">
        <f>VLOOKUP(RiskRegister[[#This Row],[Inherent Impact LevelL3:L1020D1007L3:L1019]],'Rating factors'!$F$4:$G$9,2,FALSE)</f>
        <v>--- Error ---</v>
      </c>
      <c r="N821" s="16" t="s">
        <v>79</v>
      </c>
      <c r="O821" s="17" t="str">
        <f>VLOOKUP(RiskRegister[[#This Row],[Inherent Likelihood Level]],'Rating factors'!$F$16:$G$21,2,FALSE)</f>
        <v>--- Error ---</v>
      </c>
      <c r="P821" s="17" t="str">
        <f>IFERROR(VLOOKUP(RiskRegister[[#This Row],[Inherent Risk Rating]],'Rating factors'!$F$30:$G$44,2,FALSE),"-- Error --")</f>
        <v>-- Error --</v>
      </c>
      <c r="Q821" s="17" t="str">
        <f>IFERROR(RiskRegister[[#This Row],[Inherent Impact Rating]]*RiskRegister[[#This Row],[Inherent Likelihood Rating]],"-- Error --")</f>
        <v>-- Error --</v>
      </c>
      <c r="R821" s="16" t="s">
        <v>98</v>
      </c>
      <c r="T821" s="16" t="s">
        <v>99</v>
      </c>
      <c r="U821" s="17" t="e" cm="1">
        <f t="array" aca="1" ref="U821" ca="1">+U821:Y1019VLOOKUP(RiskRegister[[#This Row],[Residual Impact Level]],'Rating factors'!$F$4:$G$9,2,FALSE)</f>
        <v>#NAME?</v>
      </c>
      <c r="V821" s="16" t="s">
        <v>79</v>
      </c>
      <c r="W821" s="17" t="str">
        <f>VLOOKUP(RiskRegister[[#This Row],[Residual Likelihood Level]],'Rating factors'!$F$16:$G$21,2,FALSE)</f>
        <v>--- Error ---</v>
      </c>
      <c r="X821" s="17" t="str">
        <f ca="1">IFERROR(VLOOKUP(RiskRegister[[#This Row],[Residual Risk Rating]],'Rating factors'!$F$30:$G$44,2,FALSE),"-- Error --")</f>
        <v>-- Error --</v>
      </c>
      <c r="Y821" s="17" t="str">
        <f ca="1">IFERROR(RiskRegister[[#This Row],[Residual Impact Rating]]*RiskRegister[[#This Row],[Residual Likelihood Rating]],"-- Error --")</f>
        <v>-- Error --</v>
      </c>
      <c r="Z821" s="16" t="s">
        <v>100</v>
      </c>
      <c r="AB821" s="39"/>
      <c r="AD821" s="20"/>
    </row>
    <row r="822" spans="1:30" s="16" customFormat="1" hidden="1" x14ac:dyDescent="0.25">
      <c r="A822" s="16">
        <v>819</v>
      </c>
      <c r="G822" s="16" t="s">
        <v>77</v>
      </c>
      <c r="I822" s="16" t="s">
        <v>75</v>
      </c>
      <c r="L822" s="105" t="s">
        <v>99</v>
      </c>
      <c r="M822" s="17" t="str">
        <f>VLOOKUP(RiskRegister[[#This Row],[Inherent Impact LevelL3:L1020D1007L3:L1019]],'Rating factors'!$F$4:$G$9,2,FALSE)</f>
        <v>--- Error ---</v>
      </c>
      <c r="N822" s="16" t="s">
        <v>79</v>
      </c>
      <c r="O822" s="17" t="str">
        <f>VLOOKUP(RiskRegister[[#This Row],[Inherent Likelihood Level]],'Rating factors'!$F$16:$G$21,2,FALSE)</f>
        <v>--- Error ---</v>
      </c>
      <c r="P822" s="17" t="str">
        <f>IFERROR(VLOOKUP(RiskRegister[[#This Row],[Inherent Risk Rating]],'Rating factors'!$F$30:$G$44,2,FALSE),"-- Error --")</f>
        <v>-- Error --</v>
      </c>
      <c r="Q822" s="17" t="str">
        <f>IFERROR(RiskRegister[[#This Row],[Inherent Impact Rating]]*RiskRegister[[#This Row],[Inherent Likelihood Rating]],"-- Error --")</f>
        <v>-- Error --</v>
      </c>
      <c r="R822" s="16" t="s">
        <v>98</v>
      </c>
      <c r="T822" s="16" t="s">
        <v>99</v>
      </c>
      <c r="U822" s="17" t="e" cm="1">
        <f t="array" aca="1" ref="U822" ca="1">+U822:Y1019VLOOKUP(RiskRegister[[#This Row],[Residual Impact Level]],'Rating factors'!$F$4:$G$9,2,FALSE)</f>
        <v>#NAME?</v>
      </c>
      <c r="V822" s="16" t="s">
        <v>79</v>
      </c>
      <c r="W822" s="17" t="str">
        <f>VLOOKUP(RiskRegister[[#This Row],[Residual Likelihood Level]],'Rating factors'!$F$16:$G$21,2,FALSE)</f>
        <v>--- Error ---</v>
      </c>
      <c r="X822" s="17" t="str">
        <f ca="1">IFERROR(VLOOKUP(RiskRegister[[#This Row],[Residual Risk Rating]],'Rating factors'!$F$30:$G$44,2,FALSE),"-- Error --")</f>
        <v>-- Error --</v>
      </c>
      <c r="Y822" s="17" t="str">
        <f ca="1">IFERROR(RiskRegister[[#This Row],[Residual Impact Rating]]*RiskRegister[[#This Row],[Residual Likelihood Rating]],"-- Error --")</f>
        <v>-- Error --</v>
      </c>
      <c r="Z822" s="16" t="s">
        <v>100</v>
      </c>
      <c r="AB822" s="39"/>
      <c r="AD822" s="20"/>
    </row>
    <row r="823" spans="1:30" s="16" customFormat="1" hidden="1" x14ac:dyDescent="0.25">
      <c r="A823" s="16">
        <v>820</v>
      </c>
      <c r="G823" s="16" t="s">
        <v>77</v>
      </c>
      <c r="I823" s="16" t="s">
        <v>75</v>
      </c>
      <c r="L823" s="105" t="s">
        <v>99</v>
      </c>
      <c r="M823" s="17" t="str">
        <f>VLOOKUP(RiskRegister[[#This Row],[Inherent Impact LevelL3:L1020D1007L3:L1019]],'Rating factors'!$F$4:$G$9,2,FALSE)</f>
        <v>--- Error ---</v>
      </c>
      <c r="N823" s="16" t="s">
        <v>79</v>
      </c>
      <c r="O823" s="17" t="str">
        <f>VLOOKUP(RiskRegister[[#This Row],[Inherent Likelihood Level]],'Rating factors'!$F$16:$G$21,2,FALSE)</f>
        <v>--- Error ---</v>
      </c>
      <c r="P823" s="17" t="str">
        <f>IFERROR(VLOOKUP(RiskRegister[[#This Row],[Inherent Risk Rating]],'Rating factors'!$F$30:$G$44,2,FALSE),"-- Error --")</f>
        <v>-- Error --</v>
      </c>
      <c r="Q823" s="17" t="str">
        <f>IFERROR(RiskRegister[[#This Row],[Inherent Impact Rating]]*RiskRegister[[#This Row],[Inherent Likelihood Rating]],"-- Error --")</f>
        <v>-- Error --</v>
      </c>
      <c r="R823" s="16" t="s">
        <v>98</v>
      </c>
      <c r="T823" s="16" t="s">
        <v>99</v>
      </c>
      <c r="U823" s="17" t="e" cm="1">
        <f t="array" aca="1" ref="U823" ca="1">+U823:Y1019VLOOKUP(RiskRegister[[#This Row],[Residual Impact Level]],'Rating factors'!$F$4:$G$9,2,FALSE)</f>
        <v>#NAME?</v>
      </c>
      <c r="V823" s="16" t="s">
        <v>79</v>
      </c>
      <c r="W823" s="17" t="str">
        <f>VLOOKUP(RiskRegister[[#This Row],[Residual Likelihood Level]],'Rating factors'!$F$16:$G$21,2,FALSE)</f>
        <v>--- Error ---</v>
      </c>
      <c r="X823" s="17" t="str">
        <f ca="1">IFERROR(VLOOKUP(RiskRegister[[#This Row],[Residual Risk Rating]],'Rating factors'!$F$30:$G$44,2,FALSE),"-- Error --")</f>
        <v>-- Error --</v>
      </c>
      <c r="Y823" s="17" t="str">
        <f ca="1">IFERROR(RiskRegister[[#This Row],[Residual Impact Rating]]*RiskRegister[[#This Row],[Residual Likelihood Rating]],"-- Error --")</f>
        <v>-- Error --</v>
      </c>
      <c r="Z823" s="16" t="s">
        <v>100</v>
      </c>
      <c r="AB823" s="39"/>
      <c r="AD823" s="20"/>
    </row>
    <row r="824" spans="1:30" s="16" customFormat="1" hidden="1" x14ac:dyDescent="0.25">
      <c r="A824" s="16">
        <v>821</v>
      </c>
      <c r="G824" s="16" t="s">
        <v>77</v>
      </c>
      <c r="I824" s="16" t="s">
        <v>75</v>
      </c>
      <c r="L824" s="105" t="s">
        <v>99</v>
      </c>
      <c r="M824" s="17" t="str">
        <f>VLOOKUP(RiskRegister[[#This Row],[Inherent Impact LevelL3:L1020D1007L3:L1019]],'Rating factors'!$F$4:$G$9,2,FALSE)</f>
        <v>--- Error ---</v>
      </c>
      <c r="N824" s="16" t="s">
        <v>79</v>
      </c>
      <c r="O824" s="17" t="str">
        <f>VLOOKUP(RiskRegister[[#This Row],[Inherent Likelihood Level]],'Rating factors'!$F$16:$G$21,2,FALSE)</f>
        <v>--- Error ---</v>
      </c>
      <c r="P824" s="17" t="str">
        <f>IFERROR(VLOOKUP(RiskRegister[[#This Row],[Inherent Risk Rating]],'Rating factors'!$F$30:$G$44,2,FALSE),"-- Error --")</f>
        <v>-- Error --</v>
      </c>
      <c r="Q824" s="17" t="str">
        <f>IFERROR(RiskRegister[[#This Row],[Inherent Impact Rating]]*RiskRegister[[#This Row],[Inherent Likelihood Rating]],"-- Error --")</f>
        <v>-- Error --</v>
      </c>
      <c r="R824" s="16" t="s">
        <v>98</v>
      </c>
      <c r="T824" s="16" t="s">
        <v>99</v>
      </c>
      <c r="U824" s="17" t="e" cm="1">
        <f t="array" aca="1" ref="U824" ca="1">+U824:Y1019VLOOKUP(RiskRegister[[#This Row],[Residual Impact Level]],'Rating factors'!$F$4:$G$9,2,FALSE)</f>
        <v>#NAME?</v>
      </c>
      <c r="V824" s="16" t="s">
        <v>79</v>
      </c>
      <c r="W824" s="17" t="str">
        <f>VLOOKUP(RiskRegister[[#This Row],[Residual Likelihood Level]],'Rating factors'!$F$16:$G$21,2,FALSE)</f>
        <v>--- Error ---</v>
      </c>
      <c r="X824" s="17" t="str">
        <f ca="1">IFERROR(VLOOKUP(RiskRegister[[#This Row],[Residual Risk Rating]],'Rating factors'!$F$30:$G$44,2,FALSE),"-- Error --")</f>
        <v>-- Error --</v>
      </c>
      <c r="Y824" s="17" t="str">
        <f ca="1">IFERROR(RiskRegister[[#This Row],[Residual Impact Rating]]*RiskRegister[[#This Row],[Residual Likelihood Rating]],"-- Error --")</f>
        <v>-- Error --</v>
      </c>
      <c r="Z824" s="16" t="s">
        <v>100</v>
      </c>
      <c r="AB824" s="39"/>
      <c r="AD824" s="20"/>
    </row>
    <row r="825" spans="1:30" s="16" customFormat="1" hidden="1" x14ac:dyDescent="0.25">
      <c r="A825" s="16">
        <v>822</v>
      </c>
      <c r="G825" s="16" t="s">
        <v>77</v>
      </c>
      <c r="I825" s="16" t="s">
        <v>75</v>
      </c>
      <c r="L825" s="105" t="s">
        <v>99</v>
      </c>
      <c r="M825" s="17" t="str">
        <f>VLOOKUP(RiskRegister[[#This Row],[Inherent Impact LevelL3:L1020D1007L3:L1019]],'Rating factors'!$F$4:$G$9,2,FALSE)</f>
        <v>--- Error ---</v>
      </c>
      <c r="N825" s="16" t="s">
        <v>79</v>
      </c>
      <c r="O825" s="17" t="str">
        <f>VLOOKUP(RiskRegister[[#This Row],[Inherent Likelihood Level]],'Rating factors'!$F$16:$G$21,2,FALSE)</f>
        <v>--- Error ---</v>
      </c>
      <c r="P825" s="17" t="str">
        <f>IFERROR(VLOOKUP(RiskRegister[[#This Row],[Inherent Risk Rating]],'Rating factors'!$F$30:$G$44,2,FALSE),"-- Error --")</f>
        <v>-- Error --</v>
      </c>
      <c r="Q825" s="17" t="str">
        <f>IFERROR(RiskRegister[[#This Row],[Inherent Impact Rating]]*RiskRegister[[#This Row],[Inherent Likelihood Rating]],"-- Error --")</f>
        <v>-- Error --</v>
      </c>
      <c r="R825" s="16" t="s">
        <v>98</v>
      </c>
      <c r="T825" s="16" t="s">
        <v>99</v>
      </c>
      <c r="U825" s="17" t="e" cm="1">
        <f t="array" aca="1" ref="U825" ca="1">+U825:Y1019VLOOKUP(RiskRegister[[#This Row],[Residual Impact Level]],'Rating factors'!$F$4:$G$9,2,FALSE)</f>
        <v>#NAME?</v>
      </c>
      <c r="V825" s="16" t="s">
        <v>79</v>
      </c>
      <c r="W825" s="17" t="str">
        <f>VLOOKUP(RiskRegister[[#This Row],[Residual Likelihood Level]],'Rating factors'!$F$16:$G$21,2,FALSE)</f>
        <v>--- Error ---</v>
      </c>
      <c r="X825" s="17" t="str">
        <f ca="1">IFERROR(VLOOKUP(RiskRegister[[#This Row],[Residual Risk Rating]],'Rating factors'!$F$30:$G$44,2,FALSE),"-- Error --")</f>
        <v>-- Error --</v>
      </c>
      <c r="Y825" s="17" t="str">
        <f ca="1">IFERROR(RiskRegister[[#This Row],[Residual Impact Rating]]*RiskRegister[[#This Row],[Residual Likelihood Rating]],"-- Error --")</f>
        <v>-- Error --</v>
      </c>
      <c r="Z825" s="16" t="s">
        <v>100</v>
      </c>
      <c r="AB825" s="39"/>
      <c r="AD825" s="20"/>
    </row>
    <row r="826" spans="1:30" s="16" customFormat="1" hidden="1" x14ac:dyDescent="0.25">
      <c r="A826" s="16">
        <v>823</v>
      </c>
      <c r="G826" s="16" t="s">
        <v>77</v>
      </c>
      <c r="I826" s="16" t="s">
        <v>75</v>
      </c>
      <c r="L826" s="105" t="s">
        <v>99</v>
      </c>
      <c r="M826" s="17" t="str">
        <f>VLOOKUP(RiskRegister[[#This Row],[Inherent Impact LevelL3:L1020D1007L3:L1019]],'Rating factors'!$F$4:$G$9,2,FALSE)</f>
        <v>--- Error ---</v>
      </c>
      <c r="N826" s="16" t="s">
        <v>79</v>
      </c>
      <c r="O826" s="17" t="str">
        <f>VLOOKUP(RiskRegister[[#This Row],[Inherent Likelihood Level]],'Rating factors'!$F$16:$G$21,2,FALSE)</f>
        <v>--- Error ---</v>
      </c>
      <c r="P826" s="17" t="str">
        <f>IFERROR(VLOOKUP(RiskRegister[[#This Row],[Inherent Risk Rating]],'Rating factors'!$F$30:$G$44,2,FALSE),"-- Error --")</f>
        <v>-- Error --</v>
      </c>
      <c r="Q826" s="17" t="str">
        <f>IFERROR(RiskRegister[[#This Row],[Inherent Impact Rating]]*RiskRegister[[#This Row],[Inherent Likelihood Rating]],"-- Error --")</f>
        <v>-- Error --</v>
      </c>
      <c r="R826" s="16" t="s">
        <v>98</v>
      </c>
      <c r="T826" s="16" t="s">
        <v>99</v>
      </c>
      <c r="U826" s="17" t="e" cm="1">
        <f t="array" aca="1" ref="U826" ca="1">+U826:Y1019VLOOKUP(RiskRegister[[#This Row],[Residual Impact Level]],'Rating factors'!$F$4:$G$9,2,FALSE)</f>
        <v>#NAME?</v>
      </c>
      <c r="V826" s="16" t="s">
        <v>79</v>
      </c>
      <c r="W826" s="17" t="str">
        <f>VLOOKUP(RiskRegister[[#This Row],[Residual Likelihood Level]],'Rating factors'!$F$16:$G$21,2,FALSE)</f>
        <v>--- Error ---</v>
      </c>
      <c r="X826" s="17" t="str">
        <f ca="1">IFERROR(VLOOKUP(RiskRegister[[#This Row],[Residual Risk Rating]],'Rating factors'!$F$30:$G$44,2,FALSE),"-- Error --")</f>
        <v>-- Error --</v>
      </c>
      <c r="Y826" s="17" t="str">
        <f ca="1">IFERROR(RiskRegister[[#This Row],[Residual Impact Rating]]*RiskRegister[[#This Row],[Residual Likelihood Rating]],"-- Error --")</f>
        <v>-- Error --</v>
      </c>
      <c r="Z826" s="16" t="s">
        <v>100</v>
      </c>
      <c r="AB826" s="39"/>
      <c r="AD826" s="20"/>
    </row>
    <row r="827" spans="1:30" s="16" customFormat="1" hidden="1" x14ac:dyDescent="0.25">
      <c r="A827" s="16">
        <v>824</v>
      </c>
      <c r="G827" s="16" t="s">
        <v>77</v>
      </c>
      <c r="I827" s="16" t="s">
        <v>75</v>
      </c>
      <c r="L827" s="105" t="s">
        <v>99</v>
      </c>
      <c r="M827" s="17" t="str">
        <f>VLOOKUP(RiskRegister[[#This Row],[Inherent Impact LevelL3:L1020D1007L3:L1019]],'Rating factors'!$F$4:$G$9,2,FALSE)</f>
        <v>--- Error ---</v>
      </c>
      <c r="N827" s="16" t="s">
        <v>79</v>
      </c>
      <c r="O827" s="17" t="str">
        <f>VLOOKUP(RiskRegister[[#This Row],[Inherent Likelihood Level]],'Rating factors'!$F$16:$G$21,2,FALSE)</f>
        <v>--- Error ---</v>
      </c>
      <c r="P827" s="17" t="str">
        <f>IFERROR(VLOOKUP(RiskRegister[[#This Row],[Inherent Risk Rating]],'Rating factors'!$F$30:$G$44,2,FALSE),"-- Error --")</f>
        <v>-- Error --</v>
      </c>
      <c r="Q827" s="17" t="str">
        <f>IFERROR(RiskRegister[[#This Row],[Inherent Impact Rating]]*RiskRegister[[#This Row],[Inherent Likelihood Rating]],"-- Error --")</f>
        <v>-- Error --</v>
      </c>
      <c r="R827" s="16" t="s">
        <v>98</v>
      </c>
      <c r="T827" s="16" t="s">
        <v>99</v>
      </c>
      <c r="U827" s="17" t="e" cm="1">
        <f t="array" aca="1" ref="U827" ca="1">+U827:Y1019VLOOKUP(RiskRegister[[#This Row],[Residual Impact Level]],'Rating factors'!$F$4:$G$9,2,FALSE)</f>
        <v>#NAME?</v>
      </c>
      <c r="V827" s="16" t="s">
        <v>79</v>
      </c>
      <c r="W827" s="17" t="str">
        <f>VLOOKUP(RiskRegister[[#This Row],[Residual Likelihood Level]],'Rating factors'!$F$16:$G$21,2,FALSE)</f>
        <v>--- Error ---</v>
      </c>
      <c r="X827" s="17" t="str">
        <f ca="1">IFERROR(VLOOKUP(RiskRegister[[#This Row],[Residual Risk Rating]],'Rating factors'!$F$30:$G$44,2,FALSE),"-- Error --")</f>
        <v>-- Error --</v>
      </c>
      <c r="Y827" s="17" t="str">
        <f ca="1">IFERROR(RiskRegister[[#This Row],[Residual Impact Rating]]*RiskRegister[[#This Row],[Residual Likelihood Rating]],"-- Error --")</f>
        <v>-- Error --</v>
      </c>
      <c r="Z827" s="16" t="s">
        <v>100</v>
      </c>
      <c r="AB827" s="39"/>
      <c r="AD827" s="20"/>
    </row>
    <row r="828" spans="1:30" s="16" customFormat="1" hidden="1" x14ac:dyDescent="0.25">
      <c r="A828" s="16">
        <v>825</v>
      </c>
      <c r="G828" s="16" t="s">
        <v>77</v>
      </c>
      <c r="I828" s="16" t="s">
        <v>75</v>
      </c>
      <c r="L828" s="105" t="s">
        <v>99</v>
      </c>
      <c r="M828" s="17" t="str">
        <f>VLOOKUP(RiskRegister[[#This Row],[Inherent Impact LevelL3:L1020D1007L3:L1019]],'Rating factors'!$F$4:$G$9,2,FALSE)</f>
        <v>--- Error ---</v>
      </c>
      <c r="N828" s="16" t="s">
        <v>79</v>
      </c>
      <c r="O828" s="17" t="str">
        <f>VLOOKUP(RiskRegister[[#This Row],[Inherent Likelihood Level]],'Rating factors'!$F$16:$G$21,2,FALSE)</f>
        <v>--- Error ---</v>
      </c>
      <c r="P828" s="17" t="str">
        <f>IFERROR(VLOOKUP(RiskRegister[[#This Row],[Inherent Risk Rating]],'Rating factors'!$F$30:$G$44,2,FALSE),"-- Error --")</f>
        <v>-- Error --</v>
      </c>
      <c r="Q828" s="17" t="str">
        <f>IFERROR(RiskRegister[[#This Row],[Inherent Impact Rating]]*RiskRegister[[#This Row],[Inherent Likelihood Rating]],"-- Error --")</f>
        <v>-- Error --</v>
      </c>
      <c r="R828" s="16" t="s">
        <v>98</v>
      </c>
      <c r="T828" s="16" t="s">
        <v>99</v>
      </c>
      <c r="U828" s="17" t="e" cm="1">
        <f t="array" aca="1" ref="U828" ca="1">+U828:Y1019VLOOKUP(RiskRegister[[#This Row],[Residual Impact Level]],'Rating factors'!$F$4:$G$9,2,FALSE)</f>
        <v>#NAME?</v>
      </c>
      <c r="V828" s="16" t="s">
        <v>79</v>
      </c>
      <c r="W828" s="17" t="str">
        <f>VLOOKUP(RiskRegister[[#This Row],[Residual Likelihood Level]],'Rating factors'!$F$16:$G$21,2,FALSE)</f>
        <v>--- Error ---</v>
      </c>
      <c r="X828" s="17" t="str">
        <f ca="1">IFERROR(VLOOKUP(RiskRegister[[#This Row],[Residual Risk Rating]],'Rating factors'!$F$30:$G$44,2,FALSE),"-- Error --")</f>
        <v>-- Error --</v>
      </c>
      <c r="Y828" s="17" t="str">
        <f ca="1">IFERROR(RiskRegister[[#This Row],[Residual Impact Rating]]*RiskRegister[[#This Row],[Residual Likelihood Rating]],"-- Error --")</f>
        <v>-- Error --</v>
      </c>
      <c r="Z828" s="16" t="s">
        <v>100</v>
      </c>
      <c r="AB828" s="39"/>
      <c r="AD828" s="20"/>
    </row>
    <row r="829" spans="1:30" s="16" customFormat="1" hidden="1" x14ac:dyDescent="0.25">
      <c r="A829" s="16">
        <v>826</v>
      </c>
      <c r="G829" s="16" t="s">
        <v>77</v>
      </c>
      <c r="I829" s="16" t="s">
        <v>75</v>
      </c>
      <c r="L829" s="105" t="s">
        <v>99</v>
      </c>
      <c r="M829" s="17" t="str">
        <f>VLOOKUP(RiskRegister[[#This Row],[Inherent Impact LevelL3:L1020D1007L3:L1019]],'Rating factors'!$F$4:$G$9,2,FALSE)</f>
        <v>--- Error ---</v>
      </c>
      <c r="N829" s="16" t="s">
        <v>79</v>
      </c>
      <c r="O829" s="17" t="str">
        <f>VLOOKUP(RiskRegister[[#This Row],[Inherent Likelihood Level]],'Rating factors'!$F$16:$G$21,2,FALSE)</f>
        <v>--- Error ---</v>
      </c>
      <c r="P829" s="17" t="str">
        <f>IFERROR(VLOOKUP(RiskRegister[[#This Row],[Inherent Risk Rating]],'Rating factors'!$F$30:$G$44,2,FALSE),"-- Error --")</f>
        <v>-- Error --</v>
      </c>
      <c r="Q829" s="17" t="str">
        <f>IFERROR(RiskRegister[[#This Row],[Inherent Impact Rating]]*RiskRegister[[#This Row],[Inherent Likelihood Rating]],"-- Error --")</f>
        <v>-- Error --</v>
      </c>
      <c r="R829" s="16" t="s">
        <v>98</v>
      </c>
      <c r="T829" s="16" t="s">
        <v>99</v>
      </c>
      <c r="U829" s="17" t="e" cm="1">
        <f t="array" aca="1" ref="U829" ca="1">+U829:Y1019VLOOKUP(RiskRegister[[#This Row],[Residual Impact Level]],'Rating factors'!$F$4:$G$9,2,FALSE)</f>
        <v>#NAME?</v>
      </c>
      <c r="V829" s="16" t="s">
        <v>79</v>
      </c>
      <c r="W829" s="17" t="str">
        <f>VLOOKUP(RiskRegister[[#This Row],[Residual Likelihood Level]],'Rating factors'!$F$16:$G$21,2,FALSE)</f>
        <v>--- Error ---</v>
      </c>
      <c r="X829" s="17" t="str">
        <f ca="1">IFERROR(VLOOKUP(RiskRegister[[#This Row],[Residual Risk Rating]],'Rating factors'!$F$30:$G$44,2,FALSE),"-- Error --")</f>
        <v>-- Error --</v>
      </c>
      <c r="Y829" s="17" t="str">
        <f ca="1">IFERROR(RiskRegister[[#This Row],[Residual Impact Rating]]*RiskRegister[[#This Row],[Residual Likelihood Rating]],"-- Error --")</f>
        <v>-- Error --</v>
      </c>
      <c r="Z829" s="16" t="s">
        <v>100</v>
      </c>
      <c r="AB829" s="39"/>
      <c r="AD829" s="20"/>
    </row>
    <row r="830" spans="1:30" s="16" customFormat="1" hidden="1" x14ac:dyDescent="0.25">
      <c r="A830" s="16">
        <v>827</v>
      </c>
      <c r="G830" s="16" t="s">
        <v>77</v>
      </c>
      <c r="I830" s="16" t="s">
        <v>75</v>
      </c>
      <c r="L830" s="105" t="s">
        <v>99</v>
      </c>
      <c r="M830" s="17" t="str">
        <f>VLOOKUP(RiskRegister[[#This Row],[Inherent Impact LevelL3:L1020D1007L3:L1019]],'Rating factors'!$F$4:$G$9,2,FALSE)</f>
        <v>--- Error ---</v>
      </c>
      <c r="N830" s="16" t="s">
        <v>79</v>
      </c>
      <c r="O830" s="17" t="str">
        <f>VLOOKUP(RiskRegister[[#This Row],[Inherent Likelihood Level]],'Rating factors'!$F$16:$G$21,2,FALSE)</f>
        <v>--- Error ---</v>
      </c>
      <c r="P830" s="17" t="str">
        <f>IFERROR(VLOOKUP(RiskRegister[[#This Row],[Inherent Risk Rating]],'Rating factors'!$F$30:$G$44,2,FALSE),"-- Error --")</f>
        <v>-- Error --</v>
      </c>
      <c r="Q830" s="17" t="str">
        <f>IFERROR(RiskRegister[[#This Row],[Inherent Impact Rating]]*RiskRegister[[#This Row],[Inherent Likelihood Rating]],"-- Error --")</f>
        <v>-- Error --</v>
      </c>
      <c r="R830" s="16" t="s">
        <v>98</v>
      </c>
      <c r="T830" s="16" t="s">
        <v>99</v>
      </c>
      <c r="U830" s="17" t="e" cm="1">
        <f t="array" aca="1" ref="U830" ca="1">+U830:Y1019VLOOKUP(RiskRegister[[#This Row],[Residual Impact Level]],'Rating factors'!$F$4:$G$9,2,FALSE)</f>
        <v>#NAME?</v>
      </c>
      <c r="V830" s="16" t="s">
        <v>79</v>
      </c>
      <c r="W830" s="17" t="str">
        <f>VLOOKUP(RiskRegister[[#This Row],[Residual Likelihood Level]],'Rating factors'!$F$16:$G$21,2,FALSE)</f>
        <v>--- Error ---</v>
      </c>
      <c r="X830" s="17" t="str">
        <f ca="1">IFERROR(VLOOKUP(RiskRegister[[#This Row],[Residual Risk Rating]],'Rating factors'!$F$30:$G$44,2,FALSE),"-- Error --")</f>
        <v>-- Error --</v>
      </c>
      <c r="Y830" s="17" t="str">
        <f ca="1">IFERROR(RiskRegister[[#This Row],[Residual Impact Rating]]*RiskRegister[[#This Row],[Residual Likelihood Rating]],"-- Error --")</f>
        <v>-- Error --</v>
      </c>
      <c r="Z830" s="16" t="s">
        <v>100</v>
      </c>
      <c r="AB830" s="39"/>
      <c r="AD830" s="20"/>
    </row>
    <row r="831" spans="1:30" s="16" customFormat="1" hidden="1" x14ac:dyDescent="0.25">
      <c r="A831" s="16">
        <v>828</v>
      </c>
      <c r="G831" s="16" t="s">
        <v>77</v>
      </c>
      <c r="I831" s="16" t="s">
        <v>75</v>
      </c>
      <c r="L831" s="105" t="s">
        <v>99</v>
      </c>
      <c r="M831" s="17" t="str">
        <f>VLOOKUP(RiskRegister[[#This Row],[Inherent Impact LevelL3:L1020D1007L3:L1019]],'Rating factors'!$F$4:$G$9,2,FALSE)</f>
        <v>--- Error ---</v>
      </c>
      <c r="N831" s="16" t="s">
        <v>79</v>
      </c>
      <c r="O831" s="17" t="str">
        <f>VLOOKUP(RiskRegister[[#This Row],[Inherent Likelihood Level]],'Rating factors'!$F$16:$G$21,2,FALSE)</f>
        <v>--- Error ---</v>
      </c>
      <c r="P831" s="17" t="str">
        <f>IFERROR(VLOOKUP(RiskRegister[[#This Row],[Inherent Risk Rating]],'Rating factors'!$F$30:$G$44,2,FALSE),"-- Error --")</f>
        <v>-- Error --</v>
      </c>
      <c r="Q831" s="17" t="str">
        <f>IFERROR(RiskRegister[[#This Row],[Inherent Impact Rating]]*RiskRegister[[#This Row],[Inherent Likelihood Rating]],"-- Error --")</f>
        <v>-- Error --</v>
      </c>
      <c r="R831" s="16" t="s">
        <v>98</v>
      </c>
      <c r="T831" s="16" t="s">
        <v>99</v>
      </c>
      <c r="U831" s="17" t="e" cm="1">
        <f t="array" aca="1" ref="U831" ca="1">+U831:Y1019VLOOKUP(RiskRegister[[#This Row],[Residual Impact Level]],'Rating factors'!$F$4:$G$9,2,FALSE)</f>
        <v>#NAME?</v>
      </c>
      <c r="V831" s="16" t="s">
        <v>79</v>
      </c>
      <c r="W831" s="17" t="str">
        <f>VLOOKUP(RiskRegister[[#This Row],[Residual Likelihood Level]],'Rating factors'!$F$16:$G$21,2,FALSE)</f>
        <v>--- Error ---</v>
      </c>
      <c r="X831" s="17" t="str">
        <f ca="1">IFERROR(VLOOKUP(RiskRegister[[#This Row],[Residual Risk Rating]],'Rating factors'!$F$30:$G$44,2,FALSE),"-- Error --")</f>
        <v>-- Error --</v>
      </c>
      <c r="Y831" s="17" t="str">
        <f ca="1">IFERROR(RiskRegister[[#This Row],[Residual Impact Rating]]*RiskRegister[[#This Row],[Residual Likelihood Rating]],"-- Error --")</f>
        <v>-- Error --</v>
      </c>
      <c r="Z831" s="16" t="s">
        <v>100</v>
      </c>
      <c r="AB831" s="39"/>
      <c r="AD831" s="20"/>
    </row>
    <row r="832" spans="1:30" s="16" customFormat="1" hidden="1" x14ac:dyDescent="0.25">
      <c r="A832" s="16">
        <v>829</v>
      </c>
      <c r="G832" s="16" t="s">
        <v>77</v>
      </c>
      <c r="I832" s="16" t="s">
        <v>75</v>
      </c>
      <c r="L832" s="105" t="s">
        <v>99</v>
      </c>
      <c r="M832" s="17" t="str">
        <f>VLOOKUP(RiskRegister[[#This Row],[Inherent Impact LevelL3:L1020D1007L3:L1019]],'Rating factors'!$F$4:$G$9,2,FALSE)</f>
        <v>--- Error ---</v>
      </c>
      <c r="N832" s="16" t="s">
        <v>79</v>
      </c>
      <c r="O832" s="17" t="str">
        <f>VLOOKUP(RiskRegister[[#This Row],[Inherent Likelihood Level]],'Rating factors'!$F$16:$G$21,2,FALSE)</f>
        <v>--- Error ---</v>
      </c>
      <c r="P832" s="17" t="str">
        <f>IFERROR(VLOOKUP(RiskRegister[[#This Row],[Inherent Risk Rating]],'Rating factors'!$F$30:$G$44,2,FALSE),"-- Error --")</f>
        <v>-- Error --</v>
      </c>
      <c r="Q832" s="17" t="str">
        <f>IFERROR(RiskRegister[[#This Row],[Inherent Impact Rating]]*RiskRegister[[#This Row],[Inherent Likelihood Rating]],"-- Error --")</f>
        <v>-- Error --</v>
      </c>
      <c r="R832" s="16" t="s">
        <v>98</v>
      </c>
      <c r="T832" s="16" t="s">
        <v>99</v>
      </c>
      <c r="U832" s="17" t="e" cm="1">
        <f t="array" aca="1" ref="U832" ca="1">+U832:Y1019VLOOKUP(RiskRegister[[#This Row],[Residual Impact Level]],'Rating factors'!$F$4:$G$9,2,FALSE)</f>
        <v>#NAME?</v>
      </c>
      <c r="V832" s="16" t="s">
        <v>79</v>
      </c>
      <c r="W832" s="17" t="str">
        <f>VLOOKUP(RiskRegister[[#This Row],[Residual Likelihood Level]],'Rating factors'!$F$16:$G$21,2,FALSE)</f>
        <v>--- Error ---</v>
      </c>
      <c r="X832" s="17" t="str">
        <f ca="1">IFERROR(VLOOKUP(RiskRegister[[#This Row],[Residual Risk Rating]],'Rating factors'!$F$30:$G$44,2,FALSE),"-- Error --")</f>
        <v>-- Error --</v>
      </c>
      <c r="Y832" s="17" t="str">
        <f ca="1">IFERROR(RiskRegister[[#This Row],[Residual Impact Rating]]*RiskRegister[[#This Row],[Residual Likelihood Rating]],"-- Error --")</f>
        <v>-- Error --</v>
      </c>
      <c r="Z832" s="16" t="s">
        <v>100</v>
      </c>
      <c r="AB832" s="39"/>
      <c r="AD832" s="20"/>
    </row>
    <row r="833" spans="1:30" s="16" customFormat="1" hidden="1" x14ac:dyDescent="0.25">
      <c r="A833" s="16">
        <v>830</v>
      </c>
      <c r="G833" s="16" t="s">
        <v>77</v>
      </c>
      <c r="I833" s="16" t="s">
        <v>75</v>
      </c>
      <c r="L833" s="105" t="s">
        <v>99</v>
      </c>
      <c r="M833" s="17" t="str">
        <f>VLOOKUP(RiskRegister[[#This Row],[Inherent Impact LevelL3:L1020D1007L3:L1019]],'Rating factors'!$F$4:$G$9,2,FALSE)</f>
        <v>--- Error ---</v>
      </c>
      <c r="N833" s="16" t="s">
        <v>79</v>
      </c>
      <c r="O833" s="17" t="str">
        <f>VLOOKUP(RiskRegister[[#This Row],[Inherent Likelihood Level]],'Rating factors'!$F$16:$G$21,2,FALSE)</f>
        <v>--- Error ---</v>
      </c>
      <c r="P833" s="17" t="str">
        <f>IFERROR(VLOOKUP(RiskRegister[[#This Row],[Inherent Risk Rating]],'Rating factors'!$F$30:$G$44,2,FALSE),"-- Error --")</f>
        <v>-- Error --</v>
      </c>
      <c r="Q833" s="17" t="str">
        <f>IFERROR(RiskRegister[[#This Row],[Inherent Impact Rating]]*RiskRegister[[#This Row],[Inherent Likelihood Rating]],"-- Error --")</f>
        <v>-- Error --</v>
      </c>
      <c r="R833" s="16" t="s">
        <v>98</v>
      </c>
      <c r="T833" s="16" t="s">
        <v>99</v>
      </c>
      <c r="U833" s="17" t="e" cm="1">
        <f t="array" aca="1" ref="U833" ca="1">+U833:Y1019VLOOKUP(RiskRegister[[#This Row],[Residual Impact Level]],'Rating factors'!$F$4:$G$9,2,FALSE)</f>
        <v>#NAME?</v>
      </c>
      <c r="V833" s="16" t="s">
        <v>79</v>
      </c>
      <c r="W833" s="17" t="str">
        <f>VLOOKUP(RiskRegister[[#This Row],[Residual Likelihood Level]],'Rating factors'!$F$16:$G$21,2,FALSE)</f>
        <v>--- Error ---</v>
      </c>
      <c r="X833" s="17" t="str">
        <f ca="1">IFERROR(VLOOKUP(RiskRegister[[#This Row],[Residual Risk Rating]],'Rating factors'!$F$30:$G$44,2,FALSE),"-- Error --")</f>
        <v>-- Error --</v>
      </c>
      <c r="Y833" s="17" t="str">
        <f ca="1">IFERROR(RiskRegister[[#This Row],[Residual Impact Rating]]*RiskRegister[[#This Row],[Residual Likelihood Rating]],"-- Error --")</f>
        <v>-- Error --</v>
      </c>
      <c r="Z833" s="16" t="s">
        <v>100</v>
      </c>
      <c r="AB833" s="39"/>
      <c r="AD833" s="20"/>
    </row>
    <row r="834" spans="1:30" s="16" customFormat="1" hidden="1" x14ac:dyDescent="0.25">
      <c r="A834" s="16">
        <v>831</v>
      </c>
      <c r="G834" s="16" t="s">
        <v>77</v>
      </c>
      <c r="I834" s="16" t="s">
        <v>75</v>
      </c>
      <c r="L834" s="105" t="s">
        <v>99</v>
      </c>
      <c r="M834" s="17" t="str">
        <f>VLOOKUP(RiskRegister[[#This Row],[Inherent Impact LevelL3:L1020D1007L3:L1019]],'Rating factors'!$F$4:$G$9,2,FALSE)</f>
        <v>--- Error ---</v>
      </c>
      <c r="N834" s="16" t="s">
        <v>79</v>
      </c>
      <c r="O834" s="17" t="str">
        <f>VLOOKUP(RiskRegister[[#This Row],[Inherent Likelihood Level]],'Rating factors'!$F$16:$G$21,2,FALSE)</f>
        <v>--- Error ---</v>
      </c>
      <c r="P834" s="17" t="str">
        <f>IFERROR(VLOOKUP(RiskRegister[[#This Row],[Inherent Risk Rating]],'Rating factors'!$F$30:$G$44,2,FALSE),"-- Error --")</f>
        <v>-- Error --</v>
      </c>
      <c r="Q834" s="17" t="str">
        <f>IFERROR(RiskRegister[[#This Row],[Inherent Impact Rating]]*RiskRegister[[#This Row],[Inherent Likelihood Rating]],"-- Error --")</f>
        <v>-- Error --</v>
      </c>
      <c r="R834" s="16" t="s">
        <v>98</v>
      </c>
      <c r="T834" s="16" t="s">
        <v>99</v>
      </c>
      <c r="U834" s="17" t="e" cm="1">
        <f t="array" aca="1" ref="U834" ca="1">+U834:Y1019VLOOKUP(RiskRegister[[#This Row],[Residual Impact Level]],'Rating factors'!$F$4:$G$9,2,FALSE)</f>
        <v>#NAME?</v>
      </c>
      <c r="V834" s="16" t="s">
        <v>79</v>
      </c>
      <c r="W834" s="17" t="str">
        <f>VLOOKUP(RiskRegister[[#This Row],[Residual Likelihood Level]],'Rating factors'!$F$16:$G$21,2,FALSE)</f>
        <v>--- Error ---</v>
      </c>
      <c r="X834" s="17" t="str">
        <f ca="1">IFERROR(VLOOKUP(RiskRegister[[#This Row],[Residual Risk Rating]],'Rating factors'!$F$30:$G$44,2,FALSE),"-- Error --")</f>
        <v>-- Error --</v>
      </c>
      <c r="Y834" s="17" t="str">
        <f ca="1">IFERROR(RiskRegister[[#This Row],[Residual Impact Rating]]*RiskRegister[[#This Row],[Residual Likelihood Rating]],"-- Error --")</f>
        <v>-- Error --</v>
      </c>
      <c r="Z834" s="16" t="s">
        <v>100</v>
      </c>
      <c r="AB834" s="39"/>
      <c r="AD834" s="20"/>
    </row>
    <row r="835" spans="1:30" s="16" customFormat="1" hidden="1" x14ac:dyDescent="0.25">
      <c r="A835" s="16">
        <v>832</v>
      </c>
      <c r="G835" s="16" t="s">
        <v>77</v>
      </c>
      <c r="I835" s="16" t="s">
        <v>75</v>
      </c>
      <c r="L835" s="105" t="s">
        <v>99</v>
      </c>
      <c r="M835" s="17" t="str">
        <f>VLOOKUP(RiskRegister[[#This Row],[Inherent Impact LevelL3:L1020D1007L3:L1019]],'Rating factors'!$F$4:$G$9,2,FALSE)</f>
        <v>--- Error ---</v>
      </c>
      <c r="N835" s="16" t="s">
        <v>79</v>
      </c>
      <c r="O835" s="17" t="str">
        <f>VLOOKUP(RiskRegister[[#This Row],[Inherent Likelihood Level]],'Rating factors'!$F$16:$G$21,2,FALSE)</f>
        <v>--- Error ---</v>
      </c>
      <c r="P835" s="17" t="str">
        <f>IFERROR(VLOOKUP(RiskRegister[[#This Row],[Inherent Risk Rating]],'Rating factors'!$F$30:$G$44,2,FALSE),"-- Error --")</f>
        <v>-- Error --</v>
      </c>
      <c r="Q835" s="17" t="str">
        <f>IFERROR(RiskRegister[[#This Row],[Inherent Impact Rating]]*RiskRegister[[#This Row],[Inherent Likelihood Rating]],"-- Error --")</f>
        <v>-- Error --</v>
      </c>
      <c r="R835" s="16" t="s">
        <v>98</v>
      </c>
      <c r="T835" s="16" t="s">
        <v>99</v>
      </c>
      <c r="U835" s="17" t="e" cm="1">
        <f t="array" aca="1" ref="U835" ca="1">+U835:Y1019VLOOKUP(RiskRegister[[#This Row],[Residual Impact Level]],'Rating factors'!$F$4:$G$9,2,FALSE)</f>
        <v>#NAME?</v>
      </c>
      <c r="V835" s="16" t="s">
        <v>79</v>
      </c>
      <c r="W835" s="17" t="str">
        <f>VLOOKUP(RiskRegister[[#This Row],[Residual Likelihood Level]],'Rating factors'!$F$16:$G$21,2,FALSE)</f>
        <v>--- Error ---</v>
      </c>
      <c r="X835" s="17" t="str">
        <f ca="1">IFERROR(VLOOKUP(RiskRegister[[#This Row],[Residual Risk Rating]],'Rating factors'!$F$30:$G$44,2,FALSE),"-- Error --")</f>
        <v>-- Error --</v>
      </c>
      <c r="Y835" s="17" t="str">
        <f ca="1">IFERROR(RiskRegister[[#This Row],[Residual Impact Rating]]*RiskRegister[[#This Row],[Residual Likelihood Rating]],"-- Error --")</f>
        <v>-- Error --</v>
      </c>
      <c r="Z835" s="16" t="s">
        <v>100</v>
      </c>
      <c r="AB835" s="39"/>
      <c r="AD835" s="20"/>
    </row>
    <row r="836" spans="1:30" s="16" customFormat="1" hidden="1" x14ac:dyDescent="0.25">
      <c r="A836" s="16">
        <v>833</v>
      </c>
      <c r="G836" s="16" t="s">
        <v>77</v>
      </c>
      <c r="I836" s="16" t="s">
        <v>75</v>
      </c>
      <c r="L836" s="105" t="s">
        <v>99</v>
      </c>
      <c r="M836" s="17" t="str">
        <f>VLOOKUP(RiskRegister[[#This Row],[Inherent Impact LevelL3:L1020D1007L3:L1019]],'Rating factors'!$F$4:$G$9,2,FALSE)</f>
        <v>--- Error ---</v>
      </c>
      <c r="N836" s="16" t="s">
        <v>79</v>
      </c>
      <c r="O836" s="17" t="str">
        <f>VLOOKUP(RiskRegister[[#This Row],[Inherent Likelihood Level]],'Rating factors'!$F$16:$G$21,2,FALSE)</f>
        <v>--- Error ---</v>
      </c>
      <c r="P836" s="17" t="str">
        <f>IFERROR(VLOOKUP(RiskRegister[[#This Row],[Inherent Risk Rating]],'Rating factors'!$F$30:$G$44,2,FALSE),"-- Error --")</f>
        <v>-- Error --</v>
      </c>
      <c r="Q836" s="17" t="str">
        <f>IFERROR(RiskRegister[[#This Row],[Inherent Impact Rating]]*RiskRegister[[#This Row],[Inherent Likelihood Rating]],"-- Error --")</f>
        <v>-- Error --</v>
      </c>
      <c r="R836" s="16" t="s">
        <v>98</v>
      </c>
      <c r="T836" s="16" t="s">
        <v>99</v>
      </c>
      <c r="U836" s="17" t="e" cm="1">
        <f t="array" aca="1" ref="U836" ca="1">+U836:Y1019VLOOKUP(RiskRegister[[#This Row],[Residual Impact Level]],'Rating factors'!$F$4:$G$9,2,FALSE)</f>
        <v>#NAME?</v>
      </c>
      <c r="V836" s="16" t="s">
        <v>79</v>
      </c>
      <c r="W836" s="17" t="str">
        <f>VLOOKUP(RiskRegister[[#This Row],[Residual Likelihood Level]],'Rating factors'!$F$16:$G$21,2,FALSE)</f>
        <v>--- Error ---</v>
      </c>
      <c r="X836" s="17" t="str">
        <f ca="1">IFERROR(VLOOKUP(RiskRegister[[#This Row],[Residual Risk Rating]],'Rating factors'!$F$30:$G$44,2,FALSE),"-- Error --")</f>
        <v>-- Error --</v>
      </c>
      <c r="Y836" s="17" t="str">
        <f ca="1">IFERROR(RiskRegister[[#This Row],[Residual Impact Rating]]*RiskRegister[[#This Row],[Residual Likelihood Rating]],"-- Error --")</f>
        <v>-- Error --</v>
      </c>
      <c r="Z836" s="16" t="s">
        <v>100</v>
      </c>
      <c r="AB836" s="39"/>
      <c r="AD836" s="20"/>
    </row>
    <row r="837" spans="1:30" s="16" customFormat="1" hidden="1" x14ac:dyDescent="0.25">
      <c r="A837" s="16">
        <v>834</v>
      </c>
      <c r="G837" s="16" t="s">
        <v>77</v>
      </c>
      <c r="I837" s="16" t="s">
        <v>75</v>
      </c>
      <c r="L837" s="105" t="s">
        <v>99</v>
      </c>
      <c r="M837" s="17" t="str">
        <f>VLOOKUP(RiskRegister[[#This Row],[Inherent Impact LevelL3:L1020D1007L3:L1019]],'Rating factors'!$F$4:$G$9,2,FALSE)</f>
        <v>--- Error ---</v>
      </c>
      <c r="N837" s="16" t="s">
        <v>79</v>
      </c>
      <c r="O837" s="17" t="str">
        <f>VLOOKUP(RiskRegister[[#This Row],[Inherent Likelihood Level]],'Rating factors'!$F$16:$G$21,2,FALSE)</f>
        <v>--- Error ---</v>
      </c>
      <c r="P837" s="17" t="str">
        <f>IFERROR(VLOOKUP(RiskRegister[[#This Row],[Inherent Risk Rating]],'Rating factors'!$F$30:$G$44,2,FALSE),"-- Error --")</f>
        <v>-- Error --</v>
      </c>
      <c r="Q837" s="17" t="str">
        <f>IFERROR(RiskRegister[[#This Row],[Inherent Impact Rating]]*RiskRegister[[#This Row],[Inherent Likelihood Rating]],"-- Error --")</f>
        <v>-- Error --</v>
      </c>
      <c r="R837" s="16" t="s">
        <v>98</v>
      </c>
      <c r="T837" s="16" t="s">
        <v>99</v>
      </c>
      <c r="U837" s="17" t="e" cm="1">
        <f t="array" aca="1" ref="U837" ca="1">+U837:Y1019VLOOKUP(RiskRegister[[#This Row],[Residual Impact Level]],'Rating factors'!$F$4:$G$9,2,FALSE)</f>
        <v>#NAME?</v>
      </c>
      <c r="V837" s="16" t="s">
        <v>79</v>
      </c>
      <c r="W837" s="17" t="str">
        <f>VLOOKUP(RiskRegister[[#This Row],[Residual Likelihood Level]],'Rating factors'!$F$16:$G$21,2,FALSE)</f>
        <v>--- Error ---</v>
      </c>
      <c r="X837" s="17" t="str">
        <f ca="1">IFERROR(VLOOKUP(RiskRegister[[#This Row],[Residual Risk Rating]],'Rating factors'!$F$30:$G$44,2,FALSE),"-- Error --")</f>
        <v>-- Error --</v>
      </c>
      <c r="Y837" s="17" t="str">
        <f ca="1">IFERROR(RiskRegister[[#This Row],[Residual Impact Rating]]*RiskRegister[[#This Row],[Residual Likelihood Rating]],"-- Error --")</f>
        <v>-- Error --</v>
      </c>
      <c r="Z837" s="16" t="s">
        <v>100</v>
      </c>
      <c r="AB837" s="39"/>
      <c r="AD837" s="20"/>
    </row>
    <row r="838" spans="1:30" s="16" customFormat="1" hidden="1" x14ac:dyDescent="0.25">
      <c r="A838" s="16">
        <v>835</v>
      </c>
      <c r="G838" s="16" t="s">
        <v>77</v>
      </c>
      <c r="I838" s="16" t="s">
        <v>75</v>
      </c>
      <c r="L838" s="105" t="s">
        <v>99</v>
      </c>
      <c r="M838" s="17" t="str">
        <f>VLOOKUP(RiskRegister[[#This Row],[Inherent Impact LevelL3:L1020D1007L3:L1019]],'Rating factors'!$F$4:$G$9,2,FALSE)</f>
        <v>--- Error ---</v>
      </c>
      <c r="N838" s="16" t="s">
        <v>79</v>
      </c>
      <c r="O838" s="17" t="str">
        <f>VLOOKUP(RiskRegister[[#This Row],[Inherent Likelihood Level]],'Rating factors'!$F$16:$G$21,2,FALSE)</f>
        <v>--- Error ---</v>
      </c>
      <c r="P838" s="17" t="str">
        <f>IFERROR(VLOOKUP(RiskRegister[[#This Row],[Inherent Risk Rating]],'Rating factors'!$F$30:$G$44,2,FALSE),"-- Error --")</f>
        <v>-- Error --</v>
      </c>
      <c r="Q838" s="17" t="str">
        <f>IFERROR(RiskRegister[[#This Row],[Inherent Impact Rating]]*RiskRegister[[#This Row],[Inherent Likelihood Rating]],"-- Error --")</f>
        <v>-- Error --</v>
      </c>
      <c r="R838" s="16" t="s">
        <v>98</v>
      </c>
      <c r="T838" s="16" t="s">
        <v>99</v>
      </c>
      <c r="U838" s="17" t="e" cm="1">
        <f t="array" aca="1" ref="U838" ca="1">+U838:Y1019VLOOKUP(RiskRegister[[#This Row],[Residual Impact Level]],'Rating factors'!$F$4:$G$9,2,FALSE)</f>
        <v>#NAME?</v>
      </c>
      <c r="V838" s="16" t="s">
        <v>79</v>
      </c>
      <c r="W838" s="17" t="str">
        <f>VLOOKUP(RiskRegister[[#This Row],[Residual Likelihood Level]],'Rating factors'!$F$16:$G$21,2,FALSE)</f>
        <v>--- Error ---</v>
      </c>
      <c r="X838" s="17" t="str">
        <f ca="1">IFERROR(VLOOKUP(RiskRegister[[#This Row],[Residual Risk Rating]],'Rating factors'!$F$30:$G$44,2,FALSE),"-- Error --")</f>
        <v>-- Error --</v>
      </c>
      <c r="Y838" s="17" t="str">
        <f ca="1">IFERROR(RiskRegister[[#This Row],[Residual Impact Rating]]*RiskRegister[[#This Row],[Residual Likelihood Rating]],"-- Error --")</f>
        <v>-- Error --</v>
      </c>
      <c r="Z838" s="16" t="s">
        <v>100</v>
      </c>
      <c r="AB838" s="39"/>
      <c r="AD838" s="20"/>
    </row>
    <row r="839" spans="1:30" s="16" customFormat="1" hidden="1" x14ac:dyDescent="0.25">
      <c r="A839" s="16">
        <v>836</v>
      </c>
      <c r="G839" s="16" t="s">
        <v>77</v>
      </c>
      <c r="I839" s="16" t="s">
        <v>75</v>
      </c>
      <c r="L839" s="105" t="s">
        <v>99</v>
      </c>
      <c r="M839" s="17" t="str">
        <f>VLOOKUP(RiskRegister[[#This Row],[Inherent Impact LevelL3:L1020D1007L3:L1019]],'Rating factors'!$F$4:$G$9,2,FALSE)</f>
        <v>--- Error ---</v>
      </c>
      <c r="N839" s="16" t="s">
        <v>79</v>
      </c>
      <c r="O839" s="17" t="str">
        <f>VLOOKUP(RiskRegister[[#This Row],[Inherent Likelihood Level]],'Rating factors'!$F$16:$G$21,2,FALSE)</f>
        <v>--- Error ---</v>
      </c>
      <c r="P839" s="17" t="str">
        <f>IFERROR(VLOOKUP(RiskRegister[[#This Row],[Inherent Risk Rating]],'Rating factors'!$F$30:$G$44,2,FALSE),"-- Error --")</f>
        <v>-- Error --</v>
      </c>
      <c r="Q839" s="17" t="str">
        <f>IFERROR(RiskRegister[[#This Row],[Inherent Impact Rating]]*RiskRegister[[#This Row],[Inherent Likelihood Rating]],"-- Error --")</f>
        <v>-- Error --</v>
      </c>
      <c r="R839" s="16" t="s">
        <v>98</v>
      </c>
      <c r="T839" s="16" t="s">
        <v>99</v>
      </c>
      <c r="U839" s="17" t="e" cm="1">
        <f t="array" aca="1" ref="U839" ca="1">+U839:Y1019VLOOKUP(RiskRegister[[#This Row],[Residual Impact Level]],'Rating factors'!$F$4:$G$9,2,FALSE)</f>
        <v>#NAME?</v>
      </c>
      <c r="V839" s="16" t="s">
        <v>79</v>
      </c>
      <c r="W839" s="17" t="str">
        <f>VLOOKUP(RiskRegister[[#This Row],[Residual Likelihood Level]],'Rating factors'!$F$16:$G$21,2,FALSE)</f>
        <v>--- Error ---</v>
      </c>
      <c r="X839" s="17" t="str">
        <f ca="1">IFERROR(VLOOKUP(RiskRegister[[#This Row],[Residual Risk Rating]],'Rating factors'!$F$30:$G$44,2,FALSE),"-- Error --")</f>
        <v>-- Error --</v>
      </c>
      <c r="Y839" s="17" t="str">
        <f ca="1">IFERROR(RiskRegister[[#This Row],[Residual Impact Rating]]*RiskRegister[[#This Row],[Residual Likelihood Rating]],"-- Error --")</f>
        <v>-- Error --</v>
      </c>
      <c r="Z839" s="16" t="s">
        <v>100</v>
      </c>
      <c r="AB839" s="39"/>
      <c r="AD839" s="20"/>
    </row>
    <row r="840" spans="1:30" s="16" customFormat="1" hidden="1" x14ac:dyDescent="0.25">
      <c r="A840" s="16">
        <v>837</v>
      </c>
      <c r="G840" s="16" t="s">
        <v>77</v>
      </c>
      <c r="I840" s="16" t="s">
        <v>75</v>
      </c>
      <c r="L840" s="105" t="s">
        <v>99</v>
      </c>
      <c r="M840" s="17" t="str">
        <f>VLOOKUP(RiskRegister[[#This Row],[Inherent Impact LevelL3:L1020D1007L3:L1019]],'Rating factors'!$F$4:$G$9,2,FALSE)</f>
        <v>--- Error ---</v>
      </c>
      <c r="N840" s="16" t="s">
        <v>79</v>
      </c>
      <c r="O840" s="17" t="str">
        <f>VLOOKUP(RiskRegister[[#This Row],[Inherent Likelihood Level]],'Rating factors'!$F$16:$G$21,2,FALSE)</f>
        <v>--- Error ---</v>
      </c>
      <c r="P840" s="17" t="str">
        <f>IFERROR(VLOOKUP(RiskRegister[[#This Row],[Inherent Risk Rating]],'Rating factors'!$F$30:$G$44,2,FALSE),"-- Error --")</f>
        <v>-- Error --</v>
      </c>
      <c r="Q840" s="17" t="str">
        <f>IFERROR(RiskRegister[[#This Row],[Inherent Impact Rating]]*RiskRegister[[#This Row],[Inherent Likelihood Rating]],"-- Error --")</f>
        <v>-- Error --</v>
      </c>
      <c r="R840" s="16" t="s">
        <v>98</v>
      </c>
      <c r="T840" s="16" t="s">
        <v>99</v>
      </c>
      <c r="U840" s="17" t="e" cm="1">
        <f t="array" aca="1" ref="U840" ca="1">+U840:Y1019VLOOKUP(RiskRegister[[#This Row],[Residual Impact Level]],'Rating factors'!$F$4:$G$9,2,FALSE)</f>
        <v>#NAME?</v>
      </c>
      <c r="V840" s="16" t="s">
        <v>79</v>
      </c>
      <c r="W840" s="17" t="str">
        <f>VLOOKUP(RiskRegister[[#This Row],[Residual Likelihood Level]],'Rating factors'!$F$16:$G$21,2,FALSE)</f>
        <v>--- Error ---</v>
      </c>
      <c r="X840" s="17" t="str">
        <f ca="1">IFERROR(VLOOKUP(RiskRegister[[#This Row],[Residual Risk Rating]],'Rating factors'!$F$30:$G$44,2,FALSE),"-- Error --")</f>
        <v>-- Error --</v>
      </c>
      <c r="Y840" s="17" t="str">
        <f ca="1">IFERROR(RiskRegister[[#This Row],[Residual Impact Rating]]*RiskRegister[[#This Row],[Residual Likelihood Rating]],"-- Error --")</f>
        <v>-- Error --</v>
      </c>
      <c r="Z840" s="16" t="s">
        <v>100</v>
      </c>
      <c r="AB840" s="39"/>
      <c r="AD840" s="20"/>
    </row>
    <row r="841" spans="1:30" s="16" customFormat="1" hidden="1" x14ac:dyDescent="0.25">
      <c r="A841" s="16">
        <v>838</v>
      </c>
      <c r="G841" s="16" t="s">
        <v>77</v>
      </c>
      <c r="I841" s="16" t="s">
        <v>75</v>
      </c>
      <c r="L841" s="105" t="s">
        <v>99</v>
      </c>
      <c r="M841" s="17" t="str">
        <f>VLOOKUP(RiskRegister[[#This Row],[Inherent Impact LevelL3:L1020D1007L3:L1019]],'Rating factors'!$F$4:$G$9,2,FALSE)</f>
        <v>--- Error ---</v>
      </c>
      <c r="N841" s="16" t="s">
        <v>79</v>
      </c>
      <c r="O841" s="17" t="str">
        <f>VLOOKUP(RiskRegister[[#This Row],[Inherent Likelihood Level]],'Rating factors'!$F$16:$G$21,2,FALSE)</f>
        <v>--- Error ---</v>
      </c>
      <c r="P841" s="17" t="str">
        <f>IFERROR(VLOOKUP(RiskRegister[[#This Row],[Inherent Risk Rating]],'Rating factors'!$F$30:$G$44,2,FALSE),"-- Error --")</f>
        <v>-- Error --</v>
      </c>
      <c r="Q841" s="17" t="str">
        <f>IFERROR(RiskRegister[[#This Row],[Inherent Impact Rating]]*RiskRegister[[#This Row],[Inherent Likelihood Rating]],"-- Error --")</f>
        <v>-- Error --</v>
      </c>
      <c r="R841" s="16" t="s">
        <v>98</v>
      </c>
      <c r="T841" s="16" t="s">
        <v>99</v>
      </c>
      <c r="U841" s="17" t="e" cm="1">
        <f t="array" aca="1" ref="U841" ca="1">+U841:Y1019VLOOKUP(RiskRegister[[#This Row],[Residual Impact Level]],'Rating factors'!$F$4:$G$9,2,FALSE)</f>
        <v>#NAME?</v>
      </c>
      <c r="V841" s="16" t="s">
        <v>79</v>
      </c>
      <c r="W841" s="17" t="str">
        <f>VLOOKUP(RiskRegister[[#This Row],[Residual Likelihood Level]],'Rating factors'!$F$16:$G$21,2,FALSE)</f>
        <v>--- Error ---</v>
      </c>
      <c r="X841" s="17" t="str">
        <f ca="1">IFERROR(VLOOKUP(RiskRegister[[#This Row],[Residual Risk Rating]],'Rating factors'!$F$30:$G$44,2,FALSE),"-- Error --")</f>
        <v>-- Error --</v>
      </c>
      <c r="Y841" s="17" t="str">
        <f ca="1">IFERROR(RiskRegister[[#This Row],[Residual Impact Rating]]*RiskRegister[[#This Row],[Residual Likelihood Rating]],"-- Error --")</f>
        <v>-- Error --</v>
      </c>
      <c r="Z841" s="16" t="s">
        <v>100</v>
      </c>
      <c r="AB841" s="39"/>
      <c r="AD841" s="20"/>
    </row>
    <row r="842" spans="1:30" s="16" customFormat="1" hidden="1" x14ac:dyDescent="0.25">
      <c r="A842" s="16">
        <v>839</v>
      </c>
      <c r="G842" s="16" t="s">
        <v>77</v>
      </c>
      <c r="I842" s="16" t="s">
        <v>75</v>
      </c>
      <c r="L842" s="105" t="s">
        <v>99</v>
      </c>
      <c r="M842" s="17" t="str">
        <f>VLOOKUP(RiskRegister[[#This Row],[Inherent Impact LevelL3:L1020D1007L3:L1019]],'Rating factors'!$F$4:$G$9,2,FALSE)</f>
        <v>--- Error ---</v>
      </c>
      <c r="N842" s="16" t="s">
        <v>79</v>
      </c>
      <c r="O842" s="17" t="str">
        <f>VLOOKUP(RiskRegister[[#This Row],[Inherent Likelihood Level]],'Rating factors'!$F$16:$G$21,2,FALSE)</f>
        <v>--- Error ---</v>
      </c>
      <c r="P842" s="17" t="str">
        <f>IFERROR(VLOOKUP(RiskRegister[[#This Row],[Inherent Risk Rating]],'Rating factors'!$F$30:$G$44,2,FALSE),"-- Error --")</f>
        <v>-- Error --</v>
      </c>
      <c r="Q842" s="17" t="str">
        <f>IFERROR(RiskRegister[[#This Row],[Inherent Impact Rating]]*RiskRegister[[#This Row],[Inherent Likelihood Rating]],"-- Error --")</f>
        <v>-- Error --</v>
      </c>
      <c r="R842" s="16" t="s">
        <v>98</v>
      </c>
      <c r="T842" s="16" t="s">
        <v>99</v>
      </c>
      <c r="U842" s="17" t="e" cm="1">
        <f t="array" aca="1" ref="U842" ca="1">+U842:Y1019VLOOKUP(RiskRegister[[#This Row],[Residual Impact Level]],'Rating factors'!$F$4:$G$9,2,FALSE)</f>
        <v>#NAME?</v>
      </c>
      <c r="V842" s="16" t="s">
        <v>79</v>
      </c>
      <c r="W842" s="17" t="str">
        <f>VLOOKUP(RiskRegister[[#This Row],[Residual Likelihood Level]],'Rating factors'!$F$16:$G$21,2,FALSE)</f>
        <v>--- Error ---</v>
      </c>
      <c r="X842" s="17" t="str">
        <f ca="1">IFERROR(VLOOKUP(RiskRegister[[#This Row],[Residual Risk Rating]],'Rating factors'!$F$30:$G$44,2,FALSE),"-- Error --")</f>
        <v>-- Error --</v>
      </c>
      <c r="Y842" s="17" t="str">
        <f ca="1">IFERROR(RiskRegister[[#This Row],[Residual Impact Rating]]*RiskRegister[[#This Row],[Residual Likelihood Rating]],"-- Error --")</f>
        <v>-- Error --</v>
      </c>
      <c r="Z842" s="16" t="s">
        <v>100</v>
      </c>
      <c r="AB842" s="39"/>
      <c r="AD842" s="20"/>
    </row>
    <row r="843" spans="1:30" s="16" customFormat="1" hidden="1" x14ac:dyDescent="0.25">
      <c r="A843" s="16">
        <v>840</v>
      </c>
      <c r="G843" s="16" t="s">
        <v>77</v>
      </c>
      <c r="I843" s="16" t="s">
        <v>75</v>
      </c>
      <c r="L843" s="105" t="s">
        <v>99</v>
      </c>
      <c r="M843" s="17" t="str">
        <f>VLOOKUP(RiskRegister[[#This Row],[Inherent Impact LevelL3:L1020D1007L3:L1019]],'Rating factors'!$F$4:$G$9,2,FALSE)</f>
        <v>--- Error ---</v>
      </c>
      <c r="N843" s="16" t="s">
        <v>79</v>
      </c>
      <c r="O843" s="17" t="str">
        <f>VLOOKUP(RiskRegister[[#This Row],[Inherent Likelihood Level]],'Rating factors'!$F$16:$G$21,2,FALSE)</f>
        <v>--- Error ---</v>
      </c>
      <c r="P843" s="17" t="str">
        <f>IFERROR(VLOOKUP(RiskRegister[[#This Row],[Inherent Risk Rating]],'Rating factors'!$F$30:$G$44,2,FALSE),"-- Error --")</f>
        <v>-- Error --</v>
      </c>
      <c r="Q843" s="17" t="str">
        <f>IFERROR(RiskRegister[[#This Row],[Inherent Impact Rating]]*RiskRegister[[#This Row],[Inherent Likelihood Rating]],"-- Error --")</f>
        <v>-- Error --</v>
      </c>
      <c r="R843" s="16" t="s">
        <v>98</v>
      </c>
      <c r="T843" s="16" t="s">
        <v>99</v>
      </c>
      <c r="U843" s="17" t="e" cm="1">
        <f t="array" aca="1" ref="U843" ca="1">+U843:Y1019VLOOKUP(RiskRegister[[#This Row],[Residual Impact Level]],'Rating factors'!$F$4:$G$9,2,FALSE)</f>
        <v>#NAME?</v>
      </c>
      <c r="V843" s="16" t="s">
        <v>79</v>
      </c>
      <c r="W843" s="17" t="str">
        <f>VLOOKUP(RiskRegister[[#This Row],[Residual Likelihood Level]],'Rating factors'!$F$16:$G$21,2,FALSE)</f>
        <v>--- Error ---</v>
      </c>
      <c r="X843" s="17" t="str">
        <f ca="1">IFERROR(VLOOKUP(RiskRegister[[#This Row],[Residual Risk Rating]],'Rating factors'!$F$30:$G$44,2,FALSE),"-- Error --")</f>
        <v>-- Error --</v>
      </c>
      <c r="Y843" s="17" t="str">
        <f ca="1">IFERROR(RiskRegister[[#This Row],[Residual Impact Rating]]*RiskRegister[[#This Row],[Residual Likelihood Rating]],"-- Error --")</f>
        <v>-- Error --</v>
      </c>
      <c r="Z843" s="16" t="s">
        <v>100</v>
      </c>
      <c r="AB843" s="39"/>
      <c r="AD843" s="20"/>
    </row>
    <row r="844" spans="1:30" s="16" customFormat="1" hidden="1" x14ac:dyDescent="0.25">
      <c r="A844" s="16">
        <v>841</v>
      </c>
      <c r="G844" s="16" t="s">
        <v>77</v>
      </c>
      <c r="I844" s="16" t="s">
        <v>75</v>
      </c>
      <c r="L844" s="105" t="s">
        <v>99</v>
      </c>
      <c r="M844" s="17" t="str">
        <f>VLOOKUP(RiskRegister[[#This Row],[Inherent Impact LevelL3:L1020D1007L3:L1019]],'Rating factors'!$F$4:$G$9,2,FALSE)</f>
        <v>--- Error ---</v>
      </c>
      <c r="N844" s="16" t="s">
        <v>79</v>
      </c>
      <c r="O844" s="17" t="str">
        <f>VLOOKUP(RiskRegister[[#This Row],[Inherent Likelihood Level]],'Rating factors'!$F$16:$G$21,2,FALSE)</f>
        <v>--- Error ---</v>
      </c>
      <c r="P844" s="17" t="str">
        <f>IFERROR(VLOOKUP(RiskRegister[[#This Row],[Inherent Risk Rating]],'Rating factors'!$F$30:$G$44,2,FALSE),"-- Error --")</f>
        <v>-- Error --</v>
      </c>
      <c r="Q844" s="17" t="str">
        <f>IFERROR(RiskRegister[[#This Row],[Inherent Impact Rating]]*RiskRegister[[#This Row],[Inherent Likelihood Rating]],"-- Error --")</f>
        <v>-- Error --</v>
      </c>
      <c r="R844" s="16" t="s">
        <v>98</v>
      </c>
      <c r="T844" s="16" t="s">
        <v>99</v>
      </c>
      <c r="U844" s="17" t="e" cm="1">
        <f t="array" aca="1" ref="U844" ca="1">+U844:Y1019VLOOKUP(RiskRegister[[#This Row],[Residual Impact Level]],'Rating factors'!$F$4:$G$9,2,FALSE)</f>
        <v>#NAME?</v>
      </c>
      <c r="V844" s="16" t="s">
        <v>79</v>
      </c>
      <c r="W844" s="17" t="str">
        <f>VLOOKUP(RiskRegister[[#This Row],[Residual Likelihood Level]],'Rating factors'!$F$16:$G$21,2,FALSE)</f>
        <v>--- Error ---</v>
      </c>
      <c r="X844" s="17" t="str">
        <f ca="1">IFERROR(VLOOKUP(RiskRegister[[#This Row],[Residual Risk Rating]],'Rating factors'!$F$30:$G$44,2,FALSE),"-- Error --")</f>
        <v>-- Error --</v>
      </c>
      <c r="Y844" s="17" t="str">
        <f ca="1">IFERROR(RiskRegister[[#This Row],[Residual Impact Rating]]*RiskRegister[[#This Row],[Residual Likelihood Rating]],"-- Error --")</f>
        <v>-- Error --</v>
      </c>
      <c r="Z844" s="16" t="s">
        <v>100</v>
      </c>
      <c r="AB844" s="39"/>
      <c r="AD844" s="20"/>
    </row>
    <row r="845" spans="1:30" s="16" customFormat="1" hidden="1" x14ac:dyDescent="0.25">
      <c r="A845" s="16">
        <v>842</v>
      </c>
      <c r="G845" s="16" t="s">
        <v>77</v>
      </c>
      <c r="I845" s="16" t="s">
        <v>75</v>
      </c>
      <c r="L845" s="105" t="s">
        <v>99</v>
      </c>
      <c r="M845" s="17" t="str">
        <f>VLOOKUP(RiskRegister[[#This Row],[Inherent Impact LevelL3:L1020D1007L3:L1019]],'Rating factors'!$F$4:$G$9,2,FALSE)</f>
        <v>--- Error ---</v>
      </c>
      <c r="N845" s="16" t="s">
        <v>79</v>
      </c>
      <c r="O845" s="17" t="str">
        <f>VLOOKUP(RiskRegister[[#This Row],[Inherent Likelihood Level]],'Rating factors'!$F$16:$G$21,2,FALSE)</f>
        <v>--- Error ---</v>
      </c>
      <c r="P845" s="17" t="str">
        <f>IFERROR(VLOOKUP(RiskRegister[[#This Row],[Inherent Risk Rating]],'Rating factors'!$F$30:$G$44,2,FALSE),"-- Error --")</f>
        <v>-- Error --</v>
      </c>
      <c r="Q845" s="17" t="str">
        <f>IFERROR(RiskRegister[[#This Row],[Inherent Impact Rating]]*RiskRegister[[#This Row],[Inherent Likelihood Rating]],"-- Error --")</f>
        <v>-- Error --</v>
      </c>
      <c r="R845" s="16" t="s">
        <v>98</v>
      </c>
      <c r="T845" s="16" t="s">
        <v>99</v>
      </c>
      <c r="U845" s="17" t="e" cm="1">
        <f t="array" aca="1" ref="U845" ca="1">+U845:Y1019VLOOKUP(RiskRegister[[#This Row],[Residual Impact Level]],'Rating factors'!$F$4:$G$9,2,FALSE)</f>
        <v>#NAME?</v>
      </c>
      <c r="V845" s="16" t="s">
        <v>79</v>
      </c>
      <c r="W845" s="17" t="str">
        <f>VLOOKUP(RiskRegister[[#This Row],[Residual Likelihood Level]],'Rating factors'!$F$16:$G$21,2,FALSE)</f>
        <v>--- Error ---</v>
      </c>
      <c r="X845" s="17" t="str">
        <f ca="1">IFERROR(VLOOKUP(RiskRegister[[#This Row],[Residual Risk Rating]],'Rating factors'!$F$30:$G$44,2,FALSE),"-- Error --")</f>
        <v>-- Error --</v>
      </c>
      <c r="Y845" s="17" t="str">
        <f ca="1">IFERROR(RiskRegister[[#This Row],[Residual Impact Rating]]*RiskRegister[[#This Row],[Residual Likelihood Rating]],"-- Error --")</f>
        <v>-- Error --</v>
      </c>
      <c r="Z845" s="16" t="s">
        <v>100</v>
      </c>
      <c r="AB845" s="39"/>
      <c r="AD845" s="20"/>
    </row>
    <row r="846" spans="1:30" s="16" customFormat="1" hidden="1" x14ac:dyDescent="0.25">
      <c r="A846" s="16">
        <v>843</v>
      </c>
      <c r="G846" s="16" t="s">
        <v>77</v>
      </c>
      <c r="I846" s="16" t="s">
        <v>75</v>
      </c>
      <c r="L846" s="105" t="s">
        <v>99</v>
      </c>
      <c r="M846" s="17" t="str">
        <f>VLOOKUP(RiskRegister[[#This Row],[Inherent Impact LevelL3:L1020D1007L3:L1019]],'Rating factors'!$F$4:$G$9,2,FALSE)</f>
        <v>--- Error ---</v>
      </c>
      <c r="N846" s="16" t="s">
        <v>79</v>
      </c>
      <c r="O846" s="17" t="str">
        <f>VLOOKUP(RiskRegister[[#This Row],[Inherent Likelihood Level]],'Rating factors'!$F$16:$G$21,2,FALSE)</f>
        <v>--- Error ---</v>
      </c>
      <c r="P846" s="17" t="str">
        <f>IFERROR(VLOOKUP(RiskRegister[[#This Row],[Inherent Risk Rating]],'Rating factors'!$F$30:$G$44,2,FALSE),"-- Error --")</f>
        <v>-- Error --</v>
      </c>
      <c r="Q846" s="17" t="str">
        <f>IFERROR(RiskRegister[[#This Row],[Inherent Impact Rating]]*RiskRegister[[#This Row],[Inherent Likelihood Rating]],"-- Error --")</f>
        <v>-- Error --</v>
      </c>
      <c r="R846" s="16" t="s">
        <v>98</v>
      </c>
      <c r="T846" s="16" t="s">
        <v>99</v>
      </c>
      <c r="U846" s="17" t="e" cm="1">
        <f t="array" aca="1" ref="U846" ca="1">+U846:Y1019VLOOKUP(RiskRegister[[#This Row],[Residual Impact Level]],'Rating factors'!$F$4:$G$9,2,FALSE)</f>
        <v>#NAME?</v>
      </c>
      <c r="V846" s="16" t="s">
        <v>79</v>
      </c>
      <c r="W846" s="17" t="str">
        <f>VLOOKUP(RiskRegister[[#This Row],[Residual Likelihood Level]],'Rating factors'!$F$16:$G$21,2,FALSE)</f>
        <v>--- Error ---</v>
      </c>
      <c r="X846" s="17" t="str">
        <f ca="1">IFERROR(VLOOKUP(RiskRegister[[#This Row],[Residual Risk Rating]],'Rating factors'!$F$30:$G$44,2,FALSE),"-- Error --")</f>
        <v>-- Error --</v>
      </c>
      <c r="Y846" s="17" t="str">
        <f ca="1">IFERROR(RiskRegister[[#This Row],[Residual Impact Rating]]*RiskRegister[[#This Row],[Residual Likelihood Rating]],"-- Error --")</f>
        <v>-- Error --</v>
      </c>
      <c r="Z846" s="16" t="s">
        <v>100</v>
      </c>
      <c r="AB846" s="39"/>
      <c r="AD846" s="20"/>
    </row>
    <row r="847" spans="1:30" s="16" customFormat="1" hidden="1" x14ac:dyDescent="0.25">
      <c r="A847" s="16">
        <v>844</v>
      </c>
      <c r="G847" s="16" t="s">
        <v>77</v>
      </c>
      <c r="I847" s="16" t="s">
        <v>75</v>
      </c>
      <c r="L847" s="105" t="s">
        <v>99</v>
      </c>
      <c r="M847" s="17" t="str">
        <f>VLOOKUP(RiskRegister[[#This Row],[Inherent Impact LevelL3:L1020D1007L3:L1019]],'Rating factors'!$F$4:$G$9,2,FALSE)</f>
        <v>--- Error ---</v>
      </c>
      <c r="N847" s="16" t="s">
        <v>79</v>
      </c>
      <c r="O847" s="17" t="str">
        <f>VLOOKUP(RiskRegister[[#This Row],[Inherent Likelihood Level]],'Rating factors'!$F$16:$G$21,2,FALSE)</f>
        <v>--- Error ---</v>
      </c>
      <c r="P847" s="17" t="str">
        <f>IFERROR(VLOOKUP(RiskRegister[[#This Row],[Inherent Risk Rating]],'Rating factors'!$F$30:$G$44,2,FALSE),"-- Error --")</f>
        <v>-- Error --</v>
      </c>
      <c r="Q847" s="17" t="str">
        <f>IFERROR(RiskRegister[[#This Row],[Inherent Impact Rating]]*RiskRegister[[#This Row],[Inherent Likelihood Rating]],"-- Error --")</f>
        <v>-- Error --</v>
      </c>
      <c r="R847" s="16" t="s">
        <v>98</v>
      </c>
      <c r="T847" s="16" t="s">
        <v>99</v>
      </c>
      <c r="U847" s="17" t="e" cm="1">
        <f t="array" aca="1" ref="U847" ca="1">+U847:Y1019VLOOKUP(RiskRegister[[#This Row],[Residual Impact Level]],'Rating factors'!$F$4:$G$9,2,FALSE)</f>
        <v>#NAME?</v>
      </c>
      <c r="V847" s="16" t="s">
        <v>79</v>
      </c>
      <c r="W847" s="17" t="str">
        <f>VLOOKUP(RiskRegister[[#This Row],[Residual Likelihood Level]],'Rating factors'!$F$16:$G$21,2,FALSE)</f>
        <v>--- Error ---</v>
      </c>
      <c r="X847" s="17" t="str">
        <f ca="1">IFERROR(VLOOKUP(RiskRegister[[#This Row],[Residual Risk Rating]],'Rating factors'!$F$30:$G$44,2,FALSE),"-- Error --")</f>
        <v>-- Error --</v>
      </c>
      <c r="Y847" s="17" t="str">
        <f ca="1">IFERROR(RiskRegister[[#This Row],[Residual Impact Rating]]*RiskRegister[[#This Row],[Residual Likelihood Rating]],"-- Error --")</f>
        <v>-- Error --</v>
      </c>
      <c r="Z847" s="16" t="s">
        <v>100</v>
      </c>
      <c r="AB847" s="39"/>
      <c r="AD847" s="20"/>
    </row>
    <row r="848" spans="1:30" s="16" customFormat="1" hidden="1" x14ac:dyDescent="0.25">
      <c r="A848" s="16">
        <v>845</v>
      </c>
      <c r="G848" s="16" t="s">
        <v>77</v>
      </c>
      <c r="I848" s="16" t="s">
        <v>75</v>
      </c>
      <c r="L848" s="105" t="s">
        <v>99</v>
      </c>
      <c r="M848" s="17" t="str">
        <f>VLOOKUP(RiskRegister[[#This Row],[Inherent Impact LevelL3:L1020D1007L3:L1019]],'Rating factors'!$F$4:$G$9,2,FALSE)</f>
        <v>--- Error ---</v>
      </c>
      <c r="N848" s="16" t="s">
        <v>79</v>
      </c>
      <c r="O848" s="17" t="str">
        <f>VLOOKUP(RiskRegister[[#This Row],[Inherent Likelihood Level]],'Rating factors'!$F$16:$G$21,2,FALSE)</f>
        <v>--- Error ---</v>
      </c>
      <c r="P848" s="17" t="str">
        <f>IFERROR(VLOOKUP(RiskRegister[[#This Row],[Inherent Risk Rating]],'Rating factors'!$F$30:$G$44,2,FALSE),"-- Error --")</f>
        <v>-- Error --</v>
      </c>
      <c r="Q848" s="17" t="str">
        <f>IFERROR(RiskRegister[[#This Row],[Inherent Impact Rating]]*RiskRegister[[#This Row],[Inherent Likelihood Rating]],"-- Error --")</f>
        <v>-- Error --</v>
      </c>
      <c r="R848" s="16" t="s">
        <v>98</v>
      </c>
      <c r="T848" s="16" t="s">
        <v>99</v>
      </c>
      <c r="U848" s="17" t="e" cm="1">
        <f t="array" aca="1" ref="U848" ca="1">+U848:Y1019VLOOKUP(RiskRegister[[#This Row],[Residual Impact Level]],'Rating factors'!$F$4:$G$9,2,FALSE)</f>
        <v>#NAME?</v>
      </c>
      <c r="V848" s="16" t="s">
        <v>79</v>
      </c>
      <c r="W848" s="17" t="str">
        <f>VLOOKUP(RiskRegister[[#This Row],[Residual Likelihood Level]],'Rating factors'!$F$16:$G$21,2,FALSE)</f>
        <v>--- Error ---</v>
      </c>
      <c r="X848" s="17" t="str">
        <f ca="1">IFERROR(VLOOKUP(RiskRegister[[#This Row],[Residual Risk Rating]],'Rating factors'!$F$30:$G$44,2,FALSE),"-- Error --")</f>
        <v>-- Error --</v>
      </c>
      <c r="Y848" s="17" t="str">
        <f ca="1">IFERROR(RiskRegister[[#This Row],[Residual Impact Rating]]*RiskRegister[[#This Row],[Residual Likelihood Rating]],"-- Error --")</f>
        <v>-- Error --</v>
      </c>
      <c r="Z848" s="16" t="s">
        <v>100</v>
      </c>
      <c r="AB848" s="39"/>
      <c r="AD848" s="20"/>
    </row>
    <row r="849" spans="1:30" s="16" customFormat="1" hidden="1" x14ac:dyDescent="0.25">
      <c r="A849" s="16">
        <v>846</v>
      </c>
      <c r="G849" s="16" t="s">
        <v>77</v>
      </c>
      <c r="I849" s="16" t="s">
        <v>75</v>
      </c>
      <c r="L849" s="105" t="s">
        <v>99</v>
      </c>
      <c r="M849" s="17" t="str">
        <f>VLOOKUP(RiskRegister[[#This Row],[Inherent Impact LevelL3:L1020D1007L3:L1019]],'Rating factors'!$F$4:$G$9,2,FALSE)</f>
        <v>--- Error ---</v>
      </c>
      <c r="N849" s="16" t="s">
        <v>79</v>
      </c>
      <c r="O849" s="17" t="str">
        <f>VLOOKUP(RiskRegister[[#This Row],[Inherent Likelihood Level]],'Rating factors'!$F$16:$G$21,2,FALSE)</f>
        <v>--- Error ---</v>
      </c>
      <c r="P849" s="17" t="str">
        <f>IFERROR(VLOOKUP(RiskRegister[[#This Row],[Inherent Risk Rating]],'Rating factors'!$F$30:$G$44,2,FALSE),"-- Error --")</f>
        <v>-- Error --</v>
      </c>
      <c r="Q849" s="17" t="str">
        <f>IFERROR(RiskRegister[[#This Row],[Inherent Impact Rating]]*RiskRegister[[#This Row],[Inherent Likelihood Rating]],"-- Error --")</f>
        <v>-- Error --</v>
      </c>
      <c r="R849" s="16" t="s">
        <v>98</v>
      </c>
      <c r="T849" s="16" t="s">
        <v>99</v>
      </c>
      <c r="U849" s="17" t="e" cm="1">
        <f t="array" aca="1" ref="U849" ca="1">+U849:Y1019VLOOKUP(RiskRegister[[#This Row],[Residual Impact Level]],'Rating factors'!$F$4:$G$9,2,FALSE)</f>
        <v>#NAME?</v>
      </c>
      <c r="V849" s="16" t="s">
        <v>79</v>
      </c>
      <c r="W849" s="17" t="str">
        <f>VLOOKUP(RiskRegister[[#This Row],[Residual Likelihood Level]],'Rating factors'!$F$16:$G$21,2,FALSE)</f>
        <v>--- Error ---</v>
      </c>
      <c r="X849" s="17" t="str">
        <f ca="1">IFERROR(VLOOKUP(RiskRegister[[#This Row],[Residual Risk Rating]],'Rating factors'!$F$30:$G$44,2,FALSE),"-- Error --")</f>
        <v>-- Error --</v>
      </c>
      <c r="Y849" s="17" t="str">
        <f ca="1">IFERROR(RiskRegister[[#This Row],[Residual Impact Rating]]*RiskRegister[[#This Row],[Residual Likelihood Rating]],"-- Error --")</f>
        <v>-- Error --</v>
      </c>
      <c r="Z849" s="16" t="s">
        <v>100</v>
      </c>
      <c r="AB849" s="39"/>
      <c r="AD849" s="20"/>
    </row>
    <row r="850" spans="1:30" s="16" customFormat="1" hidden="1" x14ac:dyDescent="0.25">
      <c r="A850" s="16">
        <v>847</v>
      </c>
      <c r="G850" s="16" t="s">
        <v>77</v>
      </c>
      <c r="I850" s="16" t="s">
        <v>75</v>
      </c>
      <c r="L850" s="105" t="s">
        <v>99</v>
      </c>
      <c r="M850" s="17" t="str">
        <f>VLOOKUP(RiskRegister[[#This Row],[Inherent Impact LevelL3:L1020D1007L3:L1019]],'Rating factors'!$F$4:$G$9,2,FALSE)</f>
        <v>--- Error ---</v>
      </c>
      <c r="N850" s="16" t="s">
        <v>79</v>
      </c>
      <c r="O850" s="17" t="str">
        <f>VLOOKUP(RiskRegister[[#This Row],[Inherent Likelihood Level]],'Rating factors'!$F$16:$G$21,2,FALSE)</f>
        <v>--- Error ---</v>
      </c>
      <c r="P850" s="17" t="str">
        <f>IFERROR(VLOOKUP(RiskRegister[[#This Row],[Inherent Risk Rating]],'Rating factors'!$F$30:$G$44,2,FALSE),"-- Error --")</f>
        <v>-- Error --</v>
      </c>
      <c r="Q850" s="17" t="str">
        <f>IFERROR(RiskRegister[[#This Row],[Inherent Impact Rating]]*RiskRegister[[#This Row],[Inherent Likelihood Rating]],"-- Error --")</f>
        <v>-- Error --</v>
      </c>
      <c r="R850" s="16" t="s">
        <v>98</v>
      </c>
      <c r="T850" s="16" t="s">
        <v>99</v>
      </c>
      <c r="U850" s="17" t="e" cm="1">
        <f t="array" aca="1" ref="U850" ca="1">+U850:Y1019VLOOKUP(RiskRegister[[#This Row],[Residual Impact Level]],'Rating factors'!$F$4:$G$9,2,FALSE)</f>
        <v>#NAME?</v>
      </c>
      <c r="V850" s="16" t="s">
        <v>79</v>
      </c>
      <c r="W850" s="17" t="str">
        <f>VLOOKUP(RiskRegister[[#This Row],[Residual Likelihood Level]],'Rating factors'!$F$16:$G$21,2,FALSE)</f>
        <v>--- Error ---</v>
      </c>
      <c r="X850" s="17" t="str">
        <f ca="1">IFERROR(VLOOKUP(RiskRegister[[#This Row],[Residual Risk Rating]],'Rating factors'!$F$30:$G$44,2,FALSE),"-- Error --")</f>
        <v>-- Error --</v>
      </c>
      <c r="Y850" s="17" t="str">
        <f ca="1">IFERROR(RiskRegister[[#This Row],[Residual Impact Rating]]*RiskRegister[[#This Row],[Residual Likelihood Rating]],"-- Error --")</f>
        <v>-- Error --</v>
      </c>
      <c r="Z850" s="16" t="s">
        <v>100</v>
      </c>
      <c r="AB850" s="39"/>
      <c r="AD850" s="20"/>
    </row>
    <row r="851" spans="1:30" s="16" customFormat="1" hidden="1" x14ac:dyDescent="0.25">
      <c r="A851" s="16">
        <v>848</v>
      </c>
      <c r="G851" s="16" t="s">
        <v>77</v>
      </c>
      <c r="I851" s="16" t="s">
        <v>75</v>
      </c>
      <c r="L851" s="105" t="s">
        <v>99</v>
      </c>
      <c r="M851" s="17" t="str">
        <f>VLOOKUP(RiskRegister[[#This Row],[Inherent Impact LevelL3:L1020D1007L3:L1019]],'Rating factors'!$F$4:$G$9,2,FALSE)</f>
        <v>--- Error ---</v>
      </c>
      <c r="N851" s="16" t="s">
        <v>79</v>
      </c>
      <c r="O851" s="17" t="str">
        <f>VLOOKUP(RiskRegister[[#This Row],[Inherent Likelihood Level]],'Rating factors'!$F$16:$G$21,2,FALSE)</f>
        <v>--- Error ---</v>
      </c>
      <c r="P851" s="17" t="str">
        <f>IFERROR(VLOOKUP(RiskRegister[[#This Row],[Inherent Risk Rating]],'Rating factors'!$F$30:$G$44,2,FALSE),"-- Error --")</f>
        <v>-- Error --</v>
      </c>
      <c r="Q851" s="17" t="str">
        <f>IFERROR(RiskRegister[[#This Row],[Inherent Impact Rating]]*RiskRegister[[#This Row],[Inherent Likelihood Rating]],"-- Error --")</f>
        <v>-- Error --</v>
      </c>
      <c r="R851" s="16" t="s">
        <v>98</v>
      </c>
      <c r="T851" s="16" t="s">
        <v>99</v>
      </c>
      <c r="U851" s="17" t="e" cm="1">
        <f t="array" aca="1" ref="U851" ca="1">+U851:Y1019VLOOKUP(RiskRegister[[#This Row],[Residual Impact Level]],'Rating factors'!$F$4:$G$9,2,FALSE)</f>
        <v>#NAME?</v>
      </c>
      <c r="V851" s="16" t="s">
        <v>79</v>
      </c>
      <c r="W851" s="17" t="str">
        <f>VLOOKUP(RiskRegister[[#This Row],[Residual Likelihood Level]],'Rating factors'!$F$16:$G$21,2,FALSE)</f>
        <v>--- Error ---</v>
      </c>
      <c r="X851" s="17" t="str">
        <f ca="1">IFERROR(VLOOKUP(RiskRegister[[#This Row],[Residual Risk Rating]],'Rating factors'!$F$30:$G$44,2,FALSE),"-- Error --")</f>
        <v>-- Error --</v>
      </c>
      <c r="Y851" s="17" t="str">
        <f ca="1">IFERROR(RiskRegister[[#This Row],[Residual Impact Rating]]*RiskRegister[[#This Row],[Residual Likelihood Rating]],"-- Error --")</f>
        <v>-- Error --</v>
      </c>
      <c r="Z851" s="16" t="s">
        <v>100</v>
      </c>
      <c r="AB851" s="39"/>
      <c r="AD851" s="20"/>
    </row>
    <row r="852" spans="1:30" s="16" customFormat="1" hidden="1" x14ac:dyDescent="0.25">
      <c r="A852" s="16">
        <v>849</v>
      </c>
      <c r="G852" s="16" t="s">
        <v>77</v>
      </c>
      <c r="I852" s="16" t="s">
        <v>75</v>
      </c>
      <c r="L852" s="105" t="s">
        <v>99</v>
      </c>
      <c r="M852" s="17" t="str">
        <f>VLOOKUP(RiskRegister[[#This Row],[Inherent Impact LevelL3:L1020D1007L3:L1019]],'Rating factors'!$F$4:$G$9,2,FALSE)</f>
        <v>--- Error ---</v>
      </c>
      <c r="N852" s="16" t="s">
        <v>79</v>
      </c>
      <c r="O852" s="17" t="str">
        <f>VLOOKUP(RiskRegister[[#This Row],[Inherent Likelihood Level]],'Rating factors'!$F$16:$G$21,2,FALSE)</f>
        <v>--- Error ---</v>
      </c>
      <c r="P852" s="17" t="str">
        <f>IFERROR(VLOOKUP(RiskRegister[[#This Row],[Inherent Risk Rating]],'Rating factors'!$F$30:$G$44,2,FALSE),"-- Error --")</f>
        <v>-- Error --</v>
      </c>
      <c r="Q852" s="17" t="str">
        <f>IFERROR(RiskRegister[[#This Row],[Inherent Impact Rating]]*RiskRegister[[#This Row],[Inherent Likelihood Rating]],"-- Error --")</f>
        <v>-- Error --</v>
      </c>
      <c r="R852" s="16" t="s">
        <v>98</v>
      </c>
      <c r="T852" s="16" t="s">
        <v>99</v>
      </c>
      <c r="U852" s="17" t="e" cm="1">
        <f t="array" aca="1" ref="U852" ca="1">+U852:Y1019VLOOKUP(RiskRegister[[#This Row],[Residual Impact Level]],'Rating factors'!$F$4:$G$9,2,FALSE)</f>
        <v>#NAME?</v>
      </c>
      <c r="V852" s="16" t="s">
        <v>79</v>
      </c>
      <c r="W852" s="17" t="str">
        <f>VLOOKUP(RiskRegister[[#This Row],[Residual Likelihood Level]],'Rating factors'!$F$16:$G$21,2,FALSE)</f>
        <v>--- Error ---</v>
      </c>
      <c r="X852" s="17" t="str">
        <f ca="1">IFERROR(VLOOKUP(RiskRegister[[#This Row],[Residual Risk Rating]],'Rating factors'!$F$30:$G$44,2,FALSE),"-- Error --")</f>
        <v>-- Error --</v>
      </c>
      <c r="Y852" s="17" t="str">
        <f ca="1">IFERROR(RiskRegister[[#This Row],[Residual Impact Rating]]*RiskRegister[[#This Row],[Residual Likelihood Rating]],"-- Error --")</f>
        <v>-- Error --</v>
      </c>
      <c r="Z852" s="16" t="s">
        <v>100</v>
      </c>
      <c r="AB852" s="39"/>
      <c r="AD852" s="20"/>
    </row>
    <row r="853" spans="1:30" s="16" customFormat="1" hidden="1" x14ac:dyDescent="0.25">
      <c r="A853" s="16">
        <v>850</v>
      </c>
      <c r="G853" s="16" t="s">
        <v>77</v>
      </c>
      <c r="I853" s="16" t="s">
        <v>75</v>
      </c>
      <c r="L853" s="105" t="s">
        <v>99</v>
      </c>
      <c r="M853" s="17" t="str">
        <f>VLOOKUP(RiskRegister[[#This Row],[Inherent Impact LevelL3:L1020D1007L3:L1019]],'Rating factors'!$F$4:$G$9,2,FALSE)</f>
        <v>--- Error ---</v>
      </c>
      <c r="N853" s="16" t="s">
        <v>79</v>
      </c>
      <c r="O853" s="17" t="str">
        <f>VLOOKUP(RiskRegister[[#This Row],[Inherent Likelihood Level]],'Rating factors'!$F$16:$G$21,2,FALSE)</f>
        <v>--- Error ---</v>
      </c>
      <c r="P853" s="17" t="str">
        <f>IFERROR(VLOOKUP(RiskRegister[[#This Row],[Inherent Risk Rating]],'Rating factors'!$F$30:$G$44,2,FALSE),"-- Error --")</f>
        <v>-- Error --</v>
      </c>
      <c r="Q853" s="17" t="str">
        <f>IFERROR(RiskRegister[[#This Row],[Inherent Impact Rating]]*RiskRegister[[#This Row],[Inherent Likelihood Rating]],"-- Error --")</f>
        <v>-- Error --</v>
      </c>
      <c r="R853" s="16" t="s">
        <v>98</v>
      </c>
      <c r="T853" s="16" t="s">
        <v>99</v>
      </c>
      <c r="U853" s="17" t="e" cm="1">
        <f t="array" aca="1" ref="U853" ca="1">+U853:Y1019VLOOKUP(RiskRegister[[#This Row],[Residual Impact Level]],'Rating factors'!$F$4:$G$9,2,FALSE)</f>
        <v>#NAME?</v>
      </c>
      <c r="V853" s="16" t="s">
        <v>79</v>
      </c>
      <c r="W853" s="17" t="str">
        <f>VLOOKUP(RiskRegister[[#This Row],[Residual Likelihood Level]],'Rating factors'!$F$16:$G$21,2,FALSE)</f>
        <v>--- Error ---</v>
      </c>
      <c r="X853" s="17" t="str">
        <f ca="1">IFERROR(VLOOKUP(RiskRegister[[#This Row],[Residual Risk Rating]],'Rating factors'!$F$30:$G$44,2,FALSE),"-- Error --")</f>
        <v>-- Error --</v>
      </c>
      <c r="Y853" s="17" t="str">
        <f ca="1">IFERROR(RiskRegister[[#This Row],[Residual Impact Rating]]*RiskRegister[[#This Row],[Residual Likelihood Rating]],"-- Error --")</f>
        <v>-- Error --</v>
      </c>
      <c r="Z853" s="16" t="s">
        <v>100</v>
      </c>
      <c r="AB853" s="39"/>
      <c r="AD853" s="20"/>
    </row>
    <row r="854" spans="1:30" s="16" customFormat="1" hidden="1" x14ac:dyDescent="0.25">
      <c r="A854" s="16">
        <v>851</v>
      </c>
      <c r="G854" s="16" t="s">
        <v>77</v>
      </c>
      <c r="I854" s="16" t="s">
        <v>75</v>
      </c>
      <c r="L854" s="105" t="s">
        <v>99</v>
      </c>
      <c r="M854" s="17" t="str">
        <f>VLOOKUP(RiskRegister[[#This Row],[Inherent Impact LevelL3:L1020D1007L3:L1019]],'Rating factors'!$F$4:$G$9,2,FALSE)</f>
        <v>--- Error ---</v>
      </c>
      <c r="N854" s="16" t="s">
        <v>79</v>
      </c>
      <c r="O854" s="17" t="str">
        <f>VLOOKUP(RiskRegister[[#This Row],[Inherent Likelihood Level]],'Rating factors'!$F$16:$G$21,2,FALSE)</f>
        <v>--- Error ---</v>
      </c>
      <c r="P854" s="17" t="str">
        <f>IFERROR(VLOOKUP(RiskRegister[[#This Row],[Inherent Risk Rating]],'Rating factors'!$F$30:$G$44,2,FALSE),"-- Error --")</f>
        <v>-- Error --</v>
      </c>
      <c r="Q854" s="17" t="str">
        <f>IFERROR(RiskRegister[[#This Row],[Inherent Impact Rating]]*RiskRegister[[#This Row],[Inherent Likelihood Rating]],"-- Error --")</f>
        <v>-- Error --</v>
      </c>
      <c r="R854" s="16" t="s">
        <v>98</v>
      </c>
      <c r="T854" s="16" t="s">
        <v>99</v>
      </c>
      <c r="U854" s="17" t="e" cm="1">
        <f t="array" aca="1" ref="U854" ca="1">+U854:Y1019VLOOKUP(RiskRegister[[#This Row],[Residual Impact Level]],'Rating factors'!$F$4:$G$9,2,FALSE)</f>
        <v>#NAME?</v>
      </c>
      <c r="V854" s="16" t="s">
        <v>79</v>
      </c>
      <c r="W854" s="17" t="str">
        <f>VLOOKUP(RiskRegister[[#This Row],[Residual Likelihood Level]],'Rating factors'!$F$16:$G$21,2,FALSE)</f>
        <v>--- Error ---</v>
      </c>
      <c r="X854" s="17" t="str">
        <f ca="1">IFERROR(VLOOKUP(RiskRegister[[#This Row],[Residual Risk Rating]],'Rating factors'!$F$30:$G$44,2,FALSE),"-- Error --")</f>
        <v>-- Error --</v>
      </c>
      <c r="Y854" s="17" t="str">
        <f ca="1">IFERROR(RiskRegister[[#This Row],[Residual Impact Rating]]*RiskRegister[[#This Row],[Residual Likelihood Rating]],"-- Error --")</f>
        <v>-- Error --</v>
      </c>
      <c r="Z854" s="16" t="s">
        <v>100</v>
      </c>
      <c r="AB854" s="39"/>
      <c r="AD854" s="20"/>
    </row>
    <row r="855" spans="1:30" s="16" customFormat="1" hidden="1" x14ac:dyDescent="0.25">
      <c r="A855" s="16">
        <v>852</v>
      </c>
      <c r="G855" s="16" t="s">
        <v>77</v>
      </c>
      <c r="I855" s="16" t="s">
        <v>75</v>
      </c>
      <c r="L855" s="105" t="s">
        <v>99</v>
      </c>
      <c r="M855" s="17" t="str">
        <f>VLOOKUP(RiskRegister[[#This Row],[Inherent Impact LevelL3:L1020D1007L3:L1019]],'Rating factors'!$F$4:$G$9,2,FALSE)</f>
        <v>--- Error ---</v>
      </c>
      <c r="N855" s="16" t="s">
        <v>79</v>
      </c>
      <c r="O855" s="17" t="str">
        <f>VLOOKUP(RiskRegister[[#This Row],[Inherent Likelihood Level]],'Rating factors'!$F$16:$G$21,2,FALSE)</f>
        <v>--- Error ---</v>
      </c>
      <c r="P855" s="17" t="str">
        <f>IFERROR(VLOOKUP(RiskRegister[[#This Row],[Inherent Risk Rating]],'Rating factors'!$F$30:$G$44,2,FALSE),"-- Error --")</f>
        <v>-- Error --</v>
      </c>
      <c r="Q855" s="17" t="str">
        <f>IFERROR(RiskRegister[[#This Row],[Inherent Impact Rating]]*RiskRegister[[#This Row],[Inherent Likelihood Rating]],"-- Error --")</f>
        <v>-- Error --</v>
      </c>
      <c r="R855" s="16" t="s">
        <v>98</v>
      </c>
      <c r="T855" s="16" t="s">
        <v>99</v>
      </c>
      <c r="U855" s="17" t="e" cm="1">
        <f t="array" aca="1" ref="U855" ca="1">+U855:Y1019VLOOKUP(RiskRegister[[#This Row],[Residual Impact Level]],'Rating factors'!$F$4:$G$9,2,FALSE)</f>
        <v>#NAME?</v>
      </c>
      <c r="V855" s="16" t="s">
        <v>79</v>
      </c>
      <c r="W855" s="17" t="str">
        <f>VLOOKUP(RiskRegister[[#This Row],[Residual Likelihood Level]],'Rating factors'!$F$16:$G$21,2,FALSE)</f>
        <v>--- Error ---</v>
      </c>
      <c r="X855" s="17" t="str">
        <f ca="1">IFERROR(VLOOKUP(RiskRegister[[#This Row],[Residual Risk Rating]],'Rating factors'!$F$30:$G$44,2,FALSE),"-- Error --")</f>
        <v>-- Error --</v>
      </c>
      <c r="Y855" s="17" t="str">
        <f ca="1">IFERROR(RiskRegister[[#This Row],[Residual Impact Rating]]*RiskRegister[[#This Row],[Residual Likelihood Rating]],"-- Error --")</f>
        <v>-- Error --</v>
      </c>
      <c r="Z855" s="16" t="s">
        <v>100</v>
      </c>
      <c r="AB855" s="39"/>
      <c r="AD855" s="20"/>
    </row>
    <row r="856" spans="1:30" s="16" customFormat="1" hidden="1" x14ac:dyDescent="0.25">
      <c r="A856" s="16">
        <v>853</v>
      </c>
      <c r="G856" s="16" t="s">
        <v>77</v>
      </c>
      <c r="I856" s="16" t="s">
        <v>75</v>
      </c>
      <c r="L856" s="105" t="s">
        <v>99</v>
      </c>
      <c r="M856" s="17" t="str">
        <f>VLOOKUP(RiskRegister[[#This Row],[Inherent Impact LevelL3:L1020D1007L3:L1019]],'Rating factors'!$F$4:$G$9,2,FALSE)</f>
        <v>--- Error ---</v>
      </c>
      <c r="N856" s="16" t="s">
        <v>79</v>
      </c>
      <c r="O856" s="17" t="str">
        <f>VLOOKUP(RiskRegister[[#This Row],[Inherent Likelihood Level]],'Rating factors'!$F$16:$G$21,2,FALSE)</f>
        <v>--- Error ---</v>
      </c>
      <c r="P856" s="17" t="str">
        <f>IFERROR(VLOOKUP(RiskRegister[[#This Row],[Inherent Risk Rating]],'Rating factors'!$F$30:$G$44,2,FALSE),"-- Error --")</f>
        <v>-- Error --</v>
      </c>
      <c r="Q856" s="17" t="str">
        <f>IFERROR(RiskRegister[[#This Row],[Inherent Impact Rating]]*RiskRegister[[#This Row],[Inherent Likelihood Rating]],"-- Error --")</f>
        <v>-- Error --</v>
      </c>
      <c r="R856" s="16" t="s">
        <v>98</v>
      </c>
      <c r="T856" s="16" t="s">
        <v>99</v>
      </c>
      <c r="U856" s="17" t="e" cm="1">
        <f t="array" aca="1" ref="U856" ca="1">+U856:Y1019VLOOKUP(RiskRegister[[#This Row],[Residual Impact Level]],'Rating factors'!$F$4:$G$9,2,FALSE)</f>
        <v>#NAME?</v>
      </c>
      <c r="V856" s="16" t="s">
        <v>79</v>
      </c>
      <c r="W856" s="17" t="str">
        <f>VLOOKUP(RiskRegister[[#This Row],[Residual Likelihood Level]],'Rating factors'!$F$16:$G$21,2,FALSE)</f>
        <v>--- Error ---</v>
      </c>
      <c r="X856" s="17" t="str">
        <f ca="1">IFERROR(VLOOKUP(RiskRegister[[#This Row],[Residual Risk Rating]],'Rating factors'!$F$30:$G$44,2,FALSE),"-- Error --")</f>
        <v>-- Error --</v>
      </c>
      <c r="Y856" s="17" t="str">
        <f ca="1">IFERROR(RiskRegister[[#This Row],[Residual Impact Rating]]*RiskRegister[[#This Row],[Residual Likelihood Rating]],"-- Error --")</f>
        <v>-- Error --</v>
      </c>
      <c r="Z856" s="16" t="s">
        <v>100</v>
      </c>
      <c r="AB856" s="39"/>
      <c r="AD856" s="20"/>
    </row>
    <row r="857" spans="1:30" s="16" customFormat="1" hidden="1" x14ac:dyDescent="0.25">
      <c r="A857" s="16">
        <v>854</v>
      </c>
      <c r="G857" s="16" t="s">
        <v>77</v>
      </c>
      <c r="I857" s="16" t="s">
        <v>75</v>
      </c>
      <c r="L857" s="105" t="s">
        <v>99</v>
      </c>
      <c r="M857" s="17" t="str">
        <f>VLOOKUP(RiskRegister[[#This Row],[Inherent Impact LevelL3:L1020D1007L3:L1019]],'Rating factors'!$F$4:$G$9,2,FALSE)</f>
        <v>--- Error ---</v>
      </c>
      <c r="N857" s="16" t="s">
        <v>79</v>
      </c>
      <c r="O857" s="17" t="str">
        <f>VLOOKUP(RiskRegister[[#This Row],[Inherent Likelihood Level]],'Rating factors'!$F$16:$G$21,2,FALSE)</f>
        <v>--- Error ---</v>
      </c>
      <c r="P857" s="17" t="str">
        <f>IFERROR(VLOOKUP(RiskRegister[[#This Row],[Inherent Risk Rating]],'Rating factors'!$F$30:$G$44,2,FALSE),"-- Error --")</f>
        <v>-- Error --</v>
      </c>
      <c r="Q857" s="17" t="str">
        <f>IFERROR(RiskRegister[[#This Row],[Inherent Impact Rating]]*RiskRegister[[#This Row],[Inherent Likelihood Rating]],"-- Error --")</f>
        <v>-- Error --</v>
      </c>
      <c r="R857" s="16" t="s">
        <v>98</v>
      </c>
      <c r="T857" s="16" t="s">
        <v>99</v>
      </c>
      <c r="U857" s="17" t="e" cm="1">
        <f t="array" aca="1" ref="U857" ca="1">+U857:Y1019VLOOKUP(RiskRegister[[#This Row],[Residual Impact Level]],'Rating factors'!$F$4:$G$9,2,FALSE)</f>
        <v>#NAME?</v>
      </c>
      <c r="V857" s="16" t="s">
        <v>79</v>
      </c>
      <c r="W857" s="17" t="str">
        <f>VLOOKUP(RiskRegister[[#This Row],[Residual Likelihood Level]],'Rating factors'!$F$16:$G$21,2,FALSE)</f>
        <v>--- Error ---</v>
      </c>
      <c r="X857" s="17" t="str">
        <f ca="1">IFERROR(VLOOKUP(RiskRegister[[#This Row],[Residual Risk Rating]],'Rating factors'!$F$30:$G$44,2,FALSE),"-- Error --")</f>
        <v>-- Error --</v>
      </c>
      <c r="Y857" s="17" t="str">
        <f ca="1">IFERROR(RiskRegister[[#This Row],[Residual Impact Rating]]*RiskRegister[[#This Row],[Residual Likelihood Rating]],"-- Error --")</f>
        <v>-- Error --</v>
      </c>
      <c r="Z857" s="16" t="s">
        <v>100</v>
      </c>
      <c r="AB857" s="39"/>
      <c r="AD857" s="20"/>
    </row>
    <row r="858" spans="1:30" s="16" customFormat="1" hidden="1" x14ac:dyDescent="0.25">
      <c r="A858" s="16">
        <v>855</v>
      </c>
      <c r="G858" s="16" t="s">
        <v>77</v>
      </c>
      <c r="I858" s="16" t="s">
        <v>75</v>
      </c>
      <c r="L858" s="105" t="s">
        <v>99</v>
      </c>
      <c r="M858" s="17" t="str">
        <f>VLOOKUP(RiskRegister[[#This Row],[Inherent Impact LevelL3:L1020D1007L3:L1019]],'Rating factors'!$F$4:$G$9,2,FALSE)</f>
        <v>--- Error ---</v>
      </c>
      <c r="N858" s="16" t="s">
        <v>79</v>
      </c>
      <c r="O858" s="17" t="str">
        <f>VLOOKUP(RiskRegister[[#This Row],[Inherent Likelihood Level]],'Rating factors'!$F$16:$G$21,2,FALSE)</f>
        <v>--- Error ---</v>
      </c>
      <c r="P858" s="17" t="str">
        <f>IFERROR(VLOOKUP(RiskRegister[[#This Row],[Inherent Risk Rating]],'Rating factors'!$F$30:$G$44,2,FALSE),"-- Error --")</f>
        <v>-- Error --</v>
      </c>
      <c r="Q858" s="17" t="str">
        <f>IFERROR(RiskRegister[[#This Row],[Inherent Impact Rating]]*RiskRegister[[#This Row],[Inherent Likelihood Rating]],"-- Error --")</f>
        <v>-- Error --</v>
      </c>
      <c r="R858" s="16" t="s">
        <v>98</v>
      </c>
      <c r="T858" s="16" t="s">
        <v>99</v>
      </c>
      <c r="U858" s="17" t="e" cm="1">
        <f t="array" aca="1" ref="U858" ca="1">+U858:Y1019VLOOKUP(RiskRegister[[#This Row],[Residual Impact Level]],'Rating factors'!$F$4:$G$9,2,FALSE)</f>
        <v>#NAME?</v>
      </c>
      <c r="V858" s="16" t="s">
        <v>79</v>
      </c>
      <c r="W858" s="17" t="str">
        <f>VLOOKUP(RiskRegister[[#This Row],[Residual Likelihood Level]],'Rating factors'!$F$16:$G$21,2,FALSE)</f>
        <v>--- Error ---</v>
      </c>
      <c r="X858" s="17" t="str">
        <f ca="1">IFERROR(VLOOKUP(RiskRegister[[#This Row],[Residual Risk Rating]],'Rating factors'!$F$30:$G$44,2,FALSE),"-- Error --")</f>
        <v>-- Error --</v>
      </c>
      <c r="Y858" s="17" t="str">
        <f ca="1">IFERROR(RiskRegister[[#This Row],[Residual Impact Rating]]*RiskRegister[[#This Row],[Residual Likelihood Rating]],"-- Error --")</f>
        <v>-- Error --</v>
      </c>
      <c r="Z858" s="16" t="s">
        <v>100</v>
      </c>
      <c r="AB858" s="39"/>
      <c r="AD858" s="20"/>
    </row>
    <row r="859" spans="1:30" s="16" customFormat="1" hidden="1" x14ac:dyDescent="0.25">
      <c r="A859" s="16">
        <v>856</v>
      </c>
      <c r="G859" s="16" t="s">
        <v>77</v>
      </c>
      <c r="I859" s="16" t="s">
        <v>75</v>
      </c>
      <c r="L859" s="105" t="s">
        <v>99</v>
      </c>
      <c r="M859" s="17" t="str">
        <f>VLOOKUP(RiskRegister[[#This Row],[Inherent Impact LevelL3:L1020D1007L3:L1019]],'Rating factors'!$F$4:$G$9,2,FALSE)</f>
        <v>--- Error ---</v>
      </c>
      <c r="N859" s="16" t="s">
        <v>79</v>
      </c>
      <c r="O859" s="17" t="str">
        <f>VLOOKUP(RiskRegister[[#This Row],[Inherent Likelihood Level]],'Rating factors'!$F$16:$G$21,2,FALSE)</f>
        <v>--- Error ---</v>
      </c>
      <c r="P859" s="17" t="str">
        <f>IFERROR(VLOOKUP(RiskRegister[[#This Row],[Inherent Risk Rating]],'Rating factors'!$F$30:$G$44,2,FALSE),"-- Error --")</f>
        <v>-- Error --</v>
      </c>
      <c r="Q859" s="17" t="str">
        <f>IFERROR(RiskRegister[[#This Row],[Inherent Impact Rating]]*RiskRegister[[#This Row],[Inherent Likelihood Rating]],"-- Error --")</f>
        <v>-- Error --</v>
      </c>
      <c r="R859" s="16" t="s">
        <v>98</v>
      </c>
      <c r="T859" s="16" t="s">
        <v>99</v>
      </c>
      <c r="U859" s="17" t="e" cm="1">
        <f t="array" aca="1" ref="U859" ca="1">+U859:Y1019VLOOKUP(RiskRegister[[#This Row],[Residual Impact Level]],'Rating factors'!$F$4:$G$9,2,FALSE)</f>
        <v>#NAME?</v>
      </c>
      <c r="V859" s="16" t="s">
        <v>79</v>
      </c>
      <c r="W859" s="17" t="str">
        <f>VLOOKUP(RiskRegister[[#This Row],[Residual Likelihood Level]],'Rating factors'!$F$16:$G$21,2,FALSE)</f>
        <v>--- Error ---</v>
      </c>
      <c r="X859" s="17" t="str">
        <f ca="1">IFERROR(VLOOKUP(RiskRegister[[#This Row],[Residual Risk Rating]],'Rating factors'!$F$30:$G$44,2,FALSE),"-- Error --")</f>
        <v>-- Error --</v>
      </c>
      <c r="Y859" s="17" t="str">
        <f ca="1">IFERROR(RiskRegister[[#This Row],[Residual Impact Rating]]*RiskRegister[[#This Row],[Residual Likelihood Rating]],"-- Error --")</f>
        <v>-- Error --</v>
      </c>
      <c r="Z859" s="16" t="s">
        <v>100</v>
      </c>
      <c r="AB859" s="39"/>
      <c r="AD859" s="20"/>
    </row>
    <row r="860" spans="1:30" s="16" customFormat="1" hidden="1" x14ac:dyDescent="0.25">
      <c r="A860" s="16">
        <v>857</v>
      </c>
      <c r="G860" s="16" t="s">
        <v>77</v>
      </c>
      <c r="I860" s="16" t="s">
        <v>75</v>
      </c>
      <c r="L860" s="105" t="s">
        <v>99</v>
      </c>
      <c r="M860" s="17" t="str">
        <f>VLOOKUP(RiskRegister[[#This Row],[Inherent Impact LevelL3:L1020D1007L3:L1019]],'Rating factors'!$F$4:$G$9,2,FALSE)</f>
        <v>--- Error ---</v>
      </c>
      <c r="N860" s="16" t="s">
        <v>79</v>
      </c>
      <c r="O860" s="17" t="str">
        <f>VLOOKUP(RiskRegister[[#This Row],[Inherent Likelihood Level]],'Rating factors'!$F$16:$G$21,2,FALSE)</f>
        <v>--- Error ---</v>
      </c>
      <c r="P860" s="17" t="str">
        <f>IFERROR(VLOOKUP(RiskRegister[[#This Row],[Inherent Risk Rating]],'Rating factors'!$F$30:$G$44,2,FALSE),"-- Error --")</f>
        <v>-- Error --</v>
      </c>
      <c r="Q860" s="17" t="str">
        <f>IFERROR(RiskRegister[[#This Row],[Inherent Impact Rating]]*RiskRegister[[#This Row],[Inherent Likelihood Rating]],"-- Error --")</f>
        <v>-- Error --</v>
      </c>
      <c r="R860" s="16" t="s">
        <v>98</v>
      </c>
      <c r="T860" s="16" t="s">
        <v>99</v>
      </c>
      <c r="U860" s="17" t="e" cm="1">
        <f t="array" aca="1" ref="U860" ca="1">+U860:Y1019VLOOKUP(RiskRegister[[#This Row],[Residual Impact Level]],'Rating factors'!$F$4:$G$9,2,FALSE)</f>
        <v>#NAME?</v>
      </c>
      <c r="V860" s="16" t="s">
        <v>79</v>
      </c>
      <c r="W860" s="17" t="str">
        <f>VLOOKUP(RiskRegister[[#This Row],[Residual Likelihood Level]],'Rating factors'!$F$16:$G$21,2,FALSE)</f>
        <v>--- Error ---</v>
      </c>
      <c r="X860" s="17" t="str">
        <f ca="1">IFERROR(VLOOKUP(RiskRegister[[#This Row],[Residual Risk Rating]],'Rating factors'!$F$30:$G$44,2,FALSE),"-- Error --")</f>
        <v>-- Error --</v>
      </c>
      <c r="Y860" s="17" t="str">
        <f ca="1">IFERROR(RiskRegister[[#This Row],[Residual Impact Rating]]*RiskRegister[[#This Row],[Residual Likelihood Rating]],"-- Error --")</f>
        <v>-- Error --</v>
      </c>
      <c r="Z860" s="16" t="s">
        <v>100</v>
      </c>
      <c r="AB860" s="39"/>
      <c r="AD860" s="20"/>
    </row>
    <row r="861" spans="1:30" s="16" customFormat="1" hidden="1" x14ac:dyDescent="0.25">
      <c r="A861" s="16">
        <v>858</v>
      </c>
      <c r="G861" s="16" t="s">
        <v>77</v>
      </c>
      <c r="I861" s="16" t="s">
        <v>75</v>
      </c>
      <c r="L861" s="105" t="s">
        <v>99</v>
      </c>
      <c r="M861" s="17" t="str">
        <f>VLOOKUP(RiskRegister[[#This Row],[Inherent Impact LevelL3:L1020D1007L3:L1019]],'Rating factors'!$F$4:$G$9,2,FALSE)</f>
        <v>--- Error ---</v>
      </c>
      <c r="N861" s="16" t="s">
        <v>79</v>
      </c>
      <c r="O861" s="17" t="str">
        <f>VLOOKUP(RiskRegister[[#This Row],[Inherent Likelihood Level]],'Rating factors'!$F$16:$G$21,2,FALSE)</f>
        <v>--- Error ---</v>
      </c>
      <c r="P861" s="17" t="str">
        <f>IFERROR(VLOOKUP(RiskRegister[[#This Row],[Inherent Risk Rating]],'Rating factors'!$F$30:$G$44,2,FALSE),"-- Error --")</f>
        <v>-- Error --</v>
      </c>
      <c r="Q861" s="17" t="str">
        <f>IFERROR(RiskRegister[[#This Row],[Inherent Impact Rating]]*RiskRegister[[#This Row],[Inherent Likelihood Rating]],"-- Error --")</f>
        <v>-- Error --</v>
      </c>
      <c r="R861" s="16" t="s">
        <v>98</v>
      </c>
      <c r="T861" s="16" t="s">
        <v>99</v>
      </c>
      <c r="U861" s="17" t="e" cm="1">
        <f t="array" aca="1" ref="U861" ca="1">+U861:Y1019VLOOKUP(RiskRegister[[#This Row],[Residual Impact Level]],'Rating factors'!$F$4:$G$9,2,FALSE)</f>
        <v>#NAME?</v>
      </c>
      <c r="V861" s="16" t="s">
        <v>79</v>
      </c>
      <c r="W861" s="17" t="str">
        <f>VLOOKUP(RiskRegister[[#This Row],[Residual Likelihood Level]],'Rating factors'!$F$16:$G$21,2,FALSE)</f>
        <v>--- Error ---</v>
      </c>
      <c r="X861" s="17" t="str">
        <f ca="1">IFERROR(VLOOKUP(RiskRegister[[#This Row],[Residual Risk Rating]],'Rating factors'!$F$30:$G$44,2,FALSE),"-- Error --")</f>
        <v>-- Error --</v>
      </c>
      <c r="Y861" s="17" t="str">
        <f ca="1">IFERROR(RiskRegister[[#This Row],[Residual Impact Rating]]*RiskRegister[[#This Row],[Residual Likelihood Rating]],"-- Error --")</f>
        <v>-- Error --</v>
      </c>
      <c r="Z861" s="16" t="s">
        <v>100</v>
      </c>
      <c r="AB861" s="39"/>
      <c r="AD861" s="20"/>
    </row>
    <row r="862" spans="1:30" s="16" customFormat="1" hidden="1" x14ac:dyDescent="0.25">
      <c r="A862" s="16">
        <v>859</v>
      </c>
      <c r="G862" s="16" t="s">
        <v>77</v>
      </c>
      <c r="I862" s="16" t="s">
        <v>75</v>
      </c>
      <c r="L862" s="105" t="s">
        <v>99</v>
      </c>
      <c r="M862" s="17" t="str">
        <f>VLOOKUP(RiskRegister[[#This Row],[Inherent Impact LevelL3:L1020D1007L3:L1019]],'Rating factors'!$F$4:$G$9,2,FALSE)</f>
        <v>--- Error ---</v>
      </c>
      <c r="N862" s="16" t="s">
        <v>79</v>
      </c>
      <c r="O862" s="17" t="str">
        <f>VLOOKUP(RiskRegister[[#This Row],[Inherent Likelihood Level]],'Rating factors'!$F$16:$G$21,2,FALSE)</f>
        <v>--- Error ---</v>
      </c>
      <c r="P862" s="17" t="str">
        <f>IFERROR(VLOOKUP(RiskRegister[[#This Row],[Inherent Risk Rating]],'Rating factors'!$F$30:$G$44,2,FALSE),"-- Error --")</f>
        <v>-- Error --</v>
      </c>
      <c r="Q862" s="17" t="str">
        <f>IFERROR(RiskRegister[[#This Row],[Inherent Impact Rating]]*RiskRegister[[#This Row],[Inherent Likelihood Rating]],"-- Error --")</f>
        <v>-- Error --</v>
      </c>
      <c r="R862" s="16" t="s">
        <v>98</v>
      </c>
      <c r="T862" s="16" t="s">
        <v>99</v>
      </c>
      <c r="U862" s="17" t="e" cm="1">
        <f t="array" aca="1" ref="U862" ca="1">+U862:Y1019VLOOKUP(RiskRegister[[#This Row],[Residual Impact Level]],'Rating factors'!$F$4:$G$9,2,FALSE)</f>
        <v>#NAME?</v>
      </c>
      <c r="V862" s="16" t="s">
        <v>79</v>
      </c>
      <c r="W862" s="17" t="str">
        <f>VLOOKUP(RiskRegister[[#This Row],[Residual Likelihood Level]],'Rating factors'!$F$16:$G$21,2,FALSE)</f>
        <v>--- Error ---</v>
      </c>
      <c r="X862" s="17" t="str">
        <f ca="1">IFERROR(VLOOKUP(RiskRegister[[#This Row],[Residual Risk Rating]],'Rating factors'!$F$30:$G$44,2,FALSE),"-- Error --")</f>
        <v>-- Error --</v>
      </c>
      <c r="Y862" s="17" t="str">
        <f ca="1">IFERROR(RiskRegister[[#This Row],[Residual Impact Rating]]*RiskRegister[[#This Row],[Residual Likelihood Rating]],"-- Error --")</f>
        <v>-- Error --</v>
      </c>
      <c r="Z862" s="16" t="s">
        <v>100</v>
      </c>
      <c r="AB862" s="39"/>
      <c r="AD862" s="20"/>
    </row>
    <row r="863" spans="1:30" s="16" customFormat="1" hidden="1" x14ac:dyDescent="0.25">
      <c r="A863" s="16">
        <v>860</v>
      </c>
      <c r="G863" s="16" t="s">
        <v>77</v>
      </c>
      <c r="I863" s="16" t="s">
        <v>75</v>
      </c>
      <c r="L863" s="105" t="s">
        <v>99</v>
      </c>
      <c r="M863" s="17" t="str">
        <f>VLOOKUP(RiskRegister[[#This Row],[Inherent Impact LevelL3:L1020D1007L3:L1019]],'Rating factors'!$F$4:$G$9,2,FALSE)</f>
        <v>--- Error ---</v>
      </c>
      <c r="N863" s="16" t="s">
        <v>79</v>
      </c>
      <c r="O863" s="17" t="str">
        <f>VLOOKUP(RiskRegister[[#This Row],[Inherent Likelihood Level]],'Rating factors'!$F$16:$G$21,2,FALSE)</f>
        <v>--- Error ---</v>
      </c>
      <c r="P863" s="17" t="str">
        <f>IFERROR(VLOOKUP(RiskRegister[[#This Row],[Inherent Risk Rating]],'Rating factors'!$F$30:$G$44,2,FALSE),"-- Error --")</f>
        <v>-- Error --</v>
      </c>
      <c r="Q863" s="17" t="str">
        <f>IFERROR(RiskRegister[[#This Row],[Inherent Impact Rating]]*RiskRegister[[#This Row],[Inherent Likelihood Rating]],"-- Error --")</f>
        <v>-- Error --</v>
      </c>
      <c r="R863" s="16" t="s">
        <v>98</v>
      </c>
      <c r="T863" s="16" t="s">
        <v>99</v>
      </c>
      <c r="U863" s="17" t="e" cm="1">
        <f t="array" aca="1" ref="U863" ca="1">+U863:Y1019VLOOKUP(RiskRegister[[#This Row],[Residual Impact Level]],'Rating factors'!$F$4:$G$9,2,FALSE)</f>
        <v>#NAME?</v>
      </c>
      <c r="V863" s="16" t="s">
        <v>79</v>
      </c>
      <c r="W863" s="17" t="str">
        <f>VLOOKUP(RiskRegister[[#This Row],[Residual Likelihood Level]],'Rating factors'!$F$16:$G$21,2,FALSE)</f>
        <v>--- Error ---</v>
      </c>
      <c r="X863" s="17" t="str">
        <f ca="1">IFERROR(VLOOKUP(RiskRegister[[#This Row],[Residual Risk Rating]],'Rating factors'!$F$30:$G$44,2,FALSE),"-- Error --")</f>
        <v>-- Error --</v>
      </c>
      <c r="Y863" s="17" t="str">
        <f ca="1">IFERROR(RiskRegister[[#This Row],[Residual Impact Rating]]*RiskRegister[[#This Row],[Residual Likelihood Rating]],"-- Error --")</f>
        <v>-- Error --</v>
      </c>
      <c r="Z863" s="16" t="s">
        <v>100</v>
      </c>
      <c r="AB863" s="39"/>
      <c r="AD863" s="20"/>
    </row>
    <row r="864" spans="1:30" s="16" customFormat="1" hidden="1" x14ac:dyDescent="0.25">
      <c r="A864" s="16">
        <v>861</v>
      </c>
      <c r="G864" s="16" t="s">
        <v>77</v>
      </c>
      <c r="I864" s="16" t="s">
        <v>75</v>
      </c>
      <c r="L864" s="105" t="s">
        <v>99</v>
      </c>
      <c r="M864" s="17" t="str">
        <f>VLOOKUP(RiskRegister[[#This Row],[Inherent Impact LevelL3:L1020D1007L3:L1019]],'Rating factors'!$F$4:$G$9,2,FALSE)</f>
        <v>--- Error ---</v>
      </c>
      <c r="N864" s="16" t="s">
        <v>79</v>
      </c>
      <c r="O864" s="17" t="str">
        <f>VLOOKUP(RiskRegister[[#This Row],[Inherent Likelihood Level]],'Rating factors'!$F$16:$G$21,2,FALSE)</f>
        <v>--- Error ---</v>
      </c>
      <c r="P864" s="17" t="str">
        <f>IFERROR(VLOOKUP(RiskRegister[[#This Row],[Inherent Risk Rating]],'Rating factors'!$F$30:$G$44,2,FALSE),"-- Error --")</f>
        <v>-- Error --</v>
      </c>
      <c r="Q864" s="17" t="str">
        <f>IFERROR(RiskRegister[[#This Row],[Inherent Impact Rating]]*RiskRegister[[#This Row],[Inherent Likelihood Rating]],"-- Error --")</f>
        <v>-- Error --</v>
      </c>
      <c r="R864" s="16" t="s">
        <v>98</v>
      </c>
      <c r="T864" s="16" t="s">
        <v>99</v>
      </c>
      <c r="U864" s="17" t="e" cm="1">
        <f t="array" aca="1" ref="U864" ca="1">+U864:Y1019VLOOKUP(RiskRegister[[#This Row],[Residual Impact Level]],'Rating factors'!$F$4:$G$9,2,FALSE)</f>
        <v>#NAME?</v>
      </c>
      <c r="V864" s="16" t="s">
        <v>79</v>
      </c>
      <c r="W864" s="17" t="str">
        <f>VLOOKUP(RiskRegister[[#This Row],[Residual Likelihood Level]],'Rating factors'!$F$16:$G$21,2,FALSE)</f>
        <v>--- Error ---</v>
      </c>
      <c r="X864" s="17" t="str">
        <f ca="1">IFERROR(VLOOKUP(RiskRegister[[#This Row],[Residual Risk Rating]],'Rating factors'!$F$30:$G$44,2,FALSE),"-- Error --")</f>
        <v>-- Error --</v>
      </c>
      <c r="Y864" s="17" t="str">
        <f ca="1">IFERROR(RiskRegister[[#This Row],[Residual Impact Rating]]*RiskRegister[[#This Row],[Residual Likelihood Rating]],"-- Error --")</f>
        <v>-- Error --</v>
      </c>
      <c r="Z864" s="16" t="s">
        <v>100</v>
      </c>
      <c r="AB864" s="39"/>
      <c r="AD864" s="20"/>
    </row>
    <row r="865" spans="1:30" s="16" customFormat="1" hidden="1" x14ac:dyDescent="0.25">
      <c r="A865" s="16">
        <v>862</v>
      </c>
      <c r="G865" s="16" t="s">
        <v>77</v>
      </c>
      <c r="I865" s="16" t="s">
        <v>75</v>
      </c>
      <c r="L865" s="105" t="s">
        <v>99</v>
      </c>
      <c r="M865" s="17" t="str">
        <f>VLOOKUP(RiskRegister[[#This Row],[Inherent Impact LevelL3:L1020D1007L3:L1019]],'Rating factors'!$F$4:$G$9,2,FALSE)</f>
        <v>--- Error ---</v>
      </c>
      <c r="N865" s="16" t="s">
        <v>79</v>
      </c>
      <c r="O865" s="17" t="str">
        <f>VLOOKUP(RiskRegister[[#This Row],[Inherent Likelihood Level]],'Rating factors'!$F$16:$G$21,2,FALSE)</f>
        <v>--- Error ---</v>
      </c>
      <c r="P865" s="17" t="str">
        <f>IFERROR(VLOOKUP(RiskRegister[[#This Row],[Inherent Risk Rating]],'Rating factors'!$F$30:$G$44,2,FALSE),"-- Error --")</f>
        <v>-- Error --</v>
      </c>
      <c r="Q865" s="17" t="str">
        <f>IFERROR(RiskRegister[[#This Row],[Inherent Impact Rating]]*RiskRegister[[#This Row],[Inherent Likelihood Rating]],"-- Error --")</f>
        <v>-- Error --</v>
      </c>
      <c r="R865" s="16" t="s">
        <v>98</v>
      </c>
      <c r="T865" s="16" t="s">
        <v>99</v>
      </c>
      <c r="U865" s="17" t="e" cm="1">
        <f t="array" aca="1" ref="U865" ca="1">+U865:Y1019VLOOKUP(RiskRegister[[#This Row],[Residual Impact Level]],'Rating factors'!$F$4:$G$9,2,FALSE)</f>
        <v>#NAME?</v>
      </c>
      <c r="V865" s="16" t="s">
        <v>79</v>
      </c>
      <c r="W865" s="17" t="str">
        <f>VLOOKUP(RiskRegister[[#This Row],[Residual Likelihood Level]],'Rating factors'!$F$16:$G$21,2,FALSE)</f>
        <v>--- Error ---</v>
      </c>
      <c r="X865" s="17" t="str">
        <f ca="1">IFERROR(VLOOKUP(RiskRegister[[#This Row],[Residual Risk Rating]],'Rating factors'!$F$30:$G$44,2,FALSE),"-- Error --")</f>
        <v>-- Error --</v>
      </c>
      <c r="Y865" s="17" t="str">
        <f ca="1">IFERROR(RiskRegister[[#This Row],[Residual Impact Rating]]*RiskRegister[[#This Row],[Residual Likelihood Rating]],"-- Error --")</f>
        <v>-- Error --</v>
      </c>
      <c r="Z865" s="16" t="s">
        <v>100</v>
      </c>
      <c r="AB865" s="39"/>
      <c r="AD865" s="20"/>
    </row>
    <row r="866" spans="1:30" s="16" customFormat="1" hidden="1" x14ac:dyDescent="0.25">
      <c r="A866" s="16">
        <v>863</v>
      </c>
      <c r="G866" s="16" t="s">
        <v>77</v>
      </c>
      <c r="I866" s="16" t="s">
        <v>75</v>
      </c>
      <c r="L866" s="105" t="s">
        <v>99</v>
      </c>
      <c r="M866" s="17" t="str">
        <f>VLOOKUP(RiskRegister[[#This Row],[Inherent Impact LevelL3:L1020D1007L3:L1019]],'Rating factors'!$F$4:$G$9,2,FALSE)</f>
        <v>--- Error ---</v>
      </c>
      <c r="N866" s="16" t="s">
        <v>79</v>
      </c>
      <c r="O866" s="17" t="str">
        <f>VLOOKUP(RiskRegister[[#This Row],[Inherent Likelihood Level]],'Rating factors'!$F$16:$G$21,2,FALSE)</f>
        <v>--- Error ---</v>
      </c>
      <c r="P866" s="17" t="str">
        <f>IFERROR(VLOOKUP(RiskRegister[[#This Row],[Inherent Risk Rating]],'Rating factors'!$F$30:$G$44,2,FALSE),"-- Error --")</f>
        <v>-- Error --</v>
      </c>
      <c r="Q866" s="17" t="str">
        <f>IFERROR(RiskRegister[[#This Row],[Inherent Impact Rating]]*RiskRegister[[#This Row],[Inherent Likelihood Rating]],"-- Error --")</f>
        <v>-- Error --</v>
      </c>
      <c r="R866" s="16" t="s">
        <v>98</v>
      </c>
      <c r="T866" s="16" t="s">
        <v>99</v>
      </c>
      <c r="U866" s="17" t="e" cm="1">
        <f t="array" aca="1" ref="U866" ca="1">+U866:Y1019VLOOKUP(RiskRegister[[#This Row],[Residual Impact Level]],'Rating factors'!$F$4:$G$9,2,FALSE)</f>
        <v>#NAME?</v>
      </c>
      <c r="V866" s="16" t="s">
        <v>79</v>
      </c>
      <c r="W866" s="17" t="str">
        <f>VLOOKUP(RiskRegister[[#This Row],[Residual Likelihood Level]],'Rating factors'!$F$16:$G$21,2,FALSE)</f>
        <v>--- Error ---</v>
      </c>
      <c r="X866" s="17" t="str">
        <f ca="1">IFERROR(VLOOKUP(RiskRegister[[#This Row],[Residual Risk Rating]],'Rating factors'!$F$30:$G$44,2,FALSE),"-- Error --")</f>
        <v>-- Error --</v>
      </c>
      <c r="Y866" s="17" t="str">
        <f ca="1">IFERROR(RiskRegister[[#This Row],[Residual Impact Rating]]*RiskRegister[[#This Row],[Residual Likelihood Rating]],"-- Error --")</f>
        <v>-- Error --</v>
      </c>
      <c r="Z866" s="16" t="s">
        <v>100</v>
      </c>
      <c r="AB866" s="39"/>
      <c r="AD866" s="20"/>
    </row>
    <row r="867" spans="1:30" s="16" customFormat="1" hidden="1" x14ac:dyDescent="0.25">
      <c r="A867" s="16">
        <v>864</v>
      </c>
      <c r="G867" s="16" t="s">
        <v>77</v>
      </c>
      <c r="I867" s="16" t="s">
        <v>75</v>
      </c>
      <c r="L867" s="105" t="s">
        <v>99</v>
      </c>
      <c r="M867" s="17" t="str">
        <f>VLOOKUP(RiskRegister[[#This Row],[Inherent Impact LevelL3:L1020D1007L3:L1019]],'Rating factors'!$F$4:$G$9,2,FALSE)</f>
        <v>--- Error ---</v>
      </c>
      <c r="N867" s="16" t="s">
        <v>79</v>
      </c>
      <c r="O867" s="17" t="str">
        <f>VLOOKUP(RiskRegister[[#This Row],[Inherent Likelihood Level]],'Rating factors'!$F$16:$G$21,2,FALSE)</f>
        <v>--- Error ---</v>
      </c>
      <c r="P867" s="17" t="str">
        <f>IFERROR(VLOOKUP(RiskRegister[[#This Row],[Inherent Risk Rating]],'Rating factors'!$F$30:$G$44,2,FALSE),"-- Error --")</f>
        <v>-- Error --</v>
      </c>
      <c r="Q867" s="17" t="str">
        <f>IFERROR(RiskRegister[[#This Row],[Inherent Impact Rating]]*RiskRegister[[#This Row],[Inherent Likelihood Rating]],"-- Error --")</f>
        <v>-- Error --</v>
      </c>
      <c r="R867" s="16" t="s">
        <v>98</v>
      </c>
      <c r="T867" s="16" t="s">
        <v>99</v>
      </c>
      <c r="U867" s="17" t="e" cm="1">
        <f t="array" aca="1" ref="U867" ca="1">+U867:Y1019VLOOKUP(RiskRegister[[#This Row],[Residual Impact Level]],'Rating factors'!$F$4:$G$9,2,FALSE)</f>
        <v>#NAME?</v>
      </c>
      <c r="V867" s="16" t="s">
        <v>79</v>
      </c>
      <c r="W867" s="17" t="str">
        <f>VLOOKUP(RiskRegister[[#This Row],[Residual Likelihood Level]],'Rating factors'!$F$16:$G$21,2,FALSE)</f>
        <v>--- Error ---</v>
      </c>
      <c r="X867" s="17" t="str">
        <f ca="1">IFERROR(VLOOKUP(RiskRegister[[#This Row],[Residual Risk Rating]],'Rating factors'!$F$30:$G$44,2,FALSE),"-- Error --")</f>
        <v>-- Error --</v>
      </c>
      <c r="Y867" s="17" t="str">
        <f ca="1">IFERROR(RiskRegister[[#This Row],[Residual Impact Rating]]*RiskRegister[[#This Row],[Residual Likelihood Rating]],"-- Error --")</f>
        <v>-- Error --</v>
      </c>
      <c r="Z867" s="16" t="s">
        <v>100</v>
      </c>
      <c r="AB867" s="39"/>
      <c r="AD867" s="20"/>
    </row>
    <row r="868" spans="1:30" s="16" customFormat="1" hidden="1" x14ac:dyDescent="0.25">
      <c r="A868" s="16">
        <v>865</v>
      </c>
      <c r="G868" s="16" t="s">
        <v>77</v>
      </c>
      <c r="I868" s="16" t="s">
        <v>75</v>
      </c>
      <c r="L868" s="105" t="s">
        <v>99</v>
      </c>
      <c r="M868" s="17" t="str">
        <f>VLOOKUP(RiskRegister[[#This Row],[Inherent Impact LevelL3:L1020D1007L3:L1019]],'Rating factors'!$F$4:$G$9,2,FALSE)</f>
        <v>--- Error ---</v>
      </c>
      <c r="N868" s="16" t="s">
        <v>79</v>
      </c>
      <c r="O868" s="17" t="str">
        <f>VLOOKUP(RiskRegister[[#This Row],[Inherent Likelihood Level]],'Rating factors'!$F$16:$G$21,2,FALSE)</f>
        <v>--- Error ---</v>
      </c>
      <c r="P868" s="17" t="str">
        <f>IFERROR(VLOOKUP(RiskRegister[[#This Row],[Inherent Risk Rating]],'Rating factors'!$F$30:$G$44,2,FALSE),"-- Error --")</f>
        <v>-- Error --</v>
      </c>
      <c r="Q868" s="17" t="str">
        <f>IFERROR(RiskRegister[[#This Row],[Inherent Impact Rating]]*RiskRegister[[#This Row],[Inherent Likelihood Rating]],"-- Error --")</f>
        <v>-- Error --</v>
      </c>
      <c r="R868" s="16" t="s">
        <v>98</v>
      </c>
      <c r="T868" s="16" t="s">
        <v>99</v>
      </c>
      <c r="U868" s="17" t="e" cm="1">
        <f t="array" aca="1" ref="U868" ca="1">+U868:Y1019VLOOKUP(RiskRegister[[#This Row],[Residual Impact Level]],'Rating factors'!$F$4:$G$9,2,FALSE)</f>
        <v>#NAME?</v>
      </c>
      <c r="V868" s="16" t="s">
        <v>79</v>
      </c>
      <c r="W868" s="17" t="str">
        <f>VLOOKUP(RiskRegister[[#This Row],[Residual Likelihood Level]],'Rating factors'!$F$16:$G$21,2,FALSE)</f>
        <v>--- Error ---</v>
      </c>
      <c r="X868" s="17" t="str">
        <f ca="1">IFERROR(VLOOKUP(RiskRegister[[#This Row],[Residual Risk Rating]],'Rating factors'!$F$30:$G$44,2,FALSE),"-- Error --")</f>
        <v>-- Error --</v>
      </c>
      <c r="Y868" s="17" t="str">
        <f ca="1">IFERROR(RiskRegister[[#This Row],[Residual Impact Rating]]*RiskRegister[[#This Row],[Residual Likelihood Rating]],"-- Error --")</f>
        <v>-- Error --</v>
      </c>
      <c r="Z868" s="16" t="s">
        <v>100</v>
      </c>
      <c r="AB868" s="39"/>
      <c r="AD868" s="20"/>
    </row>
    <row r="869" spans="1:30" s="16" customFormat="1" hidden="1" x14ac:dyDescent="0.25">
      <c r="A869" s="16">
        <v>866</v>
      </c>
      <c r="G869" s="16" t="s">
        <v>77</v>
      </c>
      <c r="I869" s="16" t="s">
        <v>75</v>
      </c>
      <c r="L869" s="105" t="s">
        <v>99</v>
      </c>
      <c r="M869" s="17" t="str">
        <f>VLOOKUP(RiskRegister[[#This Row],[Inherent Impact LevelL3:L1020D1007L3:L1019]],'Rating factors'!$F$4:$G$9,2,FALSE)</f>
        <v>--- Error ---</v>
      </c>
      <c r="N869" s="16" t="s">
        <v>79</v>
      </c>
      <c r="O869" s="17" t="str">
        <f>VLOOKUP(RiskRegister[[#This Row],[Inherent Likelihood Level]],'Rating factors'!$F$16:$G$21,2,FALSE)</f>
        <v>--- Error ---</v>
      </c>
      <c r="P869" s="17" t="str">
        <f>IFERROR(VLOOKUP(RiskRegister[[#This Row],[Inherent Risk Rating]],'Rating factors'!$F$30:$G$44,2,FALSE),"-- Error --")</f>
        <v>-- Error --</v>
      </c>
      <c r="Q869" s="17" t="str">
        <f>IFERROR(RiskRegister[[#This Row],[Inherent Impact Rating]]*RiskRegister[[#This Row],[Inherent Likelihood Rating]],"-- Error --")</f>
        <v>-- Error --</v>
      </c>
      <c r="R869" s="16" t="s">
        <v>98</v>
      </c>
      <c r="T869" s="16" t="s">
        <v>99</v>
      </c>
      <c r="U869" s="17" t="e" cm="1">
        <f t="array" aca="1" ref="U869" ca="1">+U869:Y1019VLOOKUP(RiskRegister[[#This Row],[Residual Impact Level]],'Rating factors'!$F$4:$G$9,2,FALSE)</f>
        <v>#NAME?</v>
      </c>
      <c r="V869" s="16" t="s">
        <v>79</v>
      </c>
      <c r="W869" s="17" t="str">
        <f>VLOOKUP(RiskRegister[[#This Row],[Residual Likelihood Level]],'Rating factors'!$F$16:$G$21,2,FALSE)</f>
        <v>--- Error ---</v>
      </c>
      <c r="X869" s="17" t="str">
        <f ca="1">IFERROR(VLOOKUP(RiskRegister[[#This Row],[Residual Risk Rating]],'Rating factors'!$F$30:$G$44,2,FALSE),"-- Error --")</f>
        <v>-- Error --</v>
      </c>
      <c r="Y869" s="17" t="str">
        <f ca="1">IFERROR(RiskRegister[[#This Row],[Residual Impact Rating]]*RiskRegister[[#This Row],[Residual Likelihood Rating]],"-- Error --")</f>
        <v>-- Error --</v>
      </c>
      <c r="Z869" s="16" t="s">
        <v>100</v>
      </c>
      <c r="AB869" s="39"/>
      <c r="AD869" s="20"/>
    </row>
    <row r="870" spans="1:30" s="16" customFormat="1" hidden="1" x14ac:dyDescent="0.25">
      <c r="A870" s="16">
        <v>867</v>
      </c>
      <c r="G870" s="16" t="s">
        <v>77</v>
      </c>
      <c r="I870" s="16" t="s">
        <v>75</v>
      </c>
      <c r="L870" s="105" t="s">
        <v>99</v>
      </c>
      <c r="M870" s="17" t="str">
        <f>VLOOKUP(RiskRegister[[#This Row],[Inherent Impact LevelL3:L1020D1007L3:L1019]],'Rating factors'!$F$4:$G$9,2,FALSE)</f>
        <v>--- Error ---</v>
      </c>
      <c r="N870" s="16" t="s">
        <v>79</v>
      </c>
      <c r="O870" s="17" t="str">
        <f>VLOOKUP(RiskRegister[[#This Row],[Inherent Likelihood Level]],'Rating factors'!$F$16:$G$21,2,FALSE)</f>
        <v>--- Error ---</v>
      </c>
      <c r="P870" s="17" t="str">
        <f>IFERROR(VLOOKUP(RiskRegister[[#This Row],[Inherent Risk Rating]],'Rating factors'!$F$30:$G$44,2,FALSE),"-- Error --")</f>
        <v>-- Error --</v>
      </c>
      <c r="Q870" s="17" t="str">
        <f>IFERROR(RiskRegister[[#This Row],[Inherent Impact Rating]]*RiskRegister[[#This Row],[Inherent Likelihood Rating]],"-- Error --")</f>
        <v>-- Error --</v>
      </c>
      <c r="R870" s="16" t="s">
        <v>98</v>
      </c>
      <c r="T870" s="16" t="s">
        <v>99</v>
      </c>
      <c r="U870" s="17" t="e" cm="1">
        <f t="array" aca="1" ref="U870" ca="1">+U870:Y1019VLOOKUP(RiskRegister[[#This Row],[Residual Impact Level]],'Rating factors'!$F$4:$G$9,2,FALSE)</f>
        <v>#NAME?</v>
      </c>
      <c r="V870" s="16" t="s">
        <v>79</v>
      </c>
      <c r="W870" s="17" t="str">
        <f>VLOOKUP(RiskRegister[[#This Row],[Residual Likelihood Level]],'Rating factors'!$F$16:$G$21,2,FALSE)</f>
        <v>--- Error ---</v>
      </c>
      <c r="X870" s="17" t="str">
        <f ca="1">IFERROR(VLOOKUP(RiskRegister[[#This Row],[Residual Risk Rating]],'Rating factors'!$F$30:$G$44,2,FALSE),"-- Error --")</f>
        <v>-- Error --</v>
      </c>
      <c r="Y870" s="17" t="str">
        <f ca="1">IFERROR(RiskRegister[[#This Row],[Residual Impact Rating]]*RiskRegister[[#This Row],[Residual Likelihood Rating]],"-- Error --")</f>
        <v>-- Error --</v>
      </c>
      <c r="Z870" s="16" t="s">
        <v>100</v>
      </c>
      <c r="AB870" s="39"/>
      <c r="AD870" s="20"/>
    </row>
    <row r="871" spans="1:30" s="16" customFormat="1" hidden="1" x14ac:dyDescent="0.25">
      <c r="A871" s="16">
        <v>868</v>
      </c>
      <c r="G871" s="16" t="s">
        <v>77</v>
      </c>
      <c r="I871" s="16" t="s">
        <v>75</v>
      </c>
      <c r="L871" s="105" t="s">
        <v>99</v>
      </c>
      <c r="M871" s="17" t="str">
        <f>VLOOKUP(RiskRegister[[#This Row],[Inherent Impact LevelL3:L1020D1007L3:L1019]],'Rating factors'!$F$4:$G$9,2,FALSE)</f>
        <v>--- Error ---</v>
      </c>
      <c r="N871" s="16" t="s">
        <v>79</v>
      </c>
      <c r="O871" s="17" t="str">
        <f>VLOOKUP(RiskRegister[[#This Row],[Inherent Likelihood Level]],'Rating factors'!$F$16:$G$21,2,FALSE)</f>
        <v>--- Error ---</v>
      </c>
      <c r="P871" s="17" t="str">
        <f>IFERROR(VLOOKUP(RiskRegister[[#This Row],[Inherent Risk Rating]],'Rating factors'!$F$30:$G$44,2,FALSE),"-- Error --")</f>
        <v>-- Error --</v>
      </c>
      <c r="Q871" s="17" t="str">
        <f>IFERROR(RiskRegister[[#This Row],[Inherent Impact Rating]]*RiskRegister[[#This Row],[Inherent Likelihood Rating]],"-- Error --")</f>
        <v>-- Error --</v>
      </c>
      <c r="R871" s="16" t="s">
        <v>98</v>
      </c>
      <c r="T871" s="16" t="s">
        <v>99</v>
      </c>
      <c r="U871" s="17" t="e" cm="1">
        <f t="array" aca="1" ref="U871" ca="1">+U871:Y1019VLOOKUP(RiskRegister[[#This Row],[Residual Impact Level]],'Rating factors'!$F$4:$G$9,2,FALSE)</f>
        <v>#NAME?</v>
      </c>
      <c r="V871" s="16" t="s">
        <v>79</v>
      </c>
      <c r="W871" s="17" t="str">
        <f>VLOOKUP(RiskRegister[[#This Row],[Residual Likelihood Level]],'Rating factors'!$F$16:$G$21,2,FALSE)</f>
        <v>--- Error ---</v>
      </c>
      <c r="X871" s="17" t="str">
        <f ca="1">IFERROR(VLOOKUP(RiskRegister[[#This Row],[Residual Risk Rating]],'Rating factors'!$F$30:$G$44,2,FALSE),"-- Error --")</f>
        <v>-- Error --</v>
      </c>
      <c r="Y871" s="17" t="str">
        <f ca="1">IFERROR(RiskRegister[[#This Row],[Residual Impact Rating]]*RiskRegister[[#This Row],[Residual Likelihood Rating]],"-- Error --")</f>
        <v>-- Error --</v>
      </c>
      <c r="Z871" s="16" t="s">
        <v>100</v>
      </c>
      <c r="AB871" s="39"/>
      <c r="AD871" s="20"/>
    </row>
    <row r="872" spans="1:30" s="16" customFormat="1" hidden="1" x14ac:dyDescent="0.25">
      <c r="A872" s="16">
        <v>869</v>
      </c>
      <c r="G872" s="16" t="s">
        <v>77</v>
      </c>
      <c r="I872" s="16" t="s">
        <v>75</v>
      </c>
      <c r="L872" s="105" t="s">
        <v>99</v>
      </c>
      <c r="M872" s="17" t="str">
        <f>VLOOKUP(RiskRegister[[#This Row],[Inherent Impact LevelL3:L1020D1007L3:L1019]],'Rating factors'!$F$4:$G$9,2,FALSE)</f>
        <v>--- Error ---</v>
      </c>
      <c r="N872" s="16" t="s">
        <v>79</v>
      </c>
      <c r="O872" s="17" t="str">
        <f>VLOOKUP(RiskRegister[[#This Row],[Inherent Likelihood Level]],'Rating factors'!$F$16:$G$21,2,FALSE)</f>
        <v>--- Error ---</v>
      </c>
      <c r="P872" s="17" t="str">
        <f>IFERROR(VLOOKUP(RiskRegister[[#This Row],[Inherent Risk Rating]],'Rating factors'!$F$30:$G$44,2,FALSE),"-- Error --")</f>
        <v>-- Error --</v>
      </c>
      <c r="Q872" s="17" t="str">
        <f>IFERROR(RiskRegister[[#This Row],[Inherent Impact Rating]]*RiskRegister[[#This Row],[Inherent Likelihood Rating]],"-- Error --")</f>
        <v>-- Error --</v>
      </c>
      <c r="R872" s="16" t="s">
        <v>98</v>
      </c>
      <c r="T872" s="16" t="s">
        <v>99</v>
      </c>
      <c r="U872" s="17" t="e" cm="1">
        <f t="array" aca="1" ref="U872" ca="1">+U872:Y1019VLOOKUP(RiskRegister[[#This Row],[Residual Impact Level]],'Rating factors'!$F$4:$G$9,2,FALSE)</f>
        <v>#NAME?</v>
      </c>
      <c r="V872" s="16" t="s">
        <v>79</v>
      </c>
      <c r="W872" s="17" t="str">
        <f>VLOOKUP(RiskRegister[[#This Row],[Residual Likelihood Level]],'Rating factors'!$F$16:$G$21,2,FALSE)</f>
        <v>--- Error ---</v>
      </c>
      <c r="X872" s="17" t="str">
        <f ca="1">IFERROR(VLOOKUP(RiskRegister[[#This Row],[Residual Risk Rating]],'Rating factors'!$F$30:$G$44,2,FALSE),"-- Error --")</f>
        <v>-- Error --</v>
      </c>
      <c r="Y872" s="17" t="str">
        <f ca="1">IFERROR(RiskRegister[[#This Row],[Residual Impact Rating]]*RiskRegister[[#This Row],[Residual Likelihood Rating]],"-- Error --")</f>
        <v>-- Error --</v>
      </c>
      <c r="Z872" s="16" t="s">
        <v>100</v>
      </c>
      <c r="AB872" s="39"/>
      <c r="AD872" s="20"/>
    </row>
    <row r="873" spans="1:30" s="16" customFormat="1" hidden="1" x14ac:dyDescent="0.25">
      <c r="A873" s="16">
        <v>870</v>
      </c>
      <c r="G873" s="16" t="s">
        <v>77</v>
      </c>
      <c r="I873" s="16" t="s">
        <v>75</v>
      </c>
      <c r="L873" s="105" t="s">
        <v>99</v>
      </c>
      <c r="M873" s="17" t="str">
        <f>VLOOKUP(RiskRegister[[#This Row],[Inherent Impact LevelL3:L1020D1007L3:L1019]],'Rating factors'!$F$4:$G$9,2,FALSE)</f>
        <v>--- Error ---</v>
      </c>
      <c r="N873" s="16" t="s">
        <v>79</v>
      </c>
      <c r="O873" s="17" t="str">
        <f>VLOOKUP(RiskRegister[[#This Row],[Inherent Likelihood Level]],'Rating factors'!$F$16:$G$21,2,FALSE)</f>
        <v>--- Error ---</v>
      </c>
      <c r="P873" s="17" t="str">
        <f>IFERROR(VLOOKUP(RiskRegister[[#This Row],[Inherent Risk Rating]],'Rating factors'!$F$30:$G$44,2,FALSE),"-- Error --")</f>
        <v>-- Error --</v>
      </c>
      <c r="Q873" s="17" t="str">
        <f>IFERROR(RiskRegister[[#This Row],[Inherent Impact Rating]]*RiskRegister[[#This Row],[Inherent Likelihood Rating]],"-- Error --")</f>
        <v>-- Error --</v>
      </c>
      <c r="R873" s="16" t="s">
        <v>98</v>
      </c>
      <c r="T873" s="16" t="s">
        <v>99</v>
      </c>
      <c r="U873" s="17" t="e" cm="1">
        <f t="array" aca="1" ref="U873" ca="1">+U873:Y1019VLOOKUP(RiskRegister[[#This Row],[Residual Impact Level]],'Rating factors'!$F$4:$G$9,2,FALSE)</f>
        <v>#NAME?</v>
      </c>
      <c r="V873" s="16" t="s">
        <v>79</v>
      </c>
      <c r="W873" s="17" t="str">
        <f>VLOOKUP(RiskRegister[[#This Row],[Residual Likelihood Level]],'Rating factors'!$F$16:$G$21,2,FALSE)</f>
        <v>--- Error ---</v>
      </c>
      <c r="X873" s="17" t="str">
        <f ca="1">IFERROR(VLOOKUP(RiskRegister[[#This Row],[Residual Risk Rating]],'Rating factors'!$F$30:$G$44,2,FALSE),"-- Error --")</f>
        <v>-- Error --</v>
      </c>
      <c r="Y873" s="17" t="str">
        <f ca="1">IFERROR(RiskRegister[[#This Row],[Residual Impact Rating]]*RiskRegister[[#This Row],[Residual Likelihood Rating]],"-- Error --")</f>
        <v>-- Error --</v>
      </c>
      <c r="Z873" s="16" t="s">
        <v>100</v>
      </c>
      <c r="AB873" s="39"/>
      <c r="AD873" s="20"/>
    </row>
    <row r="874" spans="1:30" s="16" customFormat="1" hidden="1" x14ac:dyDescent="0.25">
      <c r="A874" s="16">
        <v>871</v>
      </c>
      <c r="G874" s="16" t="s">
        <v>77</v>
      </c>
      <c r="I874" s="16" t="s">
        <v>75</v>
      </c>
      <c r="L874" s="105" t="s">
        <v>99</v>
      </c>
      <c r="M874" s="17" t="str">
        <f>VLOOKUP(RiskRegister[[#This Row],[Inherent Impact LevelL3:L1020D1007L3:L1019]],'Rating factors'!$F$4:$G$9,2,FALSE)</f>
        <v>--- Error ---</v>
      </c>
      <c r="N874" s="16" t="s">
        <v>79</v>
      </c>
      <c r="O874" s="17" t="str">
        <f>VLOOKUP(RiskRegister[[#This Row],[Inherent Likelihood Level]],'Rating factors'!$F$16:$G$21,2,FALSE)</f>
        <v>--- Error ---</v>
      </c>
      <c r="P874" s="17" t="str">
        <f>IFERROR(VLOOKUP(RiskRegister[[#This Row],[Inherent Risk Rating]],'Rating factors'!$F$30:$G$44,2,FALSE),"-- Error --")</f>
        <v>-- Error --</v>
      </c>
      <c r="Q874" s="17" t="str">
        <f>IFERROR(RiskRegister[[#This Row],[Inherent Impact Rating]]*RiskRegister[[#This Row],[Inherent Likelihood Rating]],"-- Error --")</f>
        <v>-- Error --</v>
      </c>
      <c r="R874" s="16" t="s">
        <v>98</v>
      </c>
      <c r="T874" s="16" t="s">
        <v>99</v>
      </c>
      <c r="U874" s="17" t="e" cm="1">
        <f t="array" aca="1" ref="U874" ca="1">+U874:Y1019VLOOKUP(RiskRegister[[#This Row],[Residual Impact Level]],'Rating factors'!$F$4:$G$9,2,FALSE)</f>
        <v>#NAME?</v>
      </c>
      <c r="V874" s="16" t="s">
        <v>79</v>
      </c>
      <c r="W874" s="17" t="str">
        <f>VLOOKUP(RiskRegister[[#This Row],[Residual Likelihood Level]],'Rating factors'!$F$16:$G$21,2,FALSE)</f>
        <v>--- Error ---</v>
      </c>
      <c r="X874" s="17" t="str">
        <f ca="1">IFERROR(VLOOKUP(RiskRegister[[#This Row],[Residual Risk Rating]],'Rating factors'!$F$30:$G$44,2,FALSE),"-- Error --")</f>
        <v>-- Error --</v>
      </c>
      <c r="Y874" s="17" t="str">
        <f ca="1">IFERROR(RiskRegister[[#This Row],[Residual Impact Rating]]*RiskRegister[[#This Row],[Residual Likelihood Rating]],"-- Error --")</f>
        <v>-- Error --</v>
      </c>
      <c r="Z874" s="16" t="s">
        <v>100</v>
      </c>
      <c r="AB874" s="39"/>
      <c r="AD874" s="20"/>
    </row>
    <row r="875" spans="1:30" s="16" customFormat="1" hidden="1" x14ac:dyDescent="0.25">
      <c r="A875" s="16">
        <v>872</v>
      </c>
      <c r="G875" s="16" t="s">
        <v>77</v>
      </c>
      <c r="I875" s="16" t="s">
        <v>75</v>
      </c>
      <c r="L875" s="105" t="s">
        <v>99</v>
      </c>
      <c r="M875" s="17" t="str">
        <f>VLOOKUP(RiskRegister[[#This Row],[Inherent Impact LevelL3:L1020D1007L3:L1019]],'Rating factors'!$F$4:$G$9,2,FALSE)</f>
        <v>--- Error ---</v>
      </c>
      <c r="N875" s="16" t="s">
        <v>79</v>
      </c>
      <c r="O875" s="17" t="str">
        <f>VLOOKUP(RiskRegister[[#This Row],[Inherent Likelihood Level]],'Rating factors'!$F$16:$G$21,2,FALSE)</f>
        <v>--- Error ---</v>
      </c>
      <c r="P875" s="17" t="str">
        <f>IFERROR(VLOOKUP(RiskRegister[[#This Row],[Inherent Risk Rating]],'Rating factors'!$F$30:$G$44,2,FALSE),"-- Error --")</f>
        <v>-- Error --</v>
      </c>
      <c r="Q875" s="17" t="str">
        <f>IFERROR(RiskRegister[[#This Row],[Inherent Impact Rating]]*RiskRegister[[#This Row],[Inherent Likelihood Rating]],"-- Error --")</f>
        <v>-- Error --</v>
      </c>
      <c r="R875" s="16" t="s">
        <v>98</v>
      </c>
      <c r="T875" s="16" t="s">
        <v>99</v>
      </c>
      <c r="U875" s="17" t="e" cm="1">
        <f t="array" aca="1" ref="U875" ca="1">+U875:Y1019VLOOKUP(RiskRegister[[#This Row],[Residual Impact Level]],'Rating factors'!$F$4:$G$9,2,FALSE)</f>
        <v>#NAME?</v>
      </c>
      <c r="V875" s="16" t="s">
        <v>79</v>
      </c>
      <c r="W875" s="17" t="str">
        <f>VLOOKUP(RiskRegister[[#This Row],[Residual Likelihood Level]],'Rating factors'!$F$16:$G$21,2,FALSE)</f>
        <v>--- Error ---</v>
      </c>
      <c r="X875" s="17" t="str">
        <f ca="1">IFERROR(VLOOKUP(RiskRegister[[#This Row],[Residual Risk Rating]],'Rating factors'!$F$30:$G$44,2,FALSE),"-- Error --")</f>
        <v>-- Error --</v>
      </c>
      <c r="Y875" s="17" t="str">
        <f ca="1">IFERROR(RiskRegister[[#This Row],[Residual Impact Rating]]*RiskRegister[[#This Row],[Residual Likelihood Rating]],"-- Error --")</f>
        <v>-- Error --</v>
      </c>
      <c r="Z875" s="16" t="s">
        <v>100</v>
      </c>
      <c r="AB875" s="39"/>
      <c r="AD875" s="20"/>
    </row>
    <row r="876" spans="1:30" s="16" customFormat="1" hidden="1" x14ac:dyDescent="0.25">
      <c r="A876" s="16">
        <v>873</v>
      </c>
      <c r="G876" s="16" t="s">
        <v>77</v>
      </c>
      <c r="I876" s="16" t="s">
        <v>75</v>
      </c>
      <c r="L876" s="105" t="s">
        <v>99</v>
      </c>
      <c r="M876" s="17" t="str">
        <f>VLOOKUP(RiskRegister[[#This Row],[Inherent Impact LevelL3:L1020D1007L3:L1019]],'Rating factors'!$F$4:$G$9,2,FALSE)</f>
        <v>--- Error ---</v>
      </c>
      <c r="N876" s="16" t="s">
        <v>79</v>
      </c>
      <c r="O876" s="17" t="str">
        <f>VLOOKUP(RiskRegister[[#This Row],[Inherent Likelihood Level]],'Rating factors'!$F$16:$G$21,2,FALSE)</f>
        <v>--- Error ---</v>
      </c>
      <c r="P876" s="17" t="str">
        <f>IFERROR(VLOOKUP(RiskRegister[[#This Row],[Inherent Risk Rating]],'Rating factors'!$F$30:$G$44,2,FALSE),"-- Error --")</f>
        <v>-- Error --</v>
      </c>
      <c r="Q876" s="17" t="str">
        <f>IFERROR(RiskRegister[[#This Row],[Inherent Impact Rating]]*RiskRegister[[#This Row],[Inherent Likelihood Rating]],"-- Error --")</f>
        <v>-- Error --</v>
      </c>
      <c r="R876" s="16" t="s">
        <v>98</v>
      </c>
      <c r="T876" s="16" t="s">
        <v>99</v>
      </c>
      <c r="U876" s="17" t="e" cm="1">
        <f t="array" aca="1" ref="U876" ca="1">+U876:Y1019VLOOKUP(RiskRegister[[#This Row],[Residual Impact Level]],'Rating factors'!$F$4:$G$9,2,FALSE)</f>
        <v>#NAME?</v>
      </c>
      <c r="V876" s="16" t="s">
        <v>79</v>
      </c>
      <c r="W876" s="17" t="str">
        <f>VLOOKUP(RiskRegister[[#This Row],[Residual Likelihood Level]],'Rating factors'!$F$16:$G$21,2,FALSE)</f>
        <v>--- Error ---</v>
      </c>
      <c r="X876" s="17" t="str">
        <f ca="1">IFERROR(VLOOKUP(RiskRegister[[#This Row],[Residual Risk Rating]],'Rating factors'!$F$30:$G$44,2,FALSE),"-- Error --")</f>
        <v>-- Error --</v>
      </c>
      <c r="Y876" s="17" t="str">
        <f ca="1">IFERROR(RiskRegister[[#This Row],[Residual Impact Rating]]*RiskRegister[[#This Row],[Residual Likelihood Rating]],"-- Error --")</f>
        <v>-- Error --</v>
      </c>
      <c r="Z876" s="16" t="s">
        <v>100</v>
      </c>
      <c r="AB876" s="39"/>
      <c r="AD876" s="20"/>
    </row>
    <row r="877" spans="1:30" s="16" customFormat="1" hidden="1" x14ac:dyDescent="0.25">
      <c r="A877" s="16">
        <v>874</v>
      </c>
      <c r="G877" s="16" t="s">
        <v>77</v>
      </c>
      <c r="I877" s="16" t="s">
        <v>75</v>
      </c>
      <c r="L877" s="105" t="s">
        <v>99</v>
      </c>
      <c r="M877" s="17" t="str">
        <f>VLOOKUP(RiskRegister[[#This Row],[Inherent Impact LevelL3:L1020D1007L3:L1019]],'Rating factors'!$F$4:$G$9,2,FALSE)</f>
        <v>--- Error ---</v>
      </c>
      <c r="N877" s="16" t="s">
        <v>79</v>
      </c>
      <c r="O877" s="17" t="str">
        <f>VLOOKUP(RiskRegister[[#This Row],[Inherent Likelihood Level]],'Rating factors'!$F$16:$G$21,2,FALSE)</f>
        <v>--- Error ---</v>
      </c>
      <c r="P877" s="17" t="str">
        <f>IFERROR(VLOOKUP(RiskRegister[[#This Row],[Inherent Risk Rating]],'Rating factors'!$F$30:$G$44,2,FALSE),"-- Error --")</f>
        <v>-- Error --</v>
      </c>
      <c r="Q877" s="17" t="str">
        <f>IFERROR(RiskRegister[[#This Row],[Inherent Impact Rating]]*RiskRegister[[#This Row],[Inherent Likelihood Rating]],"-- Error --")</f>
        <v>-- Error --</v>
      </c>
      <c r="R877" s="16" t="s">
        <v>98</v>
      </c>
      <c r="T877" s="16" t="s">
        <v>99</v>
      </c>
      <c r="U877" s="17" t="e" cm="1">
        <f t="array" aca="1" ref="U877" ca="1">+U877:Y1019VLOOKUP(RiskRegister[[#This Row],[Residual Impact Level]],'Rating factors'!$F$4:$G$9,2,FALSE)</f>
        <v>#NAME?</v>
      </c>
      <c r="V877" s="16" t="s">
        <v>79</v>
      </c>
      <c r="W877" s="17" t="str">
        <f>VLOOKUP(RiskRegister[[#This Row],[Residual Likelihood Level]],'Rating factors'!$F$16:$G$21,2,FALSE)</f>
        <v>--- Error ---</v>
      </c>
      <c r="X877" s="17" t="str">
        <f ca="1">IFERROR(VLOOKUP(RiskRegister[[#This Row],[Residual Risk Rating]],'Rating factors'!$F$30:$G$44,2,FALSE),"-- Error --")</f>
        <v>-- Error --</v>
      </c>
      <c r="Y877" s="17" t="str">
        <f ca="1">IFERROR(RiskRegister[[#This Row],[Residual Impact Rating]]*RiskRegister[[#This Row],[Residual Likelihood Rating]],"-- Error --")</f>
        <v>-- Error --</v>
      </c>
      <c r="Z877" s="16" t="s">
        <v>100</v>
      </c>
      <c r="AB877" s="39"/>
      <c r="AD877" s="20"/>
    </row>
    <row r="878" spans="1:30" s="16" customFormat="1" hidden="1" x14ac:dyDescent="0.25">
      <c r="A878" s="16">
        <v>875</v>
      </c>
      <c r="G878" s="16" t="s">
        <v>77</v>
      </c>
      <c r="I878" s="16" t="s">
        <v>75</v>
      </c>
      <c r="L878" s="105" t="s">
        <v>99</v>
      </c>
      <c r="M878" s="17" t="str">
        <f>VLOOKUP(RiskRegister[[#This Row],[Inherent Impact LevelL3:L1020D1007L3:L1019]],'Rating factors'!$F$4:$G$9,2,FALSE)</f>
        <v>--- Error ---</v>
      </c>
      <c r="N878" s="16" t="s">
        <v>79</v>
      </c>
      <c r="O878" s="17" t="str">
        <f>VLOOKUP(RiskRegister[[#This Row],[Inherent Likelihood Level]],'Rating factors'!$F$16:$G$21,2,FALSE)</f>
        <v>--- Error ---</v>
      </c>
      <c r="P878" s="17" t="str">
        <f>IFERROR(VLOOKUP(RiskRegister[[#This Row],[Inherent Risk Rating]],'Rating factors'!$F$30:$G$44,2,FALSE),"-- Error --")</f>
        <v>-- Error --</v>
      </c>
      <c r="Q878" s="17" t="str">
        <f>IFERROR(RiskRegister[[#This Row],[Inherent Impact Rating]]*RiskRegister[[#This Row],[Inherent Likelihood Rating]],"-- Error --")</f>
        <v>-- Error --</v>
      </c>
      <c r="R878" s="16" t="s">
        <v>98</v>
      </c>
      <c r="T878" s="16" t="s">
        <v>99</v>
      </c>
      <c r="U878" s="17" t="e" cm="1">
        <f t="array" aca="1" ref="U878" ca="1">+U878:Y1019VLOOKUP(RiskRegister[[#This Row],[Residual Impact Level]],'Rating factors'!$F$4:$G$9,2,FALSE)</f>
        <v>#NAME?</v>
      </c>
      <c r="V878" s="16" t="s">
        <v>79</v>
      </c>
      <c r="W878" s="17" t="str">
        <f>VLOOKUP(RiskRegister[[#This Row],[Residual Likelihood Level]],'Rating factors'!$F$16:$G$21,2,FALSE)</f>
        <v>--- Error ---</v>
      </c>
      <c r="X878" s="17" t="str">
        <f ca="1">IFERROR(VLOOKUP(RiskRegister[[#This Row],[Residual Risk Rating]],'Rating factors'!$F$30:$G$44,2,FALSE),"-- Error --")</f>
        <v>-- Error --</v>
      </c>
      <c r="Y878" s="17" t="str">
        <f ca="1">IFERROR(RiskRegister[[#This Row],[Residual Impact Rating]]*RiskRegister[[#This Row],[Residual Likelihood Rating]],"-- Error --")</f>
        <v>-- Error --</v>
      </c>
      <c r="Z878" s="16" t="s">
        <v>100</v>
      </c>
      <c r="AB878" s="39"/>
      <c r="AD878" s="20"/>
    </row>
    <row r="879" spans="1:30" s="16" customFormat="1" hidden="1" x14ac:dyDescent="0.25">
      <c r="A879" s="16">
        <v>876</v>
      </c>
      <c r="G879" s="16" t="s">
        <v>77</v>
      </c>
      <c r="I879" s="16" t="s">
        <v>75</v>
      </c>
      <c r="L879" s="105" t="s">
        <v>99</v>
      </c>
      <c r="M879" s="17" t="str">
        <f>VLOOKUP(RiskRegister[[#This Row],[Inherent Impact LevelL3:L1020D1007L3:L1019]],'Rating factors'!$F$4:$G$9,2,FALSE)</f>
        <v>--- Error ---</v>
      </c>
      <c r="N879" s="16" t="s">
        <v>79</v>
      </c>
      <c r="O879" s="17" t="str">
        <f>VLOOKUP(RiskRegister[[#This Row],[Inherent Likelihood Level]],'Rating factors'!$F$16:$G$21,2,FALSE)</f>
        <v>--- Error ---</v>
      </c>
      <c r="P879" s="17" t="str">
        <f>IFERROR(VLOOKUP(RiskRegister[[#This Row],[Inherent Risk Rating]],'Rating factors'!$F$30:$G$44,2,FALSE),"-- Error --")</f>
        <v>-- Error --</v>
      </c>
      <c r="Q879" s="17" t="str">
        <f>IFERROR(RiskRegister[[#This Row],[Inherent Impact Rating]]*RiskRegister[[#This Row],[Inherent Likelihood Rating]],"-- Error --")</f>
        <v>-- Error --</v>
      </c>
      <c r="R879" s="16" t="s">
        <v>98</v>
      </c>
      <c r="T879" s="16" t="s">
        <v>99</v>
      </c>
      <c r="U879" s="17" t="e" cm="1">
        <f t="array" aca="1" ref="U879" ca="1">+U879:Y1019VLOOKUP(RiskRegister[[#This Row],[Residual Impact Level]],'Rating factors'!$F$4:$G$9,2,FALSE)</f>
        <v>#NAME?</v>
      </c>
      <c r="V879" s="16" t="s">
        <v>79</v>
      </c>
      <c r="W879" s="17" t="str">
        <f>VLOOKUP(RiskRegister[[#This Row],[Residual Likelihood Level]],'Rating factors'!$F$16:$G$21,2,FALSE)</f>
        <v>--- Error ---</v>
      </c>
      <c r="X879" s="17" t="str">
        <f ca="1">IFERROR(VLOOKUP(RiskRegister[[#This Row],[Residual Risk Rating]],'Rating factors'!$F$30:$G$44,2,FALSE),"-- Error --")</f>
        <v>-- Error --</v>
      </c>
      <c r="Y879" s="17" t="str">
        <f ca="1">IFERROR(RiskRegister[[#This Row],[Residual Impact Rating]]*RiskRegister[[#This Row],[Residual Likelihood Rating]],"-- Error --")</f>
        <v>-- Error --</v>
      </c>
      <c r="Z879" s="16" t="s">
        <v>100</v>
      </c>
      <c r="AB879" s="39"/>
      <c r="AD879" s="20"/>
    </row>
    <row r="880" spans="1:30" s="16" customFormat="1" hidden="1" x14ac:dyDescent="0.25">
      <c r="A880" s="16">
        <v>877</v>
      </c>
      <c r="G880" s="16" t="s">
        <v>77</v>
      </c>
      <c r="I880" s="16" t="s">
        <v>75</v>
      </c>
      <c r="L880" s="105" t="s">
        <v>99</v>
      </c>
      <c r="M880" s="17" t="str">
        <f>VLOOKUP(RiskRegister[[#This Row],[Inherent Impact LevelL3:L1020D1007L3:L1019]],'Rating factors'!$F$4:$G$9,2,FALSE)</f>
        <v>--- Error ---</v>
      </c>
      <c r="N880" s="16" t="s">
        <v>79</v>
      </c>
      <c r="O880" s="17" t="str">
        <f>VLOOKUP(RiskRegister[[#This Row],[Inherent Likelihood Level]],'Rating factors'!$F$16:$G$21,2,FALSE)</f>
        <v>--- Error ---</v>
      </c>
      <c r="P880" s="17" t="str">
        <f>IFERROR(VLOOKUP(RiskRegister[[#This Row],[Inherent Risk Rating]],'Rating factors'!$F$30:$G$44,2,FALSE),"-- Error --")</f>
        <v>-- Error --</v>
      </c>
      <c r="Q880" s="17" t="str">
        <f>IFERROR(RiskRegister[[#This Row],[Inherent Impact Rating]]*RiskRegister[[#This Row],[Inherent Likelihood Rating]],"-- Error --")</f>
        <v>-- Error --</v>
      </c>
      <c r="R880" s="16" t="s">
        <v>98</v>
      </c>
      <c r="T880" s="16" t="s">
        <v>99</v>
      </c>
      <c r="U880" s="17" t="e" cm="1">
        <f t="array" aca="1" ref="U880" ca="1">+U880:Y1019VLOOKUP(RiskRegister[[#This Row],[Residual Impact Level]],'Rating factors'!$F$4:$G$9,2,FALSE)</f>
        <v>#NAME?</v>
      </c>
      <c r="V880" s="16" t="s">
        <v>79</v>
      </c>
      <c r="W880" s="17" t="str">
        <f>VLOOKUP(RiskRegister[[#This Row],[Residual Likelihood Level]],'Rating factors'!$F$16:$G$21,2,FALSE)</f>
        <v>--- Error ---</v>
      </c>
      <c r="X880" s="17" t="str">
        <f ca="1">IFERROR(VLOOKUP(RiskRegister[[#This Row],[Residual Risk Rating]],'Rating factors'!$F$30:$G$44,2,FALSE),"-- Error --")</f>
        <v>-- Error --</v>
      </c>
      <c r="Y880" s="17" t="str">
        <f ca="1">IFERROR(RiskRegister[[#This Row],[Residual Impact Rating]]*RiskRegister[[#This Row],[Residual Likelihood Rating]],"-- Error --")</f>
        <v>-- Error --</v>
      </c>
      <c r="Z880" s="16" t="s">
        <v>100</v>
      </c>
      <c r="AB880" s="39"/>
      <c r="AD880" s="20"/>
    </row>
    <row r="881" spans="1:30" s="16" customFormat="1" hidden="1" x14ac:dyDescent="0.25">
      <c r="A881" s="16">
        <v>878</v>
      </c>
      <c r="G881" s="16" t="s">
        <v>77</v>
      </c>
      <c r="I881" s="16" t="s">
        <v>75</v>
      </c>
      <c r="L881" s="105" t="s">
        <v>99</v>
      </c>
      <c r="M881" s="17" t="str">
        <f>VLOOKUP(RiskRegister[[#This Row],[Inherent Impact LevelL3:L1020D1007L3:L1019]],'Rating factors'!$F$4:$G$9,2,FALSE)</f>
        <v>--- Error ---</v>
      </c>
      <c r="N881" s="16" t="s">
        <v>79</v>
      </c>
      <c r="O881" s="17" t="str">
        <f>VLOOKUP(RiskRegister[[#This Row],[Inherent Likelihood Level]],'Rating factors'!$F$16:$G$21,2,FALSE)</f>
        <v>--- Error ---</v>
      </c>
      <c r="P881" s="17" t="str">
        <f>IFERROR(VLOOKUP(RiskRegister[[#This Row],[Inherent Risk Rating]],'Rating factors'!$F$30:$G$44,2,FALSE),"-- Error --")</f>
        <v>-- Error --</v>
      </c>
      <c r="Q881" s="17" t="str">
        <f>IFERROR(RiskRegister[[#This Row],[Inherent Impact Rating]]*RiskRegister[[#This Row],[Inherent Likelihood Rating]],"-- Error --")</f>
        <v>-- Error --</v>
      </c>
      <c r="R881" s="16" t="s">
        <v>98</v>
      </c>
      <c r="T881" s="16" t="s">
        <v>99</v>
      </c>
      <c r="U881" s="17" t="e" cm="1">
        <f t="array" aca="1" ref="U881" ca="1">+U881:Y1019VLOOKUP(RiskRegister[[#This Row],[Residual Impact Level]],'Rating factors'!$F$4:$G$9,2,FALSE)</f>
        <v>#NAME?</v>
      </c>
      <c r="V881" s="16" t="s">
        <v>79</v>
      </c>
      <c r="W881" s="17" t="str">
        <f>VLOOKUP(RiskRegister[[#This Row],[Residual Likelihood Level]],'Rating factors'!$F$16:$G$21,2,FALSE)</f>
        <v>--- Error ---</v>
      </c>
      <c r="X881" s="17" t="str">
        <f ca="1">IFERROR(VLOOKUP(RiskRegister[[#This Row],[Residual Risk Rating]],'Rating factors'!$F$30:$G$44,2,FALSE),"-- Error --")</f>
        <v>-- Error --</v>
      </c>
      <c r="Y881" s="17" t="str">
        <f ca="1">IFERROR(RiskRegister[[#This Row],[Residual Impact Rating]]*RiskRegister[[#This Row],[Residual Likelihood Rating]],"-- Error --")</f>
        <v>-- Error --</v>
      </c>
      <c r="Z881" s="16" t="s">
        <v>100</v>
      </c>
      <c r="AB881" s="39"/>
      <c r="AD881" s="20"/>
    </row>
    <row r="882" spans="1:30" s="16" customFormat="1" hidden="1" x14ac:dyDescent="0.25">
      <c r="A882" s="16">
        <v>879</v>
      </c>
      <c r="G882" s="16" t="s">
        <v>77</v>
      </c>
      <c r="I882" s="16" t="s">
        <v>75</v>
      </c>
      <c r="L882" s="105" t="s">
        <v>99</v>
      </c>
      <c r="M882" s="17" t="str">
        <f>VLOOKUP(RiskRegister[[#This Row],[Inherent Impact LevelL3:L1020D1007L3:L1019]],'Rating factors'!$F$4:$G$9,2,FALSE)</f>
        <v>--- Error ---</v>
      </c>
      <c r="N882" s="16" t="s">
        <v>79</v>
      </c>
      <c r="O882" s="17" t="str">
        <f>VLOOKUP(RiskRegister[[#This Row],[Inherent Likelihood Level]],'Rating factors'!$F$16:$G$21,2,FALSE)</f>
        <v>--- Error ---</v>
      </c>
      <c r="P882" s="17" t="str">
        <f>IFERROR(VLOOKUP(RiskRegister[[#This Row],[Inherent Risk Rating]],'Rating factors'!$F$30:$G$44,2,FALSE),"-- Error --")</f>
        <v>-- Error --</v>
      </c>
      <c r="Q882" s="17" t="str">
        <f>IFERROR(RiskRegister[[#This Row],[Inherent Impact Rating]]*RiskRegister[[#This Row],[Inherent Likelihood Rating]],"-- Error --")</f>
        <v>-- Error --</v>
      </c>
      <c r="R882" s="16" t="s">
        <v>98</v>
      </c>
      <c r="T882" s="16" t="s">
        <v>99</v>
      </c>
      <c r="U882" s="17" t="e" cm="1">
        <f t="array" aca="1" ref="U882" ca="1">+U882:Y1019VLOOKUP(RiskRegister[[#This Row],[Residual Impact Level]],'Rating factors'!$F$4:$G$9,2,FALSE)</f>
        <v>#NAME?</v>
      </c>
      <c r="V882" s="16" t="s">
        <v>79</v>
      </c>
      <c r="W882" s="17" t="str">
        <f>VLOOKUP(RiskRegister[[#This Row],[Residual Likelihood Level]],'Rating factors'!$F$16:$G$21,2,FALSE)</f>
        <v>--- Error ---</v>
      </c>
      <c r="X882" s="17" t="str">
        <f ca="1">IFERROR(VLOOKUP(RiskRegister[[#This Row],[Residual Risk Rating]],'Rating factors'!$F$30:$G$44,2,FALSE),"-- Error --")</f>
        <v>-- Error --</v>
      </c>
      <c r="Y882" s="17" t="str">
        <f ca="1">IFERROR(RiskRegister[[#This Row],[Residual Impact Rating]]*RiskRegister[[#This Row],[Residual Likelihood Rating]],"-- Error --")</f>
        <v>-- Error --</v>
      </c>
      <c r="Z882" s="16" t="s">
        <v>100</v>
      </c>
      <c r="AB882" s="39"/>
      <c r="AD882" s="20"/>
    </row>
    <row r="883" spans="1:30" s="16" customFormat="1" hidden="1" x14ac:dyDescent="0.25">
      <c r="A883" s="16">
        <v>880</v>
      </c>
      <c r="G883" s="16" t="s">
        <v>77</v>
      </c>
      <c r="I883" s="16" t="s">
        <v>75</v>
      </c>
      <c r="L883" s="105" t="s">
        <v>99</v>
      </c>
      <c r="M883" s="17" t="str">
        <f>VLOOKUP(RiskRegister[[#This Row],[Inherent Impact LevelL3:L1020D1007L3:L1019]],'Rating factors'!$F$4:$G$9,2,FALSE)</f>
        <v>--- Error ---</v>
      </c>
      <c r="N883" s="16" t="s">
        <v>79</v>
      </c>
      <c r="O883" s="17" t="str">
        <f>VLOOKUP(RiskRegister[[#This Row],[Inherent Likelihood Level]],'Rating factors'!$F$16:$G$21,2,FALSE)</f>
        <v>--- Error ---</v>
      </c>
      <c r="P883" s="17" t="str">
        <f>IFERROR(VLOOKUP(RiskRegister[[#This Row],[Inherent Risk Rating]],'Rating factors'!$F$30:$G$44,2,FALSE),"-- Error --")</f>
        <v>-- Error --</v>
      </c>
      <c r="Q883" s="17" t="str">
        <f>IFERROR(RiskRegister[[#This Row],[Inherent Impact Rating]]*RiskRegister[[#This Row],[Inherent Likelihood Rating]],"-- Error --")</f>
        <v>-- Error --</v>
      </c>
      <c r="R883" s="16" t="s">
        <v>98</v>
      </c>
      <c r="T883" s="16" t="s">
        <v>99</v>
      </c>
      <c r="U883" s="17" t="e" cm="1">
        <f t="array" aca="1" ref="U883" ca="1">+U883:Y1019VLOOKUP(RiskRegister[[#This Row],[Residual Impact Level]],'Rating factors'!$F$4:$G$9,2,FALSE)</f>
        <v>#NAME?</v>
      </c>
      <c r="V883" s="16" t="s">
        <v>79</v>
      </c>
      <c r="W883" s="17" t="str">
        <f>VLOOKUP(RiskRegister[[#This Row],[Residual Likelihood Level]],'Rating factors'!$F$16:$G$21,2,FALSE)</f>
        <v>--- Error ---</v>
      </c>
      <c r="X883" s="17" t="str">
        <f ca="1">IFERROR(VLOOKUP(RiskRegister[[#This Row],[Residual Risk Rating]],'Rating factors'!$F$30:$G$44,2,FALSE),"-- Error --")</f>
        <v>-- Error --</v>
      </c>
      <c r="Y883" s="17" t="str">
        <f ca="1">IFERROR(RiskRegister[[#This Row],[Residual Impact Rating]]*RiskRegister[[#This Row],[Residual Likelihood Rating]],"-- Error --")</f>
        <v>-- Error --</v>
      </c>
      <c r="Z883" s="16" t="s">
        <v>100</v>
      </c>
      <c r="AB883" s="39"/>
      <c r="AD883" s="20"/>
    </row>
    <row r="884" spans="1:30" s="16" customFormat="1" hidden="1" x14ac:dyDescent="0.25">
      <c r="A884" s="16">
        <v>881</v>
      </c>
      <c r="G884" s="16" t="s">
        <v>77</v>
      </c>
      <c r="I884" s="16" t="s">
        <v>75</v>
      </c>
      <c r="L884" s="105" t="s">
        <v>99</v>
      </c>
      <c r="M884" s="17" t="str">
        <f>VLOOKUP(RiskRegister[[#This Row],[Inherent Impact LevelL3:L1020D1007L3:L1019]],'Rating factors'!$F$4:$G$9,2,FALSE)</f>
        <v>--- Error ---</v>
      </c>
      <c r="N884" s="16" t="s">
        <v>79</v>
      </c>
      <c r="O884" s="17" t="str">
        <f>VLOOKUP(RiskRegister[[#This Row],[Inherent Likelihood Level]],'Rating factors'!$F$16:$G$21,2,FALSE)</f>
        <v>--- Error ---</v>
      </c>
      <c r="P884" s="17" t="str">
        <f>IFERROR(VLOOKUP(RiskRegister[[#This Row],[Inherent Risk Rating]],'Rating factors'!$F$30:$G$44,2,FALSE),"-- Error --")</f>
        <v>-- Error --</v>
      </c>
      <c r="Q884" s="17" t="str">
        <f>IFERROR(RiskRegister[[#This Row],[Inherent Impact Rating]]*RiskRegister[[#This Row],[Inherent Likelihood Rating]],"-- Error --")</f>
        <v>-- Error --</v>
      </c>
      <c r="R884" s="16" t="s">
        <v>98</v>
      </c>
      <c r="T884" s="16" t="s">
        <v>99</v>
      </c>
      <c r="U884" s="17" t="e" cm="1">
        <f t="array" aca="1" ref="U884" ca="1">+U884:Y1019VLOOKUP(RiskRegister[[#This Row],[Residual Impact Level]],'Rating factors'!$F$4:$G$9,2,FALSE)</f>
        <v>#NAME?</v>
      </c>
      <c r="V884" s="16" t="s">
        <v>79</v>
      </c>
      <c r="W884" s="17" t="str">
        <f>VLOOKUP(RiskRegister[[#This Row],[Residual Likelihood Level]],'Rating factors'!$F$16:$G$21,2,FALSE)</f>
        <v>--- Error ---</v>
      </c>
      <c r="X884" s="17" t="str">
        <f ca="1">IFERROR(VLOOKUP(RiskRegister[[#This Row],[Residual Risk Rating]],'Rating factors'!$F$30:$G$44,2,FALSE),"-- Error --")</f>
        <v>-- Error --</v>
      </c>
      <c r="Y884" s="17" t="str">
        <f ca="1">IFERROR(RiskRegister[[#This Row],[Residual Impact Rating]]*RiskRegister[[#This Row],[Residual Likelihood Rating]],"-- Error --")</f>
        <v>-- Error --</v>
      </c>
      <c r="Z884" s="16" t="s">
        <v>100</v>
      </c>
      <c r="AB884" s="39"/>
      <c r="AD884" s="20"/>
    </row>
    <row r="885" spans="1:30" s="16" customFormat="1" hidden="1" x14ac:dyDescent="0.25">
      <c r="A885" s="16">
        <v>882</v>
      </c>
      <c r="G885" s="16" t="s">
        <v>77</v>
      </c>
      <c r="I885" s="16" t="s">
        <v>75</v>
      </c>
      <c r="L885" s="105" t="s">
        <v>99</v>
      </c>
      <c r="M885" s="17" t="str">
        <f>VLOOKUP(RiskRegister[[#This Row],[Inherent Impact LevelL3:L1020D1007L3:L1019]],'Rating factors'!$F$4:$G$9,2,FALSE)</f>
        <v>--- Error ---</v>
      </c>
      <c r="N885" s="16" t="s">
        <v>79</v>
      </c>
      <c r="O885" s="17" t="str">
        <f>VLOOKUP(RiskRegister[[#This Row],[Inherent Likelihood Level]],'Rating factors'!$F$16:$G$21,2,FALSE)</f>
        <v>--- Error ---</v>
      </c>
      <c r="P885" s="17" t="str">
        <f>IFERROR(VLOOKUP(RiskRegister[[#This Row],[Inherent Risk Rating]],'Rating factors'!$F$30:$G$44,2,FALSE),"-- Error --")</f>
        <v>-- Error --</v>
      </c>
      <c r="Q885" s="17" t="str">
        <f>IFERROR(RiskRegister[[#This Row],[Inherent Impact Rating]]*RiskRegister[[#This Row],[Inherent Likelihood Rating]],"-- Error --")</f>
        <v>-- Error --</v>
      </c>
      <c r="R885" s="16" t="s">
        <v>98</v>
      </c>
      <c r="T885" s="16" t="s">
        <v>99</v>
      </c>
      <c r="U885" s="17" t="e" cm="1">
        <f t="array" aca="1" ref="U885" ca="1">+U885:Y1019VLOOKUP(RiskRegister[[#This Row],[Residual Impact Level]],'Rating factors'!$F$4:$G$9,2,FALSE)</f>
        <v>#NAME?</v>
      </c>
      <c r="V885" s="16" t="s">
        <v>79</v>
      </c>
      <c r="W885" s="17" t="str">
        <f>VLOOKUP(RiskRegister[[#This Row],[Residual Likelihood Level]],'Rating factors'!$F$16:$G$21,2,FALSE)</f>
        <v>--- Error ---</v>
      </c>
      <c r="X885" s="17" t="str">
        <f ca="1">IFERROR(VLOOKUP(RiskRegister[[#This Row],[Residual Risk Rating]],'Rating factors'!$F$30:$G$44,2,FALSE),"-- Error --")</f>
        <v>-- Error --</v>
      </c>
      <c r="Y885" s="17" t="str">
        <f ca="1">IFERROR(RiskRegister[[#This Row],[Residual Impact Rating]]*RiskRegister[[#This Row],[Residual Likelihood Rating]],"-- Error --")</f>
        <v>-- Error --</v>
      </c>
      <c r="Z885" s="16" t="s">
        <v>100</v>
      </c>
      <c r="AB885" s="39"/>
      <c r="AD885" s="20"/>
    </row>
    <row r="886" spans="1:30" s="16" customFormat="1" hidden="1" x14ac:dyDescent="0.25">
      <c r="A886" s="16">
        <v>883</v>
      </c>
      <c r="G886" s="16" t="s">
        <v>77</v>
      </c>
      <c r="I886" s="16" t="s">
        <v>75</v>
      </c>
      <c r="L886" s="105" t="s">
        <v>99</v>
      </c>
      <c r="M886" s="17" t="str">
        <f>VLOOKUP(RiskRegister[[#This Row],[Inherent Impact LevelL3:L1020D1007L3:L1019]],'Rating factors'!$F$4:$G$9,2,FALSE)</f>
        <v>--- Error ---</v>
      </c>
      <c r="N886" s="16" t="s">
        <v>79</v>
      </c>
      <c r="O886" s="17" t="str">
        <f>VLOOKUP(RiskRegister[[#This Row],[Inherent Likelihood Level]],'Rating factors'!$F$16:$G$21,2,FALSE)</f>
        <v>--- Error ---</v>
      </c>
      <c r="P886" s="17" t="str">
        <f>IFERROR(VLOOKUP(RiskRegister[[#This Row],[Inherent Risk Rating]],'Rating factors'!$F$30:$G$44,2,FALSE),"-- Error --")</f>
        <v>-- Error --</v>
      </c>
      <c r="Q886" s="17" t="str">
        <f>IFERROR(RiskRegister[[#This Row],[Inherent Impact Rating]]*RiskRegister[[#This Row],[Inherent Likelihood Rating]],"-- Error --")</f>
        <v>-- Error --</v>
      </c>
      <c r="R886" s="16" t="s">
        <v>98</v>
      </c>
      <c r="T886" s="16" t="s">
        <v>99</v>
      </c>
      <c r="U886" s="17" t="e" cm="1">
        <f t="array" aca="1" ref="U886" ca="1">+U886:Y1019VLOOKUP(RiskRegister[[#This Row],[Residual Impact Level]],'Rating factors'!$F$4:$G$9,2,FALSE)</f>
        <v>#NAME?</v>
      </c>
      <c r="V886" s="16" t="s">
        <v>79</v>
      </c>
      <c r="W886" s="17" t="str">
        <f>VLOOKUP(RiskRegister[[#This Row],[Residual Likelihood Level]],'Rating factors'!$F$16:$G$21,2,FALSE)</f>
        <v>--- Error ---</v>
      </c>
      <c r="X886" s="17" t="str">
        <f ca="1">IFERROR(VLOOKUP(RiskRegister[[#This Row],[Residual Risk Rating]],'Rating factors'!$F$30:$G$44,2,FALSE),"-- Error --")</f>
        <v>-- Error --</v>
      </c>
      <c r="Y886" s="17" t="str">
        <f ca="1">IFERROR(RiskRegister[[#This Row],[Residual Impact Rating]]*RiskRegister[[#This Row],[Residual Likelihood Rating]],"-- Error --")</f>
        <v>-- Error --</v>
      </c>
      <c r="Z886" s="16" t="s">
        <v>100</v>
      </c>
      <c r="AB886" s="39"/>
      <c r="AD886" s="20"/>
    </row>
    <row r="887" spans="1:30" s="16" customFormat="1" hidden="1" x14ac:dyDescent="0.25">
      <c r="A887" s="16">
        <v>884</v>
      </c>
      <c r="G887" s="16" t="s">
        <v>77</v>
      </c>
      <c r="I887" s="16" t="s">
        <v>75</v>
      </c>
      <c r="L887" s="105" t="s">
        <v>99</v>
      </c>
      <c r="M887" s="17" t="str">
        <f>VLOOKUP(RiskRegister[[#This Row],[Inherent Impact LevelL3:L1020D1007L3:L1019]],'Rating factors'!$F$4:$G$9,2,FALSE)</f>
        <v>--- Error ---</v>
      </c>
      <c r="N887" s="16" t="s">
        <v>79</v>
      </c>
      <c r="O887" s="17" t="str">
        <f>VLOOKUP(RiskRegister[[#This Row],[Inherent Likelihood Level]],'Rating factors'!$F$16:$G$21,2,FALSE)</f>
        <v>--- Error ---</v>
      </c>
      <c r="P887" s="17" t="str">
        <f>IFERROR(VLOOKUP(RiskRegister[[#This Row],[Inherent Risk Rating]],'Rating factors'!$F$30:$G$44,2,FALSE),"-- Error --")</f>
        <v>-- Error --</v>
      </c>
      <c r="Q887" s="17" t="str">
        <f>IFERROR(RiskRegister[[#This Row],[Inherent Impact Rating]]*RiskRegister[[#This Row],[Inherent Likelihood Rating]],"-- Error --")</f>
        <v>-- Error --</v>
      </c>
      <c r="R887" s="16" t="s">
        <v>98</v>
      </c>
      <c r="T887" s="16" t="s">
        <v>99</v>
      </c>
      <c r="U887" s="17" t="e" cm="1">
        <f t="array" aca="1" ref="U887" ca="1">+U887:Y1019VLOOKUP(RiskRegister[[#This Row],[Residual Impact Level]],'Rating factors'!$F$4:$G$9,2,FALSE)</f>
        <v>#NAME?</v>
      </c>
      <c r="V887" s="16" t="s">
        <v>79</v>
      </c>
      <c r="W887" s="17" t="str">
        <f>VLOOKUP(RiskRegister[[#This Row],[Residual Likelihood Level]],'Rating factors'!$F$16:$G$21,2,FALSE)</f>
        <v>--- Error ---</v>
      </c>
      <c r="X887" s="17" t="str">
        <f ca="1">IFERROR(VLOOKUP(RiskRegister[[#This Row],[Residual Risk Rating]],'Rating factors'!$F$30:$G$44,2,FALSE),"-- Error --")</f>
        <v>-- Error --</v>
      </c>
      <c r="Y887" s="17" t="str">
        <f ca="1">IFERROR(RiskRegister[[#This Row],[Residual Impact Rating]]*RiskRegister[[#This Row],[Residual Likelihood Rating]],"-- Error --")</f>
        <v>-- Error --</v>
      </c>
      <c r="Z887" s="16" t="s">
        <v>100</v>
      </c>
      <c r="AB887" s="39"/>
      <c r="AD887" s="20"/>
    </row>
    <row r="888" spans="1:30" s="16" customFormat="1" hidden="1" x14ac:dyDescent="0.25">
      <c r="A888" s="16">
        <v>885</v>
      </c>
      <c r="G888" s="16" t="s">
        <v>77</v>
      </c>
      <c r="I888" s="16" t="s">
        <v>75</v>
      </c>
      <c r="L888" s="105" t="s">
        <v>99</v>
      </c>
      <c r="M888" s="17" t="str">
        <f>VLOOKUP(RiskRegister[[#This Row],[Inherent Impact LevelL3:L1020D1007L3:L1019]],'Rating factors'!$F$4:$G$9,2,FALSE)</f>
        <v>--- Error ---</v>
      </c>
      <c r="N888" s="16" t="s">
        <v>79</v>
      </c>
      <c r="O888" s="17" t="str">
        <f>VLOOKUP(RiskRegister[[#This Row],[Inherent Likelihood Level]],'Rating factors'!$F$16:$G$21,2,FALSE)</f>
        <v>--- Error ---</v>
      </c>
      <c r="P888" s="17" t="str">
        <f>IFERROR(VLOOKUP(RiskRegister[[#This Row],[Inherent Risk Rating]],'Rating factors'!$F$30:$G$44,2,FALSE),"-- Error --")</f>
        <v>-- Error --</v>
      </c>
      <c r="Q888" s="17" t="str">
        <f>IFERROR(RiskRegister[[#This Row],[Inherent Impact Rating]]*RiskRegister[[#This Row],[Inherent Likelihood Rating]],"-- Error --")</f>
        <v>-- Error --</v>
      </c>
      <c r="R888" s="16" t="s">
        <v>98</v>
      </c>
      <c r="T888" s="16" t="s">
        <v>99</v>
      </c>
      <c r="U888" s="17" t="e" cm="1">
        <f t="array" aca="1" ref="U888" ca="1">+U888:Y1019VLOOKUP(RiskRegister[[#This Row],[Residual Impact Level]],'Rating factors'!$F$4:$G$9,2,FALSE)</f>
        <v>#NAME?</v>
      </c>
      <c r="V888" s="16" t="s">
        <v>79</v>
      </c>
      <c r="W888" s="17" t="str">
        <f>VLOOKUP(RiskRegister[[#This Row],[Residual Likelihood Level]],'Rating factors'!$F$16:$G$21,2,FALSE)</f>
        <v>--- Error ---</v>
      </c>
      <c r="X888" s="17" t="str">
        <f ca="1">IFERROR(VLOOKUP(RiskRegister[[#This Row],[Residual Risk Rating]],'Rating factors'!$F$30:$G$44,2,FALSE),"-- Error --")</f>
        <v>-- Error --</v>
      </c>
      <c r="Y888" s="17" t="str">
        <f ca="1">IFERROR(RiskRegister[[#This Row],[Residual Impact Rating]]*RiskRegister[[#This Row],[Residual Likelihood Rating]],"-- Error --")</f>
        <v>-- Error --</v>
      </c>
      <c r="Z888" s="16" t="s">
        <v>100</v>
      </c>
      <c r="AB888" s="39"/>
      <c r="AD888" s="20"/>
    </row>
    <row r="889" spans="1:30" s="16" customFormat="1" hidden="1" x14ac:dyDescent="0.25">
      <c r="A889" s="16">
        <v>886</v>
      </c>
      <c r="G889" s="16" t="s">
        <v>77</v>
      </c>
      <c r="I889" s="16" t="s">
        <v>75</v>
      </c>
      <c r="L889" s="105" t="s">
        <v>99</v>
      </c>
      <c r="M889" s="17" t="str">
        <f>VLOOKUP(RiskRegister[[#This Row],[Inherent Impact LevelL3:L1020D1007L3:L1019]],'Rating factors'!$F$4:$G$9,2,FALSE)</f>
        <v>--- Error ---</v>
      </c>
      <c r="N889" s="16" t="s">
        <v>79</v>
      </c>
      <c r="O889" s="17" t="str">
        <f>VLOOKUP(RiskRegister[[#This Row],[Inherent Likelihood Level]],'Rating factors'!$F$16:$G$21,2,FALSE)</f>
        <v>--- Error ---</v>
      </c>
      <c r="P889" s="17" t="str">
        <f>IFERROR(VLOOKUP(RiskRegister[[#This Row],[Inherent Risk Rating]],'Rating factors'!$F$30:$G$44,2,FALSE),"-- Error --")</f>
        <v>-- Error --</v>
      </c>
      <c r="Q889" s="17" t="str">
        <f>IFERROR(RiskRegister[[#This Row],[Inherent Impact Rating]]*RiskRegister[[#This Row],[Inherent Likelihood Rating]],"-- Error --")</f>
        <v>-- Error --</v>
      </c>
      <c r="R889" s="16" t="s">
        <v>98</v>
      </c>
      <c r="T889" s="16" t="s">
        <v>99</v>
      </c>
      <c r="U889" s="17" t="e" cm="1">
        <f t="array" aca="1" ref="U889" ca="1">+U889:Y1019VLOOKUP(RiskRegister[[#This Row],[Residual Impact Level]],'Rating factors'!$F$4:$G$9,2,FALSE)</f>
        <v>#NAME?</v>
      </c>
      <c r="V889" s="16" t="s">
        <v>79</v>
      </c>
      <c r="W889" s="17" t="str">
        <f>VLOOKUP(RiskRegister[[#This Row],[Residual Likelihood Level]],'Rating factors'!$F$16:$G$21,2,FALSE)</f>
        <v>--- Error ---</v>
      </c>
      <c r="X889" s="17" t="str">
        <f ca="1">IFERROR(VLOOKUP(RiskRegister[[#This Row],[Residual Risk Rating]],'Rating factors'!$F$30:$G$44,2,FALSE),"-- Error --")</f>
        <v>-- Error --</v>
      </c>
      <c r="Y889" s="17" t="str">
        <f ca="1">IFERROR(RiskRegister[[#This Row],[Residual Impact Rating]]*RiskRegister[[#This Row],[Residual Likelihood Rating]],"-- Error --")</f>
        <v>-- Error --</v>
      </c>
      <c r="Z889" s="16" t="s">
        <v>100</v>
      </c>
      <c r="AB889" s="39"/>
      <c r="AD889" s="20"/>
    </row>
    <row r="890" spans="1:30" s="16" customFormat="1" hidden="1" x14ac:dyDescent="0.25">
      <c r="A890" s="16">
        <v>887</v>
      </c>
      <c r="G890" s="16" t="s">
        <v>77</v>
      </c>
      <c r="I890" s="16" t="s">
        <v>75</v>
      </c>
      <c r="L890" s="105" t="s">
        <v>99</v>
      </c>
      <c r="M890" s="17" t="str">
        <f>VLOOKUP(RiskRegister[[#This Row],[Inherent Impact LevelL3:L1020D1007L3:L1019]],'Rating factors'!$F$4:$G$9,2,FALSE)</f>
        <v>--- Error ---</v>
      </c>
      <c r="N890" s="16" t="s">
        <v>79</v>
      </c>
      <c r="O890" s="17" t="str">
        <f>VLOOKUP(RiskRegister[[#This Row],[Inherent Likelihood Level]],'Rating factors'!$F$16:$G$21,2,FALSE)</f>
        <v>--- Error ---</v>
      </c>
      <c r="P890" s="17" t="str">
        <f>IFERROR(VLOOKUP(RiskRegister[[#This Row],[Inherent Risk Rating]],'Rating factors'!$F$30:$G$44,2,FALSE),"-- Error --")</f>
        <v>-- Error --</v>
      </c>
      <c r="Q890" s="17" t="str">
        <f>IFERROR(RiskRegister[[#This Row],[Inherent Impact Rating]]*RiskRegister[[#This Row],[Inherent Likelihood Rating]],"-- Error --")</f>
        <v>-- Error --</v>
      </c>
      <c r="R890" s="16" t="s">
        <v>98</v>
      </c>
      <c r="T890" s="16" t="s">
        <v>99</v>
      </c>
      <c r="U890" s="17" t="e" cm="1">
        <f t="array" aca="1" ref="U890" ca="1">+U890:Y1019VLOOKUP(RiskRegister[[#This Row],[Residual Impact Level]],'Rating factors'!$F$4:$G$9,2,FALSE)</f>
        <v>#NAME?</v>
      </c>
      <c r="V890" s="16" t="s">
        <v>79</v>
      </c>
      <c r="W890" s="17" t="str">
        <f>VLOOKUP(RiskRegister[[#This Row],[Residual Likelihood Level]],'Rating factors'!$F$16:$G$21,2,FALSE)</f>
        <v>--- Error ---</v>
      </c>
      <c r="X890" s="17" t="str">
        <f ca="1">IFERROR(VLOOKUP(RiskRegister[[#This Row],[Residual Risk Rating]],'Rating factors'!$F$30:$G$44,2,FALSE),"-- Error --")</f>
        <v>-- Error --</v>
      </c>
      <c r="Y890" s="17" t="str">
        <f ca="1">IFERROR(RiskRegister[[#This Row],[Residual Impact Rating]]*RiskRegister[[#This Row],[Residual Likelihood Rating]],"-- Error --")</f>
        <v>-- Error --</v>
      </c>
      <c r="Z890" s="16" t="s">
        <v>100</v>
      </c>
      <c r="AB890" s="39"/>
      <c r="AD890" s="20"/>
    </row>
    <row r="891" spans="1:30" s="16" customFormat="1" hidden="1" x14ac:dyDescent="0.25">
      <c r="A891" s="16">
        <v>888</v>
      </c>
      <c r="G891" s="16" t="s">
        <v>77</v>
      </c>
      <c r="I891" s="16" t="s">
        <v>75</v>
      </c>
      <c r="L891" s="105" t="s">
        <v>99</v>
      </c>
      <c r="M891" s="17" t="str">
        <f>VLOOKUP(RiskRegister[[#This Row],[Inherent Impact LevelL3:L1020D1007L3:L1019]],'Rating factors'!$F$4:$G$9,2,FALSE)</f>
        <v>--- Error ---</v>
      </c>
      <c r="N891" s="16" t="s">
        <v>79</v>
      </c>
      <c r="O891" s="17" t="str">
        <f>VLOOKUP(RiskRegister[[#This Row],[Inherent Likelihood Level]],'Rating factors'!$F$16:$G$21,2,FALSE)</f>
        <v>--- Error ---</v>
      </c>
      <c r="P891" s="17" t="str">
        <f>IFERROR(VLOOKUP(RiskRegister[[#This Row],[Inherent Risk Rating]],'Rating factors'!$F$30:$G$44,2,FALSE),"-- Error --")</f>
        <v>-- Error --</v>
      </c>
      <c r="Q891" s="17" t="str">
        <f>IFERROR(RiskRegister[[#This Row],[Inherent Impact Rating]]*RiskRegister[[#This Row],[Inherent Likelihood Rating]],"-- Error --")</f>
        <v>-- Error --</v>
      </c>
      <c r="R891" s="16" t="s">
        <v>98</v>
      </c>
      <c r="T891" s="16" t="s">
        <v>99</v>
      </c>
      <c r="U891" s="17" t="e" cm="1">
        <f t="array" aca="1" ref="U891" ca="1">+U891:Y1019VLOOKUP(RiskRegister[[#This Row],[Residual Impact Level]],'Rating factors'!$F$4:$G$9,2,FALSE)</f>
        <v>#NAME?</v>
      </c>
      <c r="V891" s="16" t="s">
        <v>79</v>
      </c>
      <c r="W891" s="17" t="str">
        <f>VLOOKUP(RiskRegister[[#This Row],[Residual Likelihood Level]],'Rating factors'!$F$16:$G$21,2,FALSE)</f>
        <v>--- Error ---</v>
      </c>
      <c r="X891" s="17" t="str">
        <f ca="1">IFERROR(VLOOKUP(RiskRegister[[#This Row],[Residual Risk Rating]],'Rating factors'!$F$30:$G$44,2,FALSE),"-- Error --")</f>
        <v>-- Error --</v>
      </c>
      <c r="Y891" s="17" t="str">
        <f ca="1">IFERROR(RiskRegister[[#This Row],[Residual Impact Rating]]*RiskRegister[[#This Row],[Residual Likelihood Rating]],"-- Error --")</f>
        <v>-- Error --</v>
      </c>
      <c r="Z891" s="16" t="s">
        <v>100</v>
      </c>
      <c r="AB891" s="39"/>
      <c r="AD891" s="20"/>
    </row>
    <row r="892" spans="1:30" s="16" customFormat="1" hidden="1" x14ac:dyDescent="0.25">
      <c r="A892" s="16">
        <v>889</v>
      </c>
      <c r="G892" s="16" t="s">
        <v>77</v>
      </c>
      <c r="I892" s="16" t="s">
        <v>75</v>
      </c>
      <c r="L892" s="105" t="s">
        <v>99</v>
      </c>
      <c r="M892" s="17" t="str">
        <f>VLOOKUP(RiskRegister[[#This Row],[Inherent Impact LevelL3:L1020D1007L3:L1019]],'Rating factors'!$F$4:$G$9,2,FALSE)</f>
        <v>--- Error ---</v>
      </c>
      <c r="N892" s="16" t="s">
        <v>79</v>
      </c>
      <c r="O892" s="17" t="str">
        <f>VLOOKUP(RiskRegister[[#This Row],[Inherent Likelihood Level]],'Rating factors'!$F$16:$G$21,2,FALSE)</f>
        <v>--- Error ---</v>
      </c>
      <c r="P892" s="17" t="str">
        <f>IFERROR(VLOOKUP(RiskRegister[[#This Row],[Inherent Risk Rating]],'Rating factors'!$F$30:$G$44,2,FALSE),"-- Error --")</f>
        <v>-- Error --</v>
      </c>
      <c r="Q892" s="17" t="str">
        <f>IFERROR(RiskRegister[[#This Row],[Inherent Impact Rating]]*RiskRegister[[#This Row],[Inherent Likelihood Rating]],"-- Error --")</f>
        <v>-- Error --</v>
      </c>
      <c r="R892" s="16" t="s">
        <v>98</v>
      </c>
      <c r="T892" s="16" t="s">
        <v>99</v>
      </c>
      <c r="U892" s="17" t="e" cm="1">
        <f t="array" aca="1" ref="U892" ca="1">+U892:Y1019VLOOKUP(RiskRegister[[#This Row],[Residual Impact Level]],'Rating factors'!$F$4:$G$9,2,FALSE)</f>
        <v>#NAME?</v>
      </c>
      <c r="V892" s="16" t="s">
        <v>79</v>
      </c>
      <c r="W892" s="17" t="str">
        <f>VLOOKUP(RiskRegister[[#This Row],[Residual Likelihood Level]],'Rating factors'!$F$16:$G$21,2,FALSE)</f>
        <v>--- Error ---</v>
      </c>
      <c r="X892" s="17" t="str">
        <f ca="1">IFERROR(VLOOKUP(RiskRegister[[#This Row],[Residual Risk Rating]],'Rating factors'!$F$30:$G$44,2,FALSE),"-- Error --")</f>
        <v>-- Error --</v>
      </c>
      <c r="Y892" s="17" t="str">
        <f ca="1">IFERROR(RiskRegister[[#This Row],[Residual Impact Rating]]*RiskRegister[[#This Row],[Residual Likelihood Rating]],"-- Error --")</f>
        <v>-- Error --</v>
      </c>
      <c r="Z892" s="16" t="s">
        <v>100</v>
      </c>
      <c r="AB892" s="39"/>
      <c r="AD892" s="20"/>
    </row>
    <row r="893" spans="1:30" s="16" customFormat="1" hidden="1" x14ac:dyDescent="0.25">
      <c r="A893" s="16">
        <v>890</v>
      </c>
      <c r="G893" s="16" t="s">
        <v>77</v>
      </c>
      <c r="I893" s="16" t="s">
        <v>75</v>
      </c>
      <c r="L893" s="105" t="s">
        <v>99</v>
      </c>
      <c r="M893" s="17" t="str">
        <f>VLOOKUP(RiskRegister[[#This Row],[Inherent Impact LevelL3:L1020D1007L3:L1019]],'Rating factors'!$F$4:$G$9,2,FALSE)</f>
        <v>--- Error ---</v>
      </c>
      <c r="N893" s="16" t="s">
        <v>79</v>
      </c>
      <c r="O893" s="17" t="str">
        <f>VLOOKUP(RiskRegister[[#This Row],[Inherent Likelihood Level]],'Rating factors'!$F$16:$G$21,2,FALSE)</f>
        <v>--- Error ---</v>
      </c>
      <c r="P893" s="17" t="str">
        <f>IFERROR(VLOOKUP(RiskRegister[[#This Row],[Inherent Risk Rating]],'Rating factors'!$F$30:$G$44,2,FALSE),"-- Error --")</f>
        <v>-- Error --</v>
      </c>
      <c r="Q893" s="17" t="str">
        <f>IFERROR(RiskRegister[[#This Row],[Inherent Impact Rating]]*RiskRegister[[#This Row],[Inherent Likelihood Rating]],"-- Error --")</f>
        <v>-- Error --</v>
      </c>
      <c r="R893" s="16" t="s">
        <v>98</v>
      </c>
      <c r="T893" s="16" t="s">
        <v>99</v>
      </c>
      <c r="U893" s="17" t="e" cm="1">
        <f t="array" aca="1" ref="U893" ca="1">+U893:Y1019VLOOKUP(RiskRegister[[#This Row],[Residual Impact Level]],'Rating factors'!$F$4:$G$9,2,FALSE)</f>
        <v>#NAME?</v>
      </c>
      <c r="V893" s="16" t="s">
        <v>79</v>
      </c>
      <c r="W893" s="17" t="str">
        <f>VLOOKUP(RiskRegister[[#This Row],[Residual Likelihood Level]],'Rating factors'!$F$16:$G$21,2,FALSE)</f>
        <v>--- Error ---</v>
      </c>
      <c r="X893" s="17" t="str">
        <f ca="1">IFERROR(VLOOKUP(RiskRegister[[#This Row],[Residual Risk Rating]],'Rating factors'!$F$30:$G$44,2,FALSE),"-- Error --")</f>
        <v>-- Error --</v>
      </c>
      <c r="Y893" s="17" t="str">
        <f ca="1">IFERROR(RiskRegister[[#This Row],[Residual Impact Rating]]*RiskRegister[[#This Row],[Residual Likelihood Rating]],"-- Error --")</f>
        <v>-- Error --</v>
      </c>
      <c r="Z893" s="16" t="s">
        <v>100</v>
      </c>
      <c r="AB893" s="39"/>
      <c r="AD893" s="20"/>
    </row>
    <row r="894" spans="1:30" s="16" customFormat="1" hidden="1" x14ac:dyDescent="0.25">
      <c r="A894" s="16">
        <v>891</v>
      </c>
      <c r="G894" s="16" t="s">
        <v>77</v>
      </c>
      <c r="I894" s="16" t="s">
        <v>75</v>
      </c>
      <c r="L894" s="105" t="s">
        <v>99</v>
      </c>
      <c r="M894" s="17" t="str">
        <f>VLOOKUP(RiskRegister[[#This Row],[Inherent Impact LevelL3:L1020D1007L3:L1019]],'Rating factors'!$F$4:$G$9,2,FALSE)</f>
        <v>--- Error ---</v>
      </c>
      <c r="N894" s="16" t="s">
        <v>79</v>
      </c>
      <c r="O894" s="17" t="str">
        <f>VLOOKUP(RiskRegister[[#This Row],[Inherent Likelihood Level]],'Rating factors'!$F$16:$G$21,2,FALSE)</f>
        <v>--- Error ---</v>
      </c>
      <c r="P894" s="17" t="str">
        <f>IFERROR(VLOOKUP(RiskRegister[[#This Row],[Inherent Risk Rating]],'Rating factors'!$F$30:$G$44,2,FALSE),"-- Error --")</f>
        <v>-- Error --</v>
      </c>
      <c r="Q894" s="17" t="str">
        <f>IFERROR(RiskRegister[[#This Row],[Inherent Impact Rating]]*RiskRegister[[#This Row],[Inherent Likelihood Rating]],"-- Error --")</f>
        <v>-- Error --</v>
      </c>
      <c r="R894" s="16" t="s">
        <v>98</v>
      </c>
      <c r="T894" s="16" t="s">
        <v>99</v>
      </c>
      <c r="U894" s="17" t="e" cm="1">
        <f t="array" aca="1" ref="U894" ca="1">+U894:Y1019VLOOKUP(RiskRegister[[#This Row],[Residual Impact Level]],'Rating factors'!$F$4:$G$9,2,FALSE)</f>
        <v>#NAME?</v>
      </c>
      <c r="V894" s="16" t="s">
        <v>79</v>
      </c>
      <c r="W894" s="17" t="str">
        <f>VLOOKUP(RiskRegister[[#This Row],[Residual Likelihood Level]],'Rating factors'!$F$16:$G$21,2,FALSE)</f>
        <v>--- Error ---</v>
      </c>
      <c r="X894" s="17" t="str">
        <f ca="1">IFERROR(VLOOKUP(RiskRegister[[#This Row],[Residual Risk Rating]],'Rating factors'!$F$30:$G$44,2,FALSE),"-- Error --")</f>
        <v>-- Error --</v>
      </c>
      <c r="Y894" s="17" t="str">
        <f ca="1">IFERROR(RiskRegister[[#This Row],[Residual Impact Rating]]*RiskRegister[[#This Row],[Residual Likelihood Rating]],"-- Error --")</f>
        <v>-- Error --</v>
      </c>
      <c r="Z894" s="16" t="s">
        <v>100</v>
      </c>
      <c r="AB894" s="39"/>
      <c r="AD894" s="20"/>
    </row>
    <row r="895" spans="1:30" s="16" customFormat="1" hidden="1" x14ac:dyDescent="0.25">
      <c r="A895" s="16">
        <v>892</v>
      </c>
      <c r="G895" s="16" t="s">
        <v>77</v>
      </c>
      <c r="I895" s="16" t="s">
        <v>75</v>
      </c>
      <c r="L895" s="105" t="s">
        <v>99</v>
      </c>
      <c r="M895" s="17" t="str">
        <f>VLOOKUP(RiskRegister[[#This Row],[Inherent Impact LevelL3:L1020D1007L3:L1019]],'Rating factors'!$F$4:$G$9,2,FALSE)</f>
        <v>--- Error ---</v>
      </c>
      <c r="N895" s="16" t="s">
        <v>79</v>
      </c>
      <c r="O895" s="17" t="str">
        <f>VLOOKUP(RiskRegister[[#This Row],[Inherent Likelihood Level]],'Rating factors'!$F$16:$G$21,2,FALSE)</f>
        <v>--- Error ---</v>
      </c>
      <c r="P895" s="17" t="str">
        <f>IFERROR(VLOOKUP(RiskRegister[[#This Row],[Inherent Risk Rating]],'Rating factors'!$F$30:$G$44,2,FALSE),"-- Error --")</f>
        <v>-- Error --</v>
      </c>
      <c r="Q895" s="17" t="str">
        <f>IFERROR(RiskRegister[[#This Row],[Inherent Impact Rating]]*RiskRegister[[#This Row],[Inherent Likelihood Rating]],"-- Error --")</f>
        <v>-- Error --</v>
      </c>
      <c r="R895" s="16" t="s">
        <v>98</v>
      </c>
      <c r="T895" s="16" t="s">
        <v>99</v>
      </c>
      <c r="U895" s="17" t="e" cm="1">
        <f t="array" aca="1" ref="U895" ca="1">+U895:Y1019VLOOKUP(RiskRegister[[#This Row],[Residual Impact Level]],'Rating factors'!$F$4:$G$9,2,FALSE)</f>
        <v>#NAME?</v>
      </c>
      <c r="V895" s="16" t="s">
        <v>79</v>
      </c>
      <c r="W895" s="17" t="str">
        <f>VLOOKUP(RiskRegister[[#This Row],[Residual Likelihood Level]],'Rating factors'!$F$16:$G$21,2,FALSE)</f>
        <v>--- Error ---</v>
      </c>
      <c r="X895" s="17" t="str">
        <f ca="1">IFERROR(VLOOKUP(RiskRegister[[#This Row],[Residual Risk Rating]],'Rating factors'!$F$30:$G$44,2,FALSE),"-- Error --")</f>
        <v>-- Error --</v>
      </c>
      <c r="Y895" s="17" t="str">
        <f ca="1">IFERROR(RiskRegister[[#This Row],[Residual Impact Rating]]*RiskRegister[[#This Row],[Residual Likelihood Rating]],"-- Error --")</f>
        <v>-- Error --</v>
      </c>
      <c r="Z895" s="16" t="s">
        <v>100</v>
      </c>
      <c r="AB895" s="39"/>
      <c r="AD895" s="20"/>
    </row>
    <row r="896" spans="1:30" s="16" customFormat="1" hidden="1" x14ac:dyDescent="0.25">
      <c r="A896" s="16">
        <v>893</v>
      </c>
      <c r="G896" s="16" t="s">
        <v>77</v>
      </c>
      <c r="I896" s="16" t="s">
        <v>75</v>
      </c>
      <c r="L896" s="105" t="s">
        <v>99</v>
      </c>
      <c r="M896" s="17" t="str">
        <f>VLOOKUP(RiskRegister[[#This Row],[Inherent Impact LevelL3:L1020D1007L3:L1019]],'Rating factors'!$F$4:$G$9,2,FALSE)</f>
        <v>--- Error ---</v>
      </c>
      <c r="N896" s="16" t="s">
        <v>79</v>
      </c>
      <c r="O896" s="17" t="str">
        <f>VLOOKUP(RiskRegister[[#This Row],[Inherent Likelihood Level]],'Rating factors'!$F$16:$G$21,2,FALSE)</f>
        <v>--- Error ---</v>
      </c>
      <c r="P896" s="17" t="str">
        <f>IFERROR(VLOOKUP(RiskRegister[[#This Row],[Inherent Risk Rating]],'Rating factors'!$F$30:$G$44,2,FALSE),"-- Error --")</f>
        <v>-- Error --</v>
      </c>
      <c r="Q896" s="17" t="str">
        <f>IFERROR(RiskRegister[[#This Row],[Inherent Impact Rating]]*RiskRegister[[#This Row],[Inherent Likelihood Rating]],"-- Error --")</f>
        <v>-- Error --</v>
      </c>
      <c r="R896" s="16" t="s">
        <v>98</v>
      </c>
      <c r="T896" s="16" t="s">
        <v>99</v>
      </c>
      <c r="U896" s="17" t="e" cm="1">
        <f t="array" aca="1" ref="U896" ca="1">+U896:Y1019VLOOKUP(RiskRegister[[#This Row],[Residual Impact Level]],'Rating factors'!$F$4:$G$9,2,FALSE)</f>
        <v>#NAME?</v>
      </c>
      <c r="V896" s="16" t="s">
        <v>79</v>
      </c>
      <c r="W896" s="17" t="str">
        <f>VLOOKUP(RiskRegister[[#This Row],[Residual Likelihood Level]],'Rating factors'!$F$16:$G$21,2,FALSE)</f>
        <v>--- Error ---</v>
      </c>
      <c r="X896" s="17" t="str">
        <f ca="1">IFERROR(VLOOKUP(RiskRegister[[#This Row],[Residual Risk Rating]],'Rating factors'!$F$30:$G$44,2,FALSE),"-- Error --")</f>
        <v>-- Error --</v>
      </c>
      <c r="Y896" s="17" t="str">
        <f ca="1">IFERROR(RiskRegister[[#This Row],[Residual Impact Rating]]*RiskRegister[[#This Row],[Residual Likelihood Rating]],"-- Error --")</f>
        <v>-- Error --</v>
      </c>
      <c r="Z896" s="16" t="s">
        <v>100</v>
      </c>
      <c r="AB896" s="39"/>
      <c r="AD896" s="20"/>
    </row>
    <row r="897" spans="1:30" s="16" customFormat="1" hidden="1" x14ac:dyDescent="0.25">
      <c r="A897" s="16">
        <v>894</v>
      </c>
      <c r="G897" s="16" t="s">
        <v>77</v>
      </c>
      <c r="I897" s="16" t="s">
        <v>75</v>
      </c>
      <c r="L897" s="105" t="s">
        <v>99</v>
      </c>
      <c r="M897" s="17" t="str">
        <f>VLOOKUP(RiskRegister[[#This Row],[Inherent Impact LevelL3:L1020D1007L3:L1019]],'Rating factors'!$F$4:$G$9,2,FALSE)</f>
        <v>--- Error ---</v>
      </c>
      <c r="N897" s="16" t="s">
        <v>79</v>
      </c>
      <c r="O897" s="17" t="str">
        <f>VLOOKUP(RiskRegister[[#This Row],[Inherent Likelihood Level]],'Rating factors'!$F$16:$G$21,2,FALSE)</f>
        <v>--- Error ---</v>
      </c>
      <c r="P897" s="17" t="str">
        <f>IFERROR(VLOOKUP(RiskRegister[[#This Row],[Inherent Risk Rating]],'Rating factors'!$F$30:$G$44,2,FALSE),"-- Error --")</f>
        <v>-- Error --</v>
      </c>
      <c r="Q897" s="17" t="str">
        <f>IFERROR(RiskRegister[[#This Row],[Inherent Impact Rating]]*RiskRegister[[#This Row],[Inherent Likelihood Rating]],"-- Error --")</f>
        <v>-- Error --</v>
      </c>
      <c r="R897" s="16" t="s">
        <v>98</v>
      </c>
      <c r="T897" s="16" t="s">
        <v>99</v>
      </c>
      <c r="U897" s="17" t="e" cm="1">
        <f t="array" aca="1" ref="U897" ca="1">+U897:Y1019VLOOKUP(RiskRegister[[#This Row],[Residual Impact Level]],'Rating factors'!$F$4:$G$9,2,FALSE)</f>
        <v>#NAME?</v>
      </c>
      <c r="V897" s="16" t="s">
        <v>79</v>
      </c>
      <c r="W897" s="17" t="str">
        <f>VLOOKUP(RiskRegister[[#This Row],[Residual Likelihood Level]],'Rating factors'!$F$16:$G$21,2,FALSE)</f>
        <v>--- Error ---</v>
      </c>
      <c r="X897" s="17" t="str">
        <f ca="1">IFERROR(VLOOKUP(RiskRegister[[#This Row],[Residual Risk Rating]],'Rating factors'!$F$30:$G$44,2,FALSE),"-- Error --")</f>
        <v>-- Error --</v>
      </c>
      <c r="Y897" s="17" t="str">
        <f ca="1">IFERROR(RiskRegister[[#This Row],[Residual Impact Rating]]*RiskRegister[[#This Row],[Residual Likelihood Rating]],"-- Error --")</f>
        <v>-- Error --</v>
      </c>
      <c r="Z897" s="16" t="s">
        <v>100</v>
      </c>
      <c r="AB897" s="39"/>
      <c r="AD897" s="20"/>
    </row>
    <row r="898" spans="1:30" s="16" customFormat="1" hidden="1" x14ac:dyDescent="0.25">
      <c r="A898" s="16">
        <v>895</v>
      </c>
      <c r="G898" s="16" t="s">
        <v>77</v>
      </c>
      <c r="I898" s="16" t="s">
        <v>75</v>
      </c>
      <c r="L898" s="105" t="s">
        <v>99</v>
      </c>
      <c r="M898" s="17" t="str">
        <f>VLOOKUP(RiskRegister[[#This Row],[Inherent Impact LevelL3:L1020D1007L3:L1019]],'Rating factors'!$F$4:$G$9,2,FALSE)</f>
        <v>--- Error ---</v>
      </c>
      <c r="N898" s="16" t="s">
        <v>79</v>
      </c>
      <c r="O898" s="17" t="str">
        <f>VLOOKUP(RiskRegister[[#This Row],[Inherent Likelihood Level]],'Rating factors'!$F$16:$G$21,2,FALSE)</f>
        <v>--- Error ---</v>
      </c>
      <c r="P898" s="17" t="str">
        <f>IFERROR(VLOOKUP(RiskRegister[[#This Row],[Inherent Risk Rating]],'Rating factors'!$F$30:$G$44,2,FALSE),"-- Error --")</f>
        <v>-- Error --</v>
      </c>
      <c r="Q898" s="17" t="str">
        <f>IFERROR(RiskRegister[[#This Row],[Inherent Impact Rating]]*RiskRegister[[#This Row],[Inherent Likelihood Rating]],"-- Error --")</f>
        <v>-- Error --</v>
      </c>
      <c r="R898" s="16" t="s">
        <v>98</v>
      </c>
      <c r="T898" s="16" t="s">
        <v>99</v>
      </c>
      <c r="U898" s="17" t="e" cm="1">
        <f t="array" aca="1" ref="U898" ca="1">+U898:Y1019VLOOKUP(RiskRegister[[#This Row],[Residual Impact Level]],'Rating factors'!$F$4:$G$9,2,FALSE)</f>
        <v>#NAME?</v>
      </c>
      <c r="V898" s="16" t="s">
        <v>79</v>
      </c>
      <c r="W898" s="17" t="str">
        <f>VLOOKUP(RiskRegister[[#This Row],[Residual Likelihood Level]],'Rating factors'!$F$16:$G$21,2,FALSE)</f>
        <v>--- Error ---</v>
      </c>
      <c r="X898" s="17" t="str">
        <f ca="1">IFERROR(VLOOKUP(RiskRegister[[#This Row],[Residual Risk Rating]],'Rating factors'!$F$30:$G$44,2,FALSE),"-- Error --")</f>
        <v>-- Error --</v>
      </c>
      <c r="Y898" s="17" t="str">
        <f ca="1">IFERROR(RiskRegister[[#This Row],[Residual Impact Rating]]*RiskRegister[[#This Row],[Residual Likelihood Rating]],"-- Error --")</f>
        <v>-- Error --</v>
      </c>
      <c r="Z898" s="16" t="s">
        <v>100</v>
      </c>
      <c r="AB898" s="39"/>
      <c r="AD898" s="20"/>
    </row>
    <row r="899" spans="1:30" s="16" customFormat="1" hidden="1" x14ac:dyDescent="0.25">
      <c r="A899" s="16">
        <v>896</v>
      </c>
      <c r="G899" s="16" t="s">
        <v>77</v>
      </c>
      <c r="I899" s="16" t="s">
        <v>75</v>
      </c>
      <c r="L899" s="105" t="s">
        <v>99</v>
      </c>
      <c r="M899" s="17" t="str">
        <f>VLOOKUP(RiskRegister[[#This Row],[Inherent Impact LevelL3:L1020D1007L3:L1019]],'Rating factors'!$F$4:$G$9,2,FALSE)</f>
        <v>--- Error ---</v>
      </c>
      <c r="N899" s="16" t="s">
        <v>79</v>
      </c>
      <c r="O899" s="17" t="str">
        <f>VLOOKUP(RiskRegister[[#This Row],[Inherent Likelihood Level]],'Rating factors'!$F$16:$G$21,2,FALSE)</f>
        <v>--- Error ---</v>
      </c>
      <c r="P899" s="17" t="str">
        <f>IFERROR(VLOOKUP(RiskRegister[[#This Row],[Inherent Risk Rating]],'Rating factors'!$F$30:$G$44,2,FALSE),"-- Error --")</f>
        <v>-- Error --</v>
      </c>
      <c r="Q899" s="17" t="str">
        <f>IFERROR(RiskRegister[[#This Row],[Inherent Impact Rating]]*RiskRegister[[#This Row],[Inherent Likelihood Rating]],"-- Error --")</f>
        <v>-- Error --</v>
      </c>
      <c r="R899" s="16" t="s">
        <v>98</v>
      </c>
      <c r="T899" s="16" t="s">
        <v>99</v>
      </c>
      <c r="U899" s="17" t="e" cm="1">
        <f t="array" aca="1" ref="U899" ca="1">+U899:Y1019VLOOKUP(RiskRegister[[#This Row],[Residual Impact Level]],'Rating factors'!$F$4:$G$9,2,FALSE)</f>
        <v>#NAME?</v>
      </c>
      <c r="V899" s="16" t="s">
        <v>79</v>
      </c>
      <c r="W899" s="17" t="str">
        <f>VLOOKUP(RiskRegister[[#This Row],[Residual Likelihood Level]],'Rating factors'!$F$16:$G$21,2,FALSE)</f>
        <v>--- Error ---</v>
      </c>
      <c r="X899" s="17" t="str">
        <f ca="1">IFERROR(VLOOKUP(RiskRegister[[#This Row],[Residual Risk Rating]],'Rating factors'!$F$30:$G$44,2,FALSE),"-- Error --")</f>
        <v>-- Error --</v>
      </c>
      <c r="Y899" s="17" t="str">
        <f ca="1">IFERROR(RiskRegister[[#This Row],[Residual Impact Rating]]*RiskRegister[[#This Row],[Residual Likelihood Rating]],"-- Error --")</f>
        <v>-- Error --</v>
      </c>
      <c r="Z899" s="16" t="s">
        <v>100</v>
      </c>
      <c r="AB899" s="39"/>
      <c r="AD899" s="20"/>
    </row>
    <row r="900" spans="1:30" s="16" customFormat="1" hidden="1" x14ac:dyDescent="0.25">
      <c r="A900" s="16">
        <v>897</v>
      </c>
      <c r="G900" s="16" t="s">
        <v>77</v>
      </c>
      <c r="I900" s="16" t="s">
        <v>75</v>
      </c>
      <c r="L900" s="105" t="s">
        <v>99</v>
      </c>
      <c r="M900" s="17" t="str">
        <f>VLOOKUP(RiskRegister[[#This Row],[Inherent Impact LevelL3:L1020D1007L3:L1019]],'Rating factors'!$F$4:$G$9,2,FALSE)</f>
        <v>--- Error ---</v>
      </c>
      <c r="N900" s="16" t="s">
        <v>79</v>
      </c>
      <c r="O900" s="17" t="str">
        <f>VLOOKUP(RiskRegister[[#This Row],[Inherent Likelihood Level]],'Rating factors'!$F$16:$G$21,2,FALSE)</f>
        <v>--- Error ---</v>
      </c>
      <c r="P900" s="17" t="str">
        <f>IFERROR(VLOOKUP(RiskRegister[[#This Row],[Inherent Risk Rating]],'Rating factors'!$F$30:$G$44,2,FALSE),"-- Error --")</f>
        <v>-- Error --</v>
      </c>
      <c r="Q900" s="17" t="str">
        <f>IFERROR(RiskRegister[[#This Row],[Inherent Impact Rating]]*RiskRegister[[#This Row],[Inherent Likelihood Rating]],"-- Error --")</f>
        <v>-- Error --</v>
      </c>
      <c r="R900" s="16" t="s">
        <v>98</v>
      </c>
      <c r="T900" s="16" t="s">
        <v>99</v>
      </c>
      <c r="U900" s="17" t="e" cm="1">
        <f t="array" aca="1" ref="U900" ca="1">+U900:Y1019VLOOKUP(RiskRegister[[#This Row],[Residual Impact Level]],'Rating factors'!$F$4:$G$9,2,FALSE)</f>
        <v>#NAME?</v>
      </c>
      <c r="V900" s="16" t="s">
        <v>79</v>
      </c>
      <c r="W900" s="17" t="str">
        <f>VLOOKUP(RiskRegister[[#This Row],[Residual Likelihood Level]],'Rating factors'!$F$16:$G$21,2,FALSE)</f>
        <v>--- Error ---</v>
      </c>
      <c r="X900" s="17" t="str">
        <f ca="1">IFERROR(VLOOKUP(RiskRegister[[#This Row],[Residual Risk Rating]],'Rating factors'!$F$30:$G$44,2,FALSE),"-- Error --")</f>
        <v>-- Error --</v>
      </c>
      <c r="Y900" s="17" t="str">
        <f ca="1">IFERROR(RiskRegister[[#This Row],[Residual Impact Rating]]*RiskRegister[[#This Row],[Residual Likelihood Rating]],"-- Error --")</f>
        <v>-- Error --</v>
      </c>
      <c r="Z900" s="16" t="s">
        <v>100</v>
      </c>
      <c r="AB900" s="39"/>
      <c r="AD900" s="20"/>
    </row>
    <row r="901" spans="1:30" s="16" customFormat="1" hidden="1" x14ac:dyDescent="0.25">
      <c r="A901" s="16">
        <v>898</v>
      </c>
      <c r="G901" s="16" t="s">
        <v>77</v>
      </c>
      <c r="I901" s="16" t="s">
        <v>75</v>
      </c>
      <c r="L901" s="105" t="s">
        <v>99</v>
      </c>
      <c r="M901" s="17" t="str">
        <f>VLOOKUP(RiskRegister[[#This Row],[Inherent Impact LevelL3:L1020D1007L3:L1019]],'Rating factors'!$F$4:$G$9,2,FALSE)</f>
        <v>--- Error ---</v>
      </c>
      <c r="N901" s="16" t="s">
        <v>79</v>
      </c>
      <c r="O901" s="17" t="str">
        <f>VLOOKUP(RiskRegister[[#This Row],[Inherent Likelihood Level]],'Rating factors'!$F$16:$G$21,2,FALSE)</f>
        <v>--- Error ---</v>
      </c>
      <c r="P901" s="17" t="str">
        <f>IFERROR(VLOOKUP(RiskRegister[[#This Row],[Inherent Risk Rating]],'Rating factors'!$F$30:$G$44,2,FALSE),"-- Error --")</f>
        <v>-- Error --</v>
      </c>
      <c r="Q901" s="17" t="str">
        <f>IFERROR(RiskRegister[[#This Row],[Inherent Impact Rating]]*RiskRegister[[#This Row],[Inherent Likelihood Rating]],"-- Error --")</f>
        <v>-- Error --</v>
      </c>
      <c r="R901" s="16" t="s">
        <v>98</v>
      </c>
      <c r="T901" s="16" t="s">
        <v>99</v>
      </c>
      <c r="U901" s="17" t="e" cm="1">
        <f t="array" aca="1" ref="U901" ca="1">+U901:Y1019VLOOKUP(RiskRegister[[#This Row],[Residual Impact Level]],'Rating factors'!$F$4:$G$9,2,FALSE)</f>
        <v>#NAME?</v>
      </c>
      <c r="V901" s="16" t="s">
        <v>79</v>
      </c>
      <c r="W901" s="17" t="str">
        <f>VLOOKUP(RiskRegister[[#This Row],[Residual Likelihood Level]],'Rating factors'!$F$16:$G$21,2,FALSE)</f>
        <v>--- Error ---</v>
      </c>
      <c r="X901" s="17" t="str">
        <f ca="1">IFERROR(VLOOKUP(RiskRegister[[#This Row],[Residual Risk Rating]],'Rating factors'!$F$30:$G$44,2,FALSE),"-- Error --")</f>
        <v>-- Error --</v>
      </c>
      <c r="Y901" s="17" t="str">
        <f ca="1">IFERROR(RiskRegister[[#This Row],[Residual Impact Rating]]*RiskRegister[[#This Row],[Residual Likelihood Rating]],"-- Error --")</f>
        <v>-- Error --</v>
      </c>
      <c r="Z901" s="16" t="s">
        <v>100</v>
      </c>
      <c r="AB901" s="39"/>
      <c r="AD901" s="20"/>
    </row>
    <row r="902" spans="1:30" s="16" customFormat="1" hidden="1" x14ac:dyDescent="0.25">
      <c r="A902" s="16">
        <v>899</v>
      </c>
      <c r="G902" s="16" t="s">
        <v>77</v>
      </c>
      <c r="I902" s="16" t="s">
        <v>75</v>
      </c>
      <c r="L902" s="105" t="s">
        <v>99</v>
      </c>
      <c r="M902" s="17" t="str">
        <f>VLOOKUP(RiskRegister[[#This Row],[Inherent Impact LevelL3:L1020D1007L3:L1019]],'Rating factors'!$F$4:$G$9,2,FALSE)</f>
        <v>--- Error ---</v>
      </c>
      <c r="N902" s="16" t="s">
        <v>79</v>
      </c>
      <c r="O902" s="17" t="str">
        <f>VLOOKUP(RiskRegister[[#This Row],[Inherent Likelihood Level]],'Rating factors'!$F$16:$G$21,2,FALSE)</f>
        <v>--- Error ---</v>
      </c>
      <c r="P902" s="17" t="str">
        <f>IFERROR(VLOOKUP(RiskRegister[[#This Row],[Inherent Risk Rating]],'Rating factors'!$F$30:$G$44,2,FALSE),"-- Error --")</f>
        <v>-- Error --</v>
      </c>
      <c r="Q902" s="17" t="str">
        <f>IFERROR(RiskRegister[[#This Row],[Inherent Impact Rating]]*RiskRegister[[#This Row],[Inherent Likelihood Rating]],"-- Error --")</f>
        <v>-- Error --</v>
      </c>
      <c r="R902" s="16" t="s">
        <v>98</v>
      </c>
      <c r="T902" s="16" t="s">
        <v>99</v>
      </c>
      <c r="U902" s="17" t="e" cm="1">
        <f t="array" aca="1" ref="U902" ca="1">+U902:Y1019VLOOKUP(RiskRegister[[#This Row],[Residual Impact Level]],'Rating factors'!$F$4:$G$9,2,FALSE)</f>
        <v>#NAME?</v>
      </c>
      <c r="V902" s="16" t="s">
        <v>79</v>
      </c>
      <c r="W902" s="17" t="str">
        <f>VLOOKUP(RiskRegister[[#This Row],[Residual Likelihood Level]],'Rating factors'!$F$16:$G$21,2,FALSE)</f>
        <v>--- Error ---</v>
      </c>
      <c r="X902" s="17" t="str">
        <f ca="1">IFERROR(VLOOKUP(RiskRegister[[#This Row],[Residual Risk Rating]],'Rating factors'!$F$30:$G$44,2,FALSE),"-- Error --")</f>
        <v>-- Error --</v>
      </c>
      <c r="Y902" s="17" t="str">
        <f ca="1">IFERROR(RiskRegister[[#This Row],[Residual Impact Rating]]*RiskRegister[[#This Row],[Residual Likelihood Rating]],"-- Error --")</f>
        <v>-- Error --</v>
      </c>
      <c r="Z902" s="16" t="s">
        <v>100</v>
      </c>
      <c r="AB902" s="39"/>
      <c r="AD902" s="20"/>
    </row>
    <row r="903" spans="1:30" s="16" customFormat="1" hidden="1" x14ac:dyDescent="0.25">
      <c r="A903" s="16">
        <v>900</v>
      </c>
      <c r="G903" s="16" t="s">
        <v>77</v>
      </c>
      <c r="I903" s="16" t="s">
        <v>75</v>
      </c>
      <c r="L903" s="105" t="s">
        <v>99</v>
      </c>
      <c r="M903" s="17" t="str">
        <f>VLOOKUP(RiskRegister[[#This Row],[Inherent Impact LevelL3:L1020D1007L3:L1019]],'Rating factors'!$F$4:$G$9,2,FALSE)</f>
        <v>--- Error ---</v>
      </c>
      <c r="N903" s="16" t="s">
        <v>79</v>
      </c>
      <c r="O903" s="17" t="str">
        <f>VLOOKUP(RiskRegister[[#This Row],[Inherent Likelihood Level]],'Rating factors'!$F$16:$G$21,2,FALSE)</f>
        <v>--- Error ---</v>
      </c>
      <c r="P903" s="17" t="str">
        <f>IFERROR(VLOOKUP(RiskRegister[[#This Row],[Inherent Risk Rating]],'Rating factors'!$F$30:$G$44,2,FALSE),"-- Error --")</f>
        <v>-- Error --</v>
      </c>
      <c r="Q903" s="17" t="str">
        <f>IFERROR(RiskRegister[[#This Row],[Inherent Impact Rating]]*RiskRegister[[#This Row],[Inherent Likelihood Rating]],"-- Error --")</f>
        <v>-- Error --</v>
      </c>
      <c r="R903" s="16" t="s">
        <v>98</v>
      </c>
      <c r="T903" s="16" t="s">
        <v>99</v>
      </c>
      <c r="U903" s="17" t="e" cm="1">
        <f t="array" aca="1" ref="U903" ca="1">+U903:Y1019VLOOKUP(RiskRegister[[#This Row],[Residual Impact Level]],'Rating factors'!$F$4:$G$9,2,FALSE)</f>
        <v>#NAME?</v>
      </c>
      <c r="V903" s="16" t="s">
        <v>79</v>
      </c>
      <c r="W903" s="17" t="str">
        <f>VLOOKUP(RiskRegister[[#This Row],[Residual Likelihood Level]],'Rating factors'!$F$16:$G$21,2,FALSE)</f>
        <v>--- Error ---</v>
      </c>
      <c r="X903" s="17" t="str">
        <f ca="1">IFERROR(VLOOKUP(RiskRegister[[#This Row],[Residual Risk Rating]],'Rating factors'!$F$30:$G$44,2,FALSE),"-- Error --")</f>
        <v>-- Error --</v>
      </c>
      <c r="Y903" s="17" t="str">
        <f ca="1">IFERROR(RiskRegister[[#This Row],[Residual Impact Rating]]*RiskRegister[[#This Row],[Residual Likelihood Rating]],"-- Error --")</f>
        <v>-- Error --</v>
      </c>
      <c r="Z903" s="16" t="s">
        <v>100</v>
      </c>
      <c r="AB903" s="39"/>
      <c r="AD903" s="20"/>
    </row>
    <row r="904" spans="1:30" s="16" customFormat="1" hidden="1" x14ac:dyDescent="0.25">
      <c r="A904" s="16">
        <v>901</v>
      </c>
      <c r="G904" s="16" t="s">
        <v>77</v>
      </c>
      <c r="I904" s="16" t="s">
        <v>75</v>
      </c>
      <c r="L904" s="105" t="s">
        <v>99</v>
      </c>
      <c r="M904" s="17" t="str">
        <f>VLOOKUP(RiskRegister[[#This Row],[Inherent Impact LevelL3:L1020D1007L3:L1019]],'Rating factors'!$F$4:$G$9,2,FALSE)</f>
        <v>--- Error ---</v>
      </c>
      <c r="N904" s="16" t="s">
        <v>79</v>
      </c>
      <c r="O904" s="17" t="str">
        <f>VLOOKUP(RiskRegister[[#This Row],[Inherent Likelihood Level]],'Rating factors'!$F$16:$G$21,2,FALSE)</f>
        <v>--- Error ---</v>
      </c>
      <c r="P904" s="17" t="str">
        <f>IFERROR(VLOOKUP(RiskRegister[[#This Row],[Inherent Risk Rating]],'Rating factors'!$F$30:$G$44,2,FALSE),"-- Error --")</f>
        <v>-- Error --</v>
      </c>
      <c r="Q904" s="17" t="str">
        <f>IFERROR(RiskRegister[[#This Row],[Inherent Impact Rating]]*RiskRegister[[#This Row],[Inherent Likelihood Rating]],"-- Error --")</f>
        <v>-- Error --</v>
      </c>
      <c r="R904" s="16" t="s">
        <v>98</v>
      </c>
      <c r="T904" s="16" t="s">
        <v>99</v>
      </c>
      <c r="U904" s="17" t="e" cm="1">
        <f t="array" aca="1" ref="U904" ca="1">+U904:Y1019VLOOKUP(RiskRegister[[#This Row],[Residual Impact Level]],'Rating factors'!$F$4:$G$9,2,FALSE)</f>
        <v>#NAME?</v>
      </c>
      <c r="V904" s="16" t="s">
        <v>79</v>
      </c>
      <c r="W904" s="17" t="str">
        <f>VLOOKUP(RiskRegister[[#This Row],[Residual Likelihood Level]],'Rating factors'!$F$16:$G$21,2,FALSE)</f>
        <v>--- Error ---</v>
      </c>
      <c r="X904" s="17" t="str">
        <f ca="1">IFERROR(VLOOKUP(RiskRegister[[#This Row],[Residual Risk Rating]],'Rating factors'!$F$30:$G$44,2,FALSE),"-- Error --")</f>
        <v>-- Error --</v>
      </c>
      <c r="Y904" s="17" t="str">
        <f ca="1">IFERROR(RiskRegister[[#This Row],[Residual Impact Rating]]*RiskRegister[[#This Row],[Residual Likelihood Rating]],"-- Error --")</f>
        <v>-- Error --</v>
      </c>
      <c r="Z904" s="16" t="s">
        <v>100</v>
      </c>
      <c r="AB904" s="39"/>
      <c r="AD904" s="20"/>
    </row>
    <row r="905" spans="1:30" s="16" customFormat="1" hidden="1" x14ac:dyDescent="0.25">
      <c r="A905" s="16">
        <v>902</v>
      </c>
      <c r="G905" s="16" t="s">
        <v>77</v>
      </c>
      <c r="I905" s="16" t="s">
        <v>75</v>
      </c>
      <c r="L905" s="105" t="s">
        <v>99</v>
      </c>
      <c r="M905" s="17" t="str">
        <f>VLOOKUP(RiskRegister[[#This Row],[Inherent Impact LevelL3:L1020D1007L3:L1019]],'Rating factors'!$F$4:$G$9,2,FALSE)</f>
        <v>--- Error ---</v>
      </c>
      <c r="N905" s="16" t="s">
        <v>79</v>
      </c>
      <c r="O905" s="17" t="str">
        <f>VLOOKUP(RiskRegister[[#This Row],[Inherent Likelihood Level]],'Rating factors'!$F$16:$G$21,2,FALSE)</f>
        <v>--- Error ---</v>
      </c>
      <c r="P905" s="17" t="str">
        <f>IFERROR(VLOOKUP(RiskRegister[[#This Row],[Inherent Risk Rating]],'Rating factors'!$F$30:$G$44,2,FALSE),"-- Error --")</f>
        <v>-- Error --</v>
      </c>
      <c r="Q905" s="17" t="str">
        <f>IFERROR(RiskRegister[[#This Row],[Inherent Impact Rating]]*RiskRegister[[#This Row],[Inherent Likelihood Rating]],"-- Error --")</f>
        <v>-- Error --</v>
      </c>
      <c r="R905" s="16" t="s">
        <v>98</v>
      </c>
      <c r="T905" s="16" t="s">
        <v>99</v>
      </c>
      <c r="U905" s="17" t="e" cm="1">
        <f t="array" aca="1" ref="U905" ca="1">+U905:Y1019VLOOKUP(RiskRegister[[#This Row],[Residual Impact Level]],'Rating factors'!$F$4:$G$9,2,FALSE)</f>
        <v>#NAME?</v>
      </c>
      <c r="V905" s="16" t="s">
        <v>79</v>
      </c>
      <c r="W905" s="17" t="str">
        <f>VLOOKUP(RiskRegister[[#This Row],[Residual Likelihood Level]],'Rating factors'!$F$16:$G$21,2,FALSE)</f>
        <v>--- Error ---</v>
      </c>
      <c r="X905" s="17" t="str">
        <f ca="1">IFERROR(VLOOKUP(RiskRegister[[#This Row],[Residual Risk Rating]],'Rating factors'!$F$30:$G$44,2,FALSE),"-- Error --")</f>
        <v>-- Error --</v>
      </c>
      <c r="Y905" s="17" t="str">
        <f ca="1">IFERROR(RiskRegister[[#This Row],[Residual Impact Rating]]*RiskRegister[[#This Row],[Residual Likelihood Rating]],"-- Error --")</f>
        <v>-- Error --</v>
      </c>
      <c r="Z905" s="16" t="s">
        <v>100</v>
      </c>
      <c r="AB905" s="39"/>
      <c r="AD905" s="20"/>
    </row>
    <row r="906" spans="1:30" s="16" customFormat="1" hidden="1" x14ac:dyDescent="0.25">
      <c r="A906" s="16">
        <v>903</v>
      </c>
      <c r="G906" s="16" t="s">
        <v>77</v>
      </c>
      <c r="I906" s="16" t="s">
        <v>75</v>
      </c>
      <c r="L906" s="105" t="s">
        <v>99</v>
      </c>
      <c r="M906" s="17" t="str">
        <f>VLOOKUP(RiskRegister[[#This Row],[Inherent Impact LevelL3:L1020D1007L3:L1019]],'Rating factors'!$F$4:$G$9,2,FALSE)</f>
        <v>--- Error ---</v>
      </c>
      <c r="N906" s="16" t="s">
        <v>79</v>
      </c>
      <c r="O906" s="17" t="str">
        <f>VLOOKUP(RiskRegister[[#This Row],[Inherent Likelihood Level]],'Rating factors'!$F$16:$G$21,2,FALSE)</f>
        <v>--- Error ---</v>
      </c>
      <c r="P906" s="17" t="str">
        <f>IFERROR(VLOOKUP(RiskRegister[[#This Row],[Inherent Risk Rating]],'Rating factors'!$F$30:$G$44,2,FALSE),"-- Error --")</f>
        <v>-- Error --</v>
      </c>
      <c r="Q906" s="17" t="str">
        <f>IFERROR(RiskRegister[[#This Row],[Inherent Impact Rating]]*RiskRegister[[#This Row],[Inherent Likelihood Rating]],"-- Error --")</f>
        <v>-- Error --</v>
      </c>
      <c r="R906" s="16" t="s">
        <v>98</v>
      </c>
      <c r="T906" s="16" t="s">
        <v>99</v>
      </c>
      <c r="U906" s="17" t="e" cm="1">
        <f t="array" aca="1" ref="U906" ca="1">+U906:Y1019VLOOKUP(RiskRegister[[#This Row],[Residual Impact Level]],'Rating factors'!$F$4:$G$9,2,FALSE)</f>
        <v>#NAME?</v>
      </c>
      <c r="V906" s="16" t="s">
        <v>79</v>
      </c>
      <c r="W906" s="17" t="str">
        <f>VLOOKUP(RiskRegister[[#This Row],[Residual Likelihood Level]],'Rating factors'!$F$16:$G$21,2,FALSE)</f>
        <v>--- Error ---</v>
      </c>
      <c r="X906" s="17" t="str">
        <f ca="1">IFERROR(VLOOKUP(RiskRegister[[#This Row],[Residual Risk Rating]],'Rating factors'!$F$30:$G$44,2,FALSE),"-- Error --")</f>
        <v>-- Error --</v>
      </c>
      <c r="Y906" s="17" t="str">
        <f ca="1">IFERROR(RiskRegister[[#This Row],[Residual Impact Rating]]*RiskRegister[[#This Row],[Residual Likelihood Rating]],"-- Error --")</f>
        <v>-- Error --</v>
      </c>
      <c r="Z906" s="16" t="s">
        <v>100</v>
      </c>
      <c r="AB906" s="39"/>
      <c r="AD906" s="20"/>
    </row>
    <row r="907" spans="1:30" s="16" customFormat="1" hidden="1" x14ac:dyDescent="0.25">
      <c r="A907" s="16">
        <v>904</v>
      </c>
      <c r="G907" s="16" t="s">
        <v>77</v>
      </c>
      <c r="I907" s="16" t="s">
        <v>75</v>
      </c>
      <c r="L907" s="105" t="s">
        <v>99</v>
      </c>
      <c r="M907" s="17" t="str">
        <f>VLOOKUP(RiskRegister[[#This Row],[Inherent Impact LevelL3:L1020D1007L3:L1019]],'Rating factors'!$F$4:$G$9,2,FALSE)</f>
        <v>--- Error ---</v>
      </c>
      <c r="N907" s="16" t="s">
        <v>79</v>
      </c>
      <c r="O907" s="17" t="str">
        <f>VLOOKUP(RiskRegister[[#This Row],[Inherent Likelihood Level]],'Rating factors'!$F$16:$G$21,2,FALSE)</f>
        <v>--- Error ---</v>
      </c>
      <c r="P907" s="17" t="str">
        <f>IFERROR(VLOOKUP(RiskRegister[[#This Row],[Inherent Risk Rating]],'Rating factors'!$F$30:$G$44,2,FALSE),"-- Error --")</f>
        <v>-- Error --</v>
      </c>
      <c r="Q907" s="17" t="str">
        <f>IFERROR(RiskRegister[[#This Row],[Inherent Impact Rating]]*RiskRegister[[#This Row],[Inherent Likelihood Rating]],"-- Error --")</f>
        <v>-- Error --</v>
      </c>
      <c r="R907" s="16" t="s">
        <v>98</v>
      </c>
      <c r="T907" s="16" t="s">
        <v>99</v>
      </c>
      <c r="U907" s="17" t="e" cm="1">
        <f t="array" aca="1" ref="U907" ca="1">+U907:Y1019VLOOKUP(RiskRegister[[#This Row],[Residual Impact Level]],'Rating factors'!$F$4:$G$9,2,FALSE)</f>
        <v>#NAME?</v>
      </c>
      <c r="V907" s="16" t="s">
        <v>79</v>
      </c>
      <c r="W907" s="17" t="str">
        <f>VLOOKUP(RiskRegister[[#This Row],[Residual Likelihood Level]],'Rating factors'!$F$16:$G$21,2,FALSE)</f>
        <v>--- Error ---</v>
      </c>
      <c r="X907" s="17" t="str">
        <f ca="1">IFERROR(VLOOKUP(RiskRegister[[#This Row],[Residual Risk Rating]],'Rating factors'!$F$30:$G$44,2,FALSE),"-- Error --")</f>
        <v>-- Error --</v>
      </c>
      <c r="Y907" s="17" t="str">
        <f ca="1">IFERROR(RiskRegister[[#This Row],[Residual Impact Rating]]*RiskRegister[[#This Row],[Residual Likelihood Rating]],"-- Error --")</f>
        <v>-- Error --</v>
      </c>
      <c r="Z907" s="16" t="s">
        <v>100</v>
      </c>
      <c r="AB907" s="39"/>
      <c r="AD907" s="20"/>
    </row>
    <row r="908" spans="1:30" s="16" customFormat="1" hidden="1" x14ac:dyDescent="0.25">
      <c r="A908" s="16">
        <v>905</v>
      </c>
      <c r="G908" s="16" t="s">
        <v>77</v>
      </c>
      <c r="I908" s="16" t="s">
        <v>75</v>
      </c>
      <c r="L908" s="105" t="s">
        <v>99</v>
      </c>
      <c r="M908" s="17" t="str">
        <f>VLOOKUP(RiskRegister[[#This Row],[Inherent Impact LevelL3:L1020D1007L3:L1019]],'Rating factors'!$F$4:$G$9,2,FALSE)</f>
        <v>--- Error ---</v>
      </c>
      <c r="N908" s="16" t="s">
        <v>79</v>
      </c>
      <c r="O908" s="17" t="str">
        <f>VLOOKUP(RiskRegister[[#This Row],[Inherent Likelihood Level]],'Rating factors'!$F$16:$G$21,2,FALSE)</f>
        <v>--- Error ---</v>
      </c>
      <c r="P908" s="17" t="str">
        <f>IFERROR(VLOOKUP(RiskRegister[[#This Row],[Inherent Risk Rating]],'Rating factors'!$F$30:$G$44,2,FALSE),"-- Error --")</f>
        <v>-- Error --</v>
      </c>
      <c r="Q908" s="17" t="str">
        <f>IFERROR(RiskRegister[[#This Row],[Inherent Impact Rating]]*RiskRegister[[#This Row],[Inherent Likelihood Rating]],"-- Error --")</f>
        <v>-- Error --</v>
      </c>
      <c r="R908" s="16" t="s">
        <v>98</v>
      </c>
      <c r="T908" s="16" t="s">
        <v>99</v>
      </c>
      <c r="U908" s="17" t="e" cm="1">
        <f t="array" aca="1" ref="U908" ca="1">+U908:Y1019VLOOKUP(RiskRegister[[#This Row],[Residual Impact Level]],'Rating factors'!$F$4:$G$9,2,FALSE)</f>
        <v>#NAME?</v>
      </c>
      <c r="V908" s="16" t="s">
        <v>79</v>
      </c>
      <c r="W908" s="17" t="str">
        <f>VLOOKUP(RiskRegister[[#This Row],[Residual Likelihood Level]],'Rating factors'!$F$16:$G$21,2,FALSE)</f>
        <v>--- Error ---</v>
      </c>
      <c r="X908" s="17" t="str">
        <f ca="1">IFERROR(VLOOKUP(RiskRegister[[#This Row],[Residual Risk Rating]],'Rating factors'!$F$30:$G$44,2,FALSE),"-- Error --")</f>
        <v>-- Error --</v>
      </c>
      <c r="Y908" s="17" t="str">
        <f ca="1">IFERROR(RiskRegister[[#This Row],[Residual Impact Rating]]*RiskRegister[[#This Row],[Residual Likelihood Rating]],"-- Error --")</f>
        <v>-- Error --</v>
      </c>
      <c r="Z908" s="16" t="s">
        <v>100</v>
      </c>
      <c r="AB908" s="39"/>
      <c r="AD908" s="20"/>
    </row>
    <row r="909" spans="1:30" s="16" customFormat="1" hidden="1" x14ac:dyDescent="0.25">
      <c r="A909" s="16">
        <v>906</v>
      </c>
      <c r="G909" s="16" t="s">
        <v>77</v>
      </c>
      <c r="I909" s="16" t="s">
        <v>75</v>
      </c>
      <c r="L909" s="105" t="s">
        <v>99</v>
      </c>
      <c r="M909" s="17" t="str">
        <f>VLOOKUP(RiskRegister[[#This Row],[Inherent Impact LevelL3:L1020D1007L3:L1019]],'Rating factors'!$F$4:$G$9,2,FALSE)</f>
        <v>--- Error ---</v>
      </c>
      <c r="N909" s="16" t="s">
        <v>79</v>
      </c>
      <c r="O909" s="17" t="str">
        <f>VLOOKUP(RiskRegister[[#This Row],[Inherent Likelihood Level]],'Rating factors'!$F$16:$G$21,2,FALSE)</f>
        <v>--- Error ---</v>
      </c>
      <c r="P909" s="17" t="str">
        <f>IFERROR(VLOOKUP(RiskRegister[[#This Row],[Inherent Risk Rating]],'Rating factors'!$F$30:$G$44,2,FALSE),"-- Error --")</f>
        <v>-- Error --</v>
      </c>
      <c r="Q909" s="17" t="str">
        <f>IFERROR(RiskRegister[[#This Row],[Inherent Impact Rating]]*RiskRegister[[#This Row],[Inherent Likelihood Rating]],"-- Error --")</f>
        <v>-- Error --</v>
      </c>
      <c r="R909" s="16" t="s">
        <v>98</v>
      </c>
      <c r="T909" s="16" t="s">
        <v>99</v>
      </c>
      <c r="U909" s="17" t="e" cm="1">
        <f t="array" aca="1" ref="U909" ca="1">+U909:Y1019VLOOKUP(RiskRegister[[#This Row],[Residual Impact Level]],'Rating factors'!$F$4:$G$9,2,FALSE)</f>
        <v>#NAME?</v>
      </c>
      <c r="V909" s="16" t="s">
        <v>79</v>
      </c>
      <c r="W909" s="17" t="str">
        <f>VLOOKUP(RiskRegister[[#This Row],[Residual Likelihood Level]],'Rating factors'!$F$16:$G$21,2,FALSE)</f>
        <v>--- Error ---</v>
      </c>
      <c r="X909" s="17" t="str">
        <f ca="1">IFERROR(VLOOKUP(RiskRegister[[#This Row],[Residual Risk Rating]],'Rating factors'!$F$30:$G$44,2,FALSE),"-- Error --")</f>
        <v>-- Error --</v>
      </c>
      <c r="Y909" s="17" t="str">
        <f ca="1">IFERROR(RiskRegister[[#This Row],[Residual Impact Rating]]*RiskRegister[[#This Row],[Residual Likelihood Rating]],"-- Error --")</f>
        <v>-- Error --</v>
      </c>
      <c r="Z909" s="16" t="s">
        <v>100</v>
      </c>
      <c r="AB909" s="39"/>
      <c r="AD909" s="20"/>
    </row>
    <row r="910" spans="1:30" s="16" customFormat="1" hidden="1" x14ac:dyDescent="0.25">
      <c r="A910" s="16">
        <v>907</v>
      </c>
      <c r="G910" s="16" t="s">
        <v>77</v>
      </c>
      <c r="I910" s="16" t="s">
        <v>75</v>
      </c>
      <c r="L910" s="105" t="s">
        <v>99</v>
      </c>
      <c r="M910" s="17" t="str">
        <f>VLOOKUP(RiskRegister[[#This Row],[Inherent Impact LevelL3:L1020D1007L3:L1019]],'Rating factors'!$F$4:$G$9,2,FALSE)</f>
        <v>--- Error ---</v>
      </c>
      <c r="N910" s="16" t="s">
        <v>79</v>
      </c>
      <c r="O910" s="17" t="str">
        <f>VLOOKUP(RiskRegister[[#This Row],[Inherent Likelihood Level]],'Rating factors'!$F$16:$G$21,2,FALSE)</f>
        <v>--- Error ---</v>
      </c>
      <c r="P910" s="17" t="str">
        <f>IFERROR(VLOOKUP(RiskRegister[[#This Row],[Inherent Risk Rating]],'Rating factors'!$F$30:$G$44,2,FALSE),"-- Error --")</f>
        <v>-- Error --</v>
      </c>
      <c r="Q910" s="17" t="str">
        <f>IFERROR(RiskRegister[[#This Row],[Inherent Impact Rating]]*RiskRegister[[#This Row],[Inherent Likelihood Rating]],"-- Error --")</f>
        <v>-- Error --</v>
      </c>
      <c r="R910" s="16" t="s">
        <v>98</v>
      </c>
      <c r="T910" s="16" t="s">
        <v>99</v>
      </c>
      <c r="U910" s="17" t="e" cm="1">
        <f t="array" aca="1" ref="U910" ca="1">+U910:Y1019VLOOKUP(RiskRegister[[#This Row],[Residual Impact Level]],'Rating factors'!$F$4:$G$9,2,FALSE)</f>
        <v>#NAME?</v>
      </c>
      <c r="V910" s="16" t="s">
        <v>79</v>
      </c>
      <c r="W910" s="17" t="str">
        <f>VLOOKUP(RiskRegister[[#This Row],[Residual Likelihood Level]],'Rating factors'!$F$16:$G$21,2,FALSE)</f>
        <v>--- Error ---</v>
      </c>
      <c r="X910" s="17" t="str">
        <f ca="1">IFERROR(VLOOKUP(RiskRegister[[#This Row],[Residual Risk Rating]],'Rating factors'!$F$30:$G$44,2,FALSE),"-- Error --")</f>
        <v>-- Error --</v>
      </c>
      <c r="Y910" s="17" t="str">
        <f ca="1">IFERROR(RiskRegister[[#This Row],[Residual Impact Rating]]*RiskRegister[[#This Row],[Residual Likelihood Rating]],"-- Error --")</f>
        <v>-- Error --</v>
      </c>
      <c r="Z910" s="16" t="s">
        <v>100</v>
      </c>
      <c r="AB910" s="39"/>
      <c r="AD910" s="20"/>
    </row>
    <row r="911" spans="1:30" s="16" customFormat="1" hidden="1" x14ac:dyDescent="0.25">
      <c r="A911" s="16">
        <v>908</v>
      </c>
      <c r="G911" s="16" t="s">
        <v>77</v>
      </c>
      <c r="I911" s="16" t="s">
        <v>75</v>
      </c>
      <c r="L911" s="105" t="s">
        <v>99</v>
      </c>
      <c r="M911" s="17" t="str">
        <f>VLOOKUP(RiskRegister[[#This Row],[Inherent Impact LevelL3:L1020D1007L3:L1019]],'Rating factors'!$F$4:$G$9,2,FALSE)</f>
        <v>--- Error ---</v>
      </c>
      <c r="N911" s="16" t="s">
        <v>79</v>
      </c>
      <c r="O911" s="17" t="str">
        <f>VLOOKUP(RiskRegister[[#This Row],[Inherent Likelihood Level]],'Rating factors'!$F$16:$G$21,2,FALSE)</f>
        <v>--- Error ---</v>
      </c>
      <c r="P911" s="17" t="str">
        <f>IFERROR(VLOOKUP(RiskRegister[[#This Row],[Inherent Risk Rating]],'Rating factors'!$F$30:$G$44,2,FALSE),"-- Error --")</f>
        <v>-- Error --</v>
      </c>
      <c r="Q911" s="17" t="str">
        <f>IFERROR(RiskRegister[[#This Row],[Inherent Impact Rating]]*RiskRegister[[#This Row],[Inherent Likelihood Rating]],"-- Error --")</f>
        <v>-- Error --</v>
      </c>
      <c r="R911" s="16" t="s">
        <v>98</v>
      </c>
      <c r="T911" s="16" t="s">
        <v>99</v>
      </c>
      <c r="U911" s="17" t="e" cm="1">
        <f t="array" aca="1" ref="U911" ca="1">+U911:Y1019VLOOKUP(RiskRegister[[#This Row],[Residual Impact Level]],'Rating factors'!$F$4:$G$9,2,FALSE)</f>
        <v>#NAME?</v>
      </c>
      <c r="V911" s="16" t="s">
        <v>79</v>
      </c>
      <c r="W911" s="17" t="str">
        <f>VLOOKUP(RiskRegister[[#This Row],[Residual Likelihood Level]],'Rating factors'!$F$16:$G$21,2,FALSE)</f>
        <v>--- Error ---</v>
      </c>
      <c r="X911" s="17" t="str">
        <f ca="1">IFERROR(VLOOKUP(RiskRegister[[#This Row],[Residual Risk Rating]],'Rating factors'!$F$30:$G$44,2,FALSE),"-- Error --")</f>
        <v>-- Error --</v>
      </c>
      <c r="Y911" s="17" t="str">
        <f ca="1">IFERROR(RiskRegister[[#This Row],[Residual Impact Rating]]*RiskRegister[[#This Row],[Residual Likelihood Rating]],"-- Error --")</f>
        <v>-- Error --</v>
      </c>
      <c r="Z911" s="16" t="s">
        <v>100</v>
      </c>
      <c r="AB911" s="39"/>
      <c r="AD911" s="20"/>
    </row>
    <row r="912" spans="1:30" s="16" customFormat="1" hidden="1" x14ac:dyDescent="0.25">
      <c r="A912" s="16">
        <v>909</v>
      </c>
      <c r="G912" s="16" t="s">
        <v>77</v>
      </c>
      <c r="I912" s="16" t="s">
        <v>75</v>
      </c>
      <c r="L912" s="105" t="s">
        <v>99</v>
      </c>
      <c r="M912" s="17" t="str">
        <f>VLOOKUP(RiskRegister[[#This Row],[Inherent Impact LevelL3:L1020D1007L3:L1019]],'Rating factors'!$F$4:$G$9,2,FALSE)</f>
        <v>--- Error ---</v>
      </c>
      <c r="N912" s="16" t="s">
        <v>79</v>
      </c>
      <c r="O912" s="17" t="str">
        <f>VLOOKUP(RiskRegister[[#This Row],[Inherent Likelihood Level]],'Rating factors'!$F$16:$G$21,2,FALSE)</f>
        <v>--- Error ---</v>
      </c>
      <c r="P912" s="17" t="str">
        <f>IFERROR(VLOOKUP(RiskRegister[[#This Row],[Inherent Risk Rating]],'Rating factors'!$F$30:$G$44,2,FALSE),"-- Error --")</f>
        <v>-- Error --</v>
      </c>
      <c r="Q912" s="17" t="str">
        <f>IFERROR(RiskRegister[[#This Row],[Inherent Impact Rating]]*RiskRegister[[#This Row],[Inherent Likelihood Rating]],"-- Error --")</f>
        <v>-- Error --</v>
      </c>
      <c r="R912" s="16" t="s">
        <v>98</v>
      </c>
      <c r="T912" s="16" t="s">
        <v>99</v>
      </c>
      <c r="U912" s="17" t="e" cm="1">
        <f t="array" aca="1" ref="U912" ca="1">+U912:Y1019VLOOKUP(RiskRegister[[#This Row],[Residual Impact Level]],'Rating factors'!$F$4:$G$9,2,FALSE)</f>
        <v>#NAME?</v>
      </c>
      <c r="V912" s="16" t="s">
        <v>79</v>
      </c>
      <c r="W912" s="17" t="str">
        <f>VLOOKUP(RiskRegister[[#This Row],[Residual Likelihood Level]],'Rating factors'!$F$16:$G$21,2,FALSE)</f>
        <v>--- Error ---</v>
      </c>
      <c r="X912" s="17" t="str">
        <f ca="1">IFERROR(VLOOKUP(RiskRegister[[#This Row],[Residual Risk Rating]],'Rating factors'!$F$30:$G$44,2,FALSE),"-- Error --")</f>
        <v>-- Error --</v>
      </c>
      <c r="Y912" s="17" t="str">
        <f ca="1">IFERROR(RiskRegister[[#This Row],[Residual Impact Rating]]*RiskRegister[[#This Row],[Residual Likelihood Rating]],"-- Error --")</f>
        <v>-- Error --</v>
      </c>
      <c r="Z912" s="16" t="s">
        <v>100</v>
      </c>
      <c r="AB912" s="39"/>
      <c r="AD912" s="20"/>
    </row>
    <row r="913" spans="1:30" s="16" customFormat="1" hidden="1" x14ac:dyDescent="0.25">
      <c r="A913" s="16">
        <v>910</v>
      </c>
      <c r="G913" s="16" t="s">
        <v>77</v>
      </c>
      <c r="I913" s="16" t="s">
        <v>75</v>
      </c>
      <c r="L913" s="105" t="s">
        <v>99</v>
      </c>
      <c r="M913" s="17" t="str">
        <f>VLOOKUP(RiskRegister[[#This Row],[Inherent Impact LevelL3:L1020D1007L3:L1019]],'Rating factors'!$F$4:$G$9,2,FALSE)</f>
        <v>--- Error ---</v>
      </c>
      <c r="N913" s="16" t="s">
        <v>79</v>
      </c>
      <c r="O913" s="17" t="str">
        <f>VLOOKUP(RiskRegister[[#This Row],[Inherent Likelihood Level]],'Rating factors'!$F$16:$G$21,2,FALSE)</f>
        <v>--- Error ---</v>
      </c>
      <c r="P913" s="17" t="str">
        <f>IFERROR(VLOOKUP(RiskRegister[[#This Row],[Inherent Risk Rating]],'Rating factors'!$F$30:$G$44,2,FALSE),"-- Error --")</f>
        <v>-- Error --</v>
      </c>
      <c r="Q913" s="17" t="str">
        <f>IFERROR(RiskRegister[[#This Row],[Inherent Impact Rating]]*RiskRegister[[#This Row],[Inherent Likelihood Rating]],"-- Error --")</f>
        <v>-- Error --</v>
      </c>
      <c r="R913" s="16" t="s">
        <v>98</v>
      </c>
      <c r="T913" s="16" t="s">
        <v>99</v>
      </c>
      <c r="U913" s="17" t="e" cm="1">
        <f t="array" aca="1" ref="U913" ca="1">+U913:Y1019VLOOKUP(RiskRegister[[#This Row],[Residual Impact Level]],'Rating factors'!$F$4:$G$9,2,FALSE)</f>
        <v>#NAME?</v>
      </c>
      <c r="V913" s="16" t="s">
        <v>79</v>
      </c>
      <c r="W913" s="17" t="str">
        <f>VLOOKUP(RiskRegister[[#This Row],[Residual Likelihood Level]],'Rating factors'!$F$16:$G$21,2,FALSE)</f>
        <v>--- Error ---</v>
      </c>
      <c r="X913" s="17" t="str">
        <f ca="1">IFERROR(VLOOKUP(RiskRegister[[#This Row],[Residual Risk Rating]],'Rating factors'!$F$30:$G$44,2,FALSE),"-- Error --")</f>
        <v>-- Error --</v>
      </c>
      <c r="Y913" s="17" t="str">
        <f ca="1">IFERROR(RiskRegister[[#This Row],[Residual Impact Rating]]*RiskRegister[[#This Row],[Residual Likelihood Rating]],"-- Error --")</f>
        <v>-- Error --</v>
      </c>
      <c r="Z913" s="16" t="s">
        <v>100</v>
      </c>
      <c r="AB913" s="39"/>
      <c r="AD913" s="20"/>
    </row>
    <row r="914" spans="1:30" s="16" customFormat="1" hidden="1" x14ac:dyDescent="0.25">
      <c r="A914" s="16">
        <v>911</v>
      </c>
      <c r="G914" s="16" t="s">
        <v>77</v>
      </c>
      <c r="I914" s="16" t="s">
        <v>75</v>
      </c>
      <c r="L914" s="105" t="s">
        <v>99</v>
      </c>
      <c r="M914" s="17" t="str">
        <f>VLOOKUP(RiskRegister[[#This Row],[Inherent Impact LevelL3:L1020D1007L3:L1019]],'Rating factors'!$F$4:$G$9,2,FALSE)</f>
        <v>--- Error ---</v>
      </c>
      <c r="N914" s="16" t="s">
        <v>79</v>
      </c>
      <c r="O914" s="17" t="str">
        <f>VLOOKUP(RiskRegister[[#This Row],[Inherent Likelihood Level]],'Rating factors'!$F$16:$G$21,2,FALSE)</f>
        <v>--- Error ---</v>
      </c>
      <c r="P914" s="17" t="str">
        <f>IFERROR(VLOOKUP(RiskRegister[[#This Row],[Inherent Risk Rating]],'Rating factors'!$F$30:$G$44,2,FALSE),"-- Error --")</f>
        <v>-- Error --</v>
      </c>
      <c r="Q914" s="17" t="str">
        <f>IFERROR(RiskRegister[[#This Row],[Inherent Impact Rating]]*RiskRegister[[#This Row],[Inherent Likelihood Rating]],"-- Error --")</f>
        <v>-- Error --</v>
      </c>
      <c r="R914" s="16" t="s">
        <v>98</v>
      </c>
      <c r="T914" s="16" t="s">
        <v>99</v>
      </c>
      <c r="U914" s="17" t="e" cm="1">
        <f t="array" aca="1" ref="U914" ca="1">+U914:Y1019VLOOKUP(RiskRegister[[#This Row],[Residual Impact Level]],'Rating factors'!$F$4:$G$9,2,FALSE)</f>
        <v>#NAME?</v>
      </c>
      <c r="V914" s="16" t="s">
        <v>79</v>
      </c>
      <c r="W914" s="17" t="str">
        <f>VLOOKUP(RiskRegister[[#This Row],[Residual Likelihood Level]],'Rating factors'!$F$16:$G$21,2,FALSE)</f>
        <v>--- Error ---</v>
      </c>
      <c r="X914" s="17" t="str">
        <f ca="1">IFERROR(VLOOKUP(RiskRegister[[#This Row],[Residual Risk Rating]],'Rating factors'!$F$30:$G$44,2,FALSE),"-- Error --")</f>
        <v>-- Error --</v>
      </c>
      <c r="Y914" s="17" t="str">
        <f ca="1">IFERROR(RiskRegister[[#This Row],[Residual Impact Rating]]*RiskRegister[[#This Row],[Residual Likelihood Rating]],"-- Error --")</f>
        <v>-- Error --</v>
      </c>
      <c r="Z914" s="16" t="s">
        <v>100</v>
      </c>
      <c r="AB914" s="39"/>
      <c r="AD914" s="20"/>
    </row>
    <row r="915" spans="1:30" s="16" customFormat="1" hidden="1" x14ac:dyDescent="0.25">
      <c r="A915" s="16">
        <v>912</v>
      </c>
      <c r="G915" s="16" t="s">
        <v>77</v>
      </c>
      <c r="I915" s="16" t="s">
        <v>75</v>
      </c>
      <c r="L915" s="105" t="s">
        <v>99</v>
      </c>
      <c r="M915" s="17" t="str">
        <f>VLOOKUP(RiskRegister[[#This Row],[Inherent Impact LevelL3:L1020D1007L3:L1019]],'Rating factors'!$F$4:$G$9,2,FALSE)</f>
        <v>--- Error ---</v>
      </c>
      <c r="N915" s="16" t="s">
        <v>79</v>
      </c>
      <c r="O915" s="17" t="str">
        <f>VLOOKUP(RiskRegister[[#This Row],[Inherent Likelihood Level]],'Rating factors'!$F$16:$G$21,2,FALSE)</f>
        <v>--- Error ---</v>
      </c>
      <c r="P915" s="17" t="str">
        <f>IFERROR(VLOOKUP(RiskRegister[[#This Row],[Inherent Risk Rating]],'Rating factors'!$F$30:$G$44,2,FALSE),"-- Error --")</f>
        <v>-- Error --</v>
      </c>
      <c r="Q915" s="17" t="str">
        <f>IFERROR(RiskRegister[[#This Row],[Inherent Impact Rating]]*RiskRegister[[#This Row],[Inherent Likelihood Rating]],"-- Error --")</f>
        <v>-- Error --</v>
      </c>
      <c r="R915" s="16" t="s">
        <v>98</v>
      </c>
      <c r="T915" s="16" t="s">
        <v>99</v>
      </c>
      <c r="U915" s="17" t="e" cm="1">
        <f t="array" aca="1" ref="U915" ca="1">+U915:Y1019VLOOKUP(RiskRegister[[#This Row],[Residual Impact Level]],'Rating factors'!$F$4:$G$9,2,FALSE)</f>
        <v>#NAME?</v>
      </c>
      <c r="V915" s="16" t="s">
        <v>79</v>
      </c>
      <c r="W915" s="17" t="str">
        <f>VLOOKUP(RiskRegister[[#This Row],[Residual Likelihood Level]],'Rating factors'!$F$16:$G$21,2,FALSE)</f>
        <v>--- Error ---</v>
      </c>
      <c r="X915" s="17" t="str">
        <f ca="1">IFERROR(VLOOKUP(RiskRegister[[#This Row],[Residual Risk Rating]],'Rating factors'!$F$30:$G$44,2,FALSE),"-- Error --")</f>
        <v>-- Error --</v>
      </c>
      <c r="Y915" s="17" t="str">
        <f ca="1">IFERROR(RiskRegister[[#This Row],[Residual Impact Rating]]*RiskRegister[[#This Row],[Residual Likelihood Rating]],"-- Error --")</f>
        <v>-- Error --</v>
      </c>
      <c r="Z915" s="16" t="s">
        <v>100</v>
      </c>
      <c r="AB915" s="39"/>
      <c r="AD915" s="20"/>
    </row>
    <row r="916" spans="1:30" s="16" customFormat="1" hidden="1" x14ac:dyDescent="0.25">
      <c r="A916" s="16">
        <v>913</v>
      </c>
      <c r="G916" s="16" t="s">
        <v>77</v>
      </c>
      <c r="I916" s="16" t="s">
        <v>75</v>
      </c>
      <c r="L916" s="105" t="s">
        <v>99</v>
      </c>
      <c r="M916" s="17" t="str">
        <f>VLOOKUP(RiskRegister[[#This Row],[Inherent Impact LevelL3:L1020D1007L3:L1019]],'Rating factors'!$F$4:$G$9,2,FALSE)</f>
        <v>--- Error ---</v>
      </c>
      <c r="N916" s="16" t="s">
        <v>79</v>
      </c>
      <c r="O916" s="17" t="str">
        <f>VLOOKUP(RiskRegister[[#This Row],[Inherent Likelihood Level]],'Rating factors'!$F$16:$G$21,2,FALSE)</f>
        <v>--- Error ---</v>
      </c>
      <c r="P916" s="17" t="str">
        <f>IFERROR(VLOOKUP(RiskRegister[[#This Row],[Inherent Risk Rating]],'Rating factors'!$F$30:$G$44,2,FALSE),"-- Error --")</f>
        <v>-- Error --</v>
      </c>
      <c r="Q916" s="17" t="str">
        <f>IFERROR(RiskRegister[[#This Row],[Inherent Impact Rating]]*RiskRegister[[#This Row],[Inherent Likelihood Rating]],"-- Error --")</f>
        <v>-- Error --</v>
      </c>
      <c r="R916" s="16" t="s">
        <v>98</v>
      </c>
      <c r="T916" s="16" t="s">
        <v>99</v>
      </c>
      <c r="U916" s="17" t="e" cm="1">
        <f t="array" aca="1" ref="U916" ca="1">+U916:Y1019VLOOKUP(RiskRegister[[#This Row],[Residual Impact Level]],'Rating factors'!$F$4:$G$9,2,FALSE)</f>
        <v>#NAME?</v>
      </c>
      <c r="V916" s="16" t="s">
        <v>79</v>
      </c>
      <c r="W916" s="17" t="str">
        <f>VLOOKUP(RiskRegister[[#This Row],[Residual Likelihood Level]],'Rating factors'!$F$16:$G$21,2,FALSE)</f>
        <v>--- Error ---</v>
      </c>
      <c r="X916" s="17" t="str">
        <f ca="1">IFERROR(VLOOKUP(RiskRegister[[#This Row],[Residual Risk Rating]],'Rating factors'!$F$30:$G$44,2,FALSE),"-- Error --")</f>
        <v>-- Error --</v>
      </c>
      <c r="Y916" s="17" t="str">
        <f ca="1">IFERROR(RiskRegister[[#This Row],[Residual Impact Rating]]*RiskRegister[[#This Row],[Residual Likelihood Rating]],"-- Error --")</f>
        <v>-- Error --</v>
      </c>
      <c r="Z916" s="16" t="s">
        <v>100</v>
      </c>
      <c r="AB916" s="39"/>
      <c r="AD916" s="20"/>
    </row>
    <row r="917" spans="1:30" s="16" customFormat="1" hidden="1" x14ac:dyDescent="0.25">
      <c r="A917" s="16">
        <v>914</v>
      </c>
      <c r="G917" s="16" t="s">
        <v>77</v>
      </c>
      <c r="I917" s="16" t="s">
        <v>75</v>
      </c>
      <c r="L917" s="105" t="s">
        <v>99</v>
      </c>
      <c r="M917" s="17" t="str">
        <f>VLOOKUP(RiskRegister[[#This Row],[Inherent Impact LevelL3:L1020D1007L3:L1019]],'Rating factors'!$F$4:$G$9,2,FALSE)</f>
        <v>--- Error ---</v>
      </c>
      <c r="N917" s="16" t="s">
        <v>79</v>
      </c>
      <c r="O917" s="17" t="str">
        <f>VLOOKUP(RiskRegister[[#This Row],[Inherent Likelihood Level]],'Rating factors'!$F$16:$G$21,2,FALSE)</f>
        <v>--- Error ---</v>
      </c>
      <c r="P917" s="17" t="str">
        <f>IFERROR(VLOOKUP(RiskRegister[[#This Row],[Inherent Risk Rating]],'Rating factors'!$F$30:$G$44,2,FALSE),"-- Error --")</f>
        <v>-- Error --</v>
      </c>
      <c r="Q917" s="17" t="str">
        <f>IFERROR(RiskRegister[[#This Row],[Inherent Impact Rating]]*RiskRegister[[#This Row],[Inherent Likelihood Rating]],"-- Error --")</f>
        <v>-- Error --</v>
      </c>
      <c r="R917" s="16" t="s">
        <v>98</v>
      </c>
      <c r="T917" s="16" t="s">
        <v>99</v>
      </c>
      <c r="U917" s="17" t="e" cm="1">
        <f t="array" aca="1" ref="U917" ca="1">+U917:Y1019VLOOKUP(RiskRegister[[#This Row],[Residual Impact Level]],'Rating factors'!$F$4:$G$9,2,FALSE)</f>
        <v>#NAME?</v>
      </c>
      <c r="V917" s="16" t="s">
        <v>79</v>
      </c>
      <c r="W917" s="17" t="str">
        <f>VLOOKUP(RiskRegister[[#This Row],[Residual Likelihood Level]],'Rating factors'!$F$16:$G$21,2,FALSE)</f>
        <v>--- Error ---</v>
      </c>
      <c r="X917" s="17" t="str">
        <f ca="1">IFERROR(VLOOKUP(RiskRegister[[#This Row],[Residual Risk Rating]],'Rating factors'!$F$30:$G$44,2,FALSE),"-- Error --")</f>
        <v>-- Error --</v>
      </c>
      <c r="Y917" s="17" t="str">
        <f ca="1">IFERROR(RiskRegister[[#This Row],[Residual Impact Rating]]*RiskRegister[[#This Row],[Residual Likelihood Rating]],"-- Error --")</f>
        <v>-- Error --</v>
      </c>
      <c r="Z917" s="16" t="s">
        <v>100</v>
      </c>
      <c r="AB917" s="39"/>
      <c r="AD917" s="20"/>
    </row>
    <row r="918" spans="1:30" s="16" customFormat="1" hidden="1" x14ac:dyDescent="0.25">
      <c r="A918" s="16">
        <v>915</v>
      </c>
      <c r="G918" s="16" t="s">
        <v>77</v>
      </c>
      <c r="I918" s="16" t="s">
        <v>75</v>
      </c>
      <c r="L918" s="105" t="s">
        <v>99</v>
      </c>
      <c r="M918" s="17" t="str">
        <f>VLOOKUP(RiskRegister[[#This Row],[Inherent Impact LevelL3:L1020D1007L3:L1019]],'Rating factors'!$F$4:$G$9,2,FALSE)</f>
        <v>--- Error ---</v>
      </c>
      <c r="N918" s="16" t="s">
        <v>79</v>
      </c>
      <c r="O918" s="17" t="str">
        <f>VLOOKUP(RiskRegister[[#This Row],[Inherent Likelihood Level]],'Rating factors'!$F$16:$G$21,2,FALSE)</f>
        <v>--- Error ---</v>
      </c>
      <c r="P918" s="17" t="str">
        <f>IFERROR(VLOOKUP(RiskRegister[[#This Row],[Inherent Risk Rating]],'Rating factors'!$F$30:$G$44,2,FALSE),"-- Error --")</f>
        <v>-- Error --</v>
      </c>
      <c r="Q918" s="17" t="str">
        <f>IFERROR(RiskRegister[[#This Row],[Inherent Impact Rating]]*RiskRegister[[#This Row],[Inherent Likelihood Rating]],"-- Error --")</f>
        <v>-- Error --</v>
      </c>
      <c r="R918" s="16" t="s">
        <v>98</v>
      </c>
      <c r="T918" s="16" t="s">
        <v>99</v>
      </c>
      <c r="U918" s="17" t="e" cm="1">
        <f t="array" aca="1" ref="U918" ca="1">+U918:Y1019VLOOKUP(RiskRegister[[#This Row],[Residual Impact Level]],'Rating factors'!$F$4:$G$9,2,FALSE)</f>
        <v>#NAME?</v>
      </c>
      <c r="V918" s="16" t="s">
        <v>79</v>
      </c>
      <c r="W918" s="17" t="str">
        <f>VLOOKUP(RiskRegister[[#This Row],[Residual Likelihood Level]],'Rating factors'!$F$16:$G$21,2,FALSE)</f>
        <v>--- Error ---</v>
      </c>
      <c r="X918" s="17" t="str">
        <f ca="1">IFERROR(VLOOKUP(RiskRegister[[#This Row],[Residual Risk Rating]],'Rating factors'!$F$30:$G$44,2,FALSE),"-- Error --")</f>
        <v>-- Error --</v>
      </c>
      <c r="Y918" s="17" t="str">
        <f ca="1">IFERROR(RiskRegister[[#This Row],[Residual Impact Rating]]*RiskRegister[[#This Row],[Residual Likelihood Rating]],"-- Error --")</f>
        <v>-- Error --</v>
      </c>
      <c r="Z918" s="16" t="s">
        <v>100</v>
      </c>
      <c r="AB918" s="39"/>
      <c r="AD918" s="20"/>
    </row>
    <row r="919" spans="1:30" s="16" customFormat="1" hidden="1" x14ac:dyDescent="0.25">
      <c r="A919" s="16">
        <v>916</v>
      </c>
      <c r="G919" s="16" t="s">
        <v>77</v>
      </c>
      <c r="I919" s="16" t="s">
        <v>75</v>
      </c>
      <c r="L919" s="105" t="s">
        <v>99</v>
      </c>
      <c r="M919" s="17" t="str">
        <f>VLOOKUP(RiskRegister[[#This Row],[Inherent Impact LevelL3:L1020D1007L3:L1019]],'Rating factors'!$F$4:$G$9,2,FALSE)</f>
        <v>--- Error ---</v>
      </c>
      <c r="N919" s="16" t="s">
        <v>79</v>
      </c>
      <c r="O919" s="17" t="str">
        <f>VLOOKUP(RiskRegister[[#This Row],[Inherent Likelihood Level]],'Rating factors'!$F$16:$G$21,2,FALSE)</f>
        <v>--- Error ---</v>
      </c>
      <c r="P919" s="17" t="str">
        <f>IFERROR(VLOOKUP(RiskRegister[[#This Row],[Inherent Risk Rating]],'Rating factors'!$F$30:$G$44,2,FALSE),"-- Error --")</f>
        <v>-- Error --</v>
      </c>
      <c r="Q919" s="17" t="str">
        <f>IFERROR(RiskRegister[[#This Row],[Inherent Impact Rating]]*RiskRegister[[#This Row],[Inherent Likelihood Rating]],"-- Error --")</f>
        <v>-- Error --</v>
      </c>
      <c r="R919" s="16" t="s">
        <v>98</v>
      </c>
      <c r="T919" s="16" t="s">
        <v>99</v>
      </c>
      <c r="U919" s="17" t="e" cm="1">
        <f t="array" aca="1" ref="U919" ca="1">+U919:Y1019VLOOKUP(RiskRegister[[#This Row],[Residual Impact Level]],'Rating factors'!$F$4:$G$9,2,FALSE)</f>
        <v>#NAME?</v>
      </c>
      <c r="V919" s="16" t="s">
        <v>79</v>
      </c>
      <c r="W919" s="17" t="str">
        <f>VLOOKUP(RiskRegister[[#This Row],[Residual Likelihood Level]],'Rating factors'!$F$16:$G$21,2,FALSE)</f>
        <v>--- Error ---</v>
      </c>
      <c r="X919" s="17" t="str">
        <f ca="1">IFERROR(VLOOKUP(RiskRegister[[#This Row],[Residual Risk Rating]],'Rating factors'!$F$30:$G$44,2,FALSE),"-- Error --")</f>
        <v>-- Error --</v>
      </c>
      <c r="Y919" s="17" t="str">
        <f ca="1">IFERROR(RiskRegister[[#This Row],[Residual Impact Rating]]*RiskRegister[[#This Row],[Residual Likelihood Rating]],"-- Error --")</f>
        <v>-- Error --</v>
      </c>
      <c r="Z919" s="16" t="s">
        <v>100</v>
      </c>
      <c r="AB919" s="39"/>
      <c r="AD919" s="20"/>
    </row>
    <row r="920" spans="1:30" s="16" customFormat="1" hidden="1" x14ac:dyDescent="0.25">
      <c r="A920" s="16">
        <v>917</v>
      </c>
      <c r="G920" s="16" t="s">
        <v>77</v>
      </c>
      <c r="I920" s="16" t="s">
        <v>75</v>
      </c>
      <c r="L920" s="105" t="s">
        <v>99</v>
      </c>
      <c r="M920" s="17" t="str">
        <f>VLOOKUP(RiskRegister[[#This Row],[Inherent Impact LevelL3:L1020D1007L3:L1019]],'Rating factors'!$F$4:$G$9,2,FALSE)</f>
        <v>--- Error ---</v>
      </c>
      <c r="N920" s="16" t="s">
        <v>79</v>
      </c>
      <c r="O920" s="17" t="str">
        <f>VLOOKUP(RiskRegister[[#This Row],[Inherent Likelihood Level]],'Rating factors'!$F$16:$G$21,2,FALSE)</f>
        <v>--- Error ---</v>
      </c>
      <c r="P920" s="17" t="str">
        <f>IFERROR(VLOOKUP(RiskRegister[[#This Row],[Inherent Risk Rating]],'Rating factors'!$F$30:$G$44,2,FALSE),"-- Error --")</f>
        <v>-- Error --</v>
      </c>
      <c r="Q920" s="17" t="str">
        <f>IFERROR(RiskRegister[[#This Row],[Inherent Impact Rating]]*RiskRegister[[#This Row],[Inherent Likelihood Rating]],"-- Error --")</f>
        <v>-- Error --</v>
      </c>
      <c r="R920" s="16" t="s">
        <v>98</v>
      </c>
      <c r="T920" s="16" t="s">
        <v>99</v>
      </c>
      <c r="U920" s="17" t="e" cm="1">
        <f t="array" aca="1" ref="U920" ca="1">+U920:Y1019VLOOKUP(RiskRegister[[#This Row],[Residual Impact Level]],'Rating factors'!$F$4:$G$9,2,FALSE)</f>
        <v>#NAME?</v>
      </c>
      <c r="V920" s="16" t="s">
        <v>79</v>
      </c>
      <c r="W920" s="17" t="str">
        <f>VLOOKUP(RiskRegister[[#This Row],[Residual Likelihood Level]],'Rating factors'!$F$16:$G$21,2,FALSE)</f>
        <v>--- Error ---</v>
      </c>
      <c r="X920" s="17" t="str">
        <f ca="1">IFERROR(VLOOKUP(RiskRegister[[#This Row],[Residual Risk Rating]],'Rating factors'!$F$30:$G$44,2,FALSE),"-- Error --")</f>
        <v>-- Error --</v>
      </c>
      <c r="Y920" s="17" t="str">
        <f ca="1">IFERROR(RiskRegister[[#This Row],[Residual Impact Rating]]*RiskRegister[[#This Row],[Residual Likelihood Rating]],"-- Error --")</f>
        <v>-- Error --</v>
      </c>
      <c r="Z920" s="16" t="s">
        <v>100</v>
      </c>
      <c r="AB920" s="39"/>
      <c r="AD920" s="20"/>
    </row>
    <row r="921" spans="1:30" s="16" customFormat="1" hidden="1" x14ac:dyDescent="0.25">
      <c r="A921" s="16">
        <v>918</v>
      </c>
      <c r="G921" s="16" t="s">
        <v>77</v>
      </c>
      <c r="I921" s="16" t="s">
        <v>75</v>
      </c>
      <c r="L921" s="105" t="s">
        <v>99</v>
      </c>
      <c r="M921" s="17" t="str">
        <f>VLOOKUP(RiskRegister[[#This Row],[Inherent Impact LevelL3:L1020D1007L3:L1019]],'Rating factors'!$F$4:$G$9,2,FALSE)</f>
        <v>--- Error ---</v>
      </c>
      <c r="N921" s="16" t="s">
        <v>79</v>
      </c>
      <c r="O921" s="17" t="str">
        <f>VLOOKUP(RiskRegister[[#This Row],[Inherent Likelihood Level]],'Rating factors'!$F$16:$G$21,2,FALSE)</f>
        <v>--- Error ---</v>
      </c>
      <c r="P921" s="17" t="str">
        <f>IFERROR(VLOOKUP(RiskRegister[[#This Row],[Inherent Risk Rating]],'Rating factors'!$F$30:$G$44,2,FALSE),"-- Error --")</f>
        <v>-- Error --</v>
      </c>
      <c r="Q921" s="17" t="str">
        <f>IFERROR(RiskRegister[[#This Row],[Inherent Impact Rating]]*RiskRegister[[#This Row],[Inherent Likelihood Rating]],"-- Error --")</f>
        <v>-- Error --</v>
      </c>
      <c r="R921" s="16" t="s">
        <v>98</v>
      </c>
      <c r="T921" s="16" t="s">
        <v>99</v>
      </c>
      <c r="U921" s="17" t="e" cm="1">
        <f t="array" aca="1" ref="U921" ca="1">+U921:Y1019VLOOKUP(RiskRegister[[#This Row],[Residual Impact Level]],'Rating factors'!$F$4:$G$9,2,FALSE)</f>
        <v>#NAME?</v>
      </c>
      <c r="V921" s="16" t="s">
        <v>79</v>
      </c>
      <c r="W921" s="17" t="str">
        <f>VLOOKUP(RiskRegister[[#This Row],[Residual Likelihood Level]],'Rating factors'!$F$16:$G$21,2,FALSE)</f>
        <v>--- Error ---</v>
      </c>
      <c r="X921" s="17" t="str">
        <f ca="1">IFERROR(VLOOKUP(RiskRegister[[#This Row],[Residual Risk Rating]],'Rating factors'!$F$30:$G$44,2,FALSE),"-- Error --")</f>
        <v>-- Error --</v>
      </c>
      <c r="Y921" s="17" t="str">
        <f ca="1">IFERROR(RiskRegister[[#This Row],[Residual Impact Rating]]*RiskRegister[[#This Row],[Residual Likelihood Rating]],"-- Error --")</f>
        <v>-- Error --</v>
      </c>
      <c r="Z921" s="16" t="s">
        <v>100</v>
      </c>
      <c r="AB921" s="39"/>
      <c r="AD921" s="20"/>
    </row>
    <row r="922" spans="1:30" s="16" customFormat="1" hidden="1" x14ac:dyDescent="0.25">
      <c r="A922" s="16">
        <v>919</v>
      </c>
      <c r="G922" s="16" t="s">
        <v>77</v>
      </c>
      <c r="I922" s="16" t="s">
        <v>75</v>
      </c>
      <c r="L922" s="105" t="s">
        <v>99</v>
      </c>
      <c r="M922" s="17" t="str">
        <f>VLOOKUP(RiskRegister[[#This Row],[Inherent Impact LevelL3:L1020D1007L3:L1019]],'Rating factors'!$F$4:$G$9,2,FALSE)</f>
        <v>--- Error ---</v>
      </c>
      <c r="N922" s="16" t="s">
        <v>79</v>
      </c>
      <c r="O922" s="17" t="str">
        <f>VLOOKUP(RiskRegister[[#This Row],[Inherent Likelihood Level]],'Rating factors'!$F$16:$G$21,2,FALSE)</f>
        <v>--- Error ---</v>
      </c>
      <c r="P922" s="17" t="str">
        <f>IFERROR(VLOOKUP(RiskRegister[[#This Row],[Inherent Risk Rating]],'Rating factors'!$F$30:$G$44,2,FALSE),"-- Error --")</f>
        <v>-- Error --</v>
      </c>
      <c r="Q922" s="17" t="str">
        <f>IFERROR(RiskRegister[[#This Row],[Inherent Impact Rating]]*RiskRegister[[#This Row],[Inherent Likelihood Rating]],"-- Error --")</f>
        <v>-- Error --</v>
      </c>
      <c r="R922" s="16" t="s">
        <v>98</v>
      </c>
      <c r="T922" s="16" t="s">
        <v>99</v>
      </c>
      <c r="U922" s="17" t="e" cm="1">
        <f t="array" aca="1" ref="U922" ca="1">+U922:Y1019VLOOKUP(RiskRegister[[#This Row],[Residual Impact Level]],'Rating factors'!$F$4:$G$9,2,FALSE)</f>
        <v>#NAME?</v>
      </c>
      <c r="V922" s="16" t="s">
        <v>79</v>
      </c>
      <c r="W922" s="17" t="str">
        <f>VLOOKUP(RiskRegister[[#This Row],[Residual Likelihood Level]],'Rating factors'!$F$16:$G$21,2,FALSE)</f>
        <v>--- Error ---</v>
      </c>
      <c r="X922" s="17" t="str">
        <f ca="1">IFERROR(VLOOKUP(RiskRegister[[#This Row],[Residual Risk Rating]],'Rating factors'!$F$30:$G$44,2,FALSE),"-- Error --")</f>
        <v>-- Error --</v>
      </c>
      <c r="Y922" s="17" t="str">
        <f ca="1">IFERROR(RiskRegister[[#This Row],[Residual Impact Rating]]*RiskRegister[[#This Row],[Residual Likelihood Rating]],"-- Error --")</f>
        <v>-- Error --</v>
      </c>
      <c r="Z922" s="16" t="s">
        <v>100</v>
      </c>
      <c r="AB922" s="39"/>
      <c r="AD922" s="20"/>
    </row>
    <row r="923" spans="1:30" s="16" customFormat="1" hidden="1" x14ac:dyDescent="0.25">
      <c r="A923" s="16">
        <v>920</v>
      </c>
      <c r="G923" s="16" t="s">
        <v>77</v>
      </c>
      <c r="I923" s="16" t="s">
        <v>75</v>
      </c>
      <c r="L923" s="105" t="s">
        <v>99</v>
      </c>
      <c r="M923" s="17" t="str">
        <f>VLOOKUP(RiskRegister[[#This Row],[Inherent Impact LevelL3:L1020D1007L3:L1019]],'Rating factors'!$F$4:$G$9,2,FALSE)</f>
        <v>--- Error ---</v>
      </c>
      <c r="N923" s="16" t="s">
        <v>79</v>
      </c>
      <c r="O923" s="17" t="str">
        <f>VLOOKUP(RiskRegister[[#This Row],[Inherent Likelihood Level]],'Rating factors'!$F$16:$G$21,2,FALSE)</f>
        <v>--- Error ---</v>
      </c>
      <c r="P923" s="17" t="str">
        <f>IFERROR(VLOOKUP(RiskRegister[[#This Row],[Inherent Risk Rating]],'Rating factors'!$F$30:$G$44,2,FALSE),"-- Error --")</f>
        <v>-- Error --</v>
      </c>
      <c r="Q923" s="17" t="str">
        <f>IFERROR(RiskRegister[[#This Row],[Inherent Impact Rating]]*RiskRegister[[#This Row],[Inherent Likelihood Rating]],"-- Error --")</f>
        <v>-- Error --</v>
      </c>
      <c r="R923" s="16" t="s">
        <v>98</v>
      </c>
      <c r="T923" s="16" t="s">
        <v>99</v>
      </c>
      <c r="U923" s="17" t="e" cm="1">
        <f t="array" aca="1" ref="U923" ca="1">+U923:Y1019VLOOKUP(RiskRegister[[#This Row],[Residual Impact Level]],'Rating factors'!$F$4:$G$9,2,FALSE)</f>
        <v>#NAME?</v>
      </c>
      <c r="V923" s="16" t="s">
        <v>79</v>
      </c>
      <c r="W923" s="17" t="str">
        <f>VLOOKUP(RiskRegister[[#This Row],[Residual Likelihood Level]],'Rating factors'!$F$16:$G$21,2,FALSE)</f>
        <v>--- Error ---</v>
      </c>
      <c r="X923" s="17" t="str">
        <f ca="1">IFERROR(VLOOKUP(RiskRegister[[#This Row],[Residual Risk Rating]],'Rating factors'!$F$30:$G$44,2,FALSE),"-- Error --")</f>
        <v>-- Error --</v>
      </c>
      <c r="Y923" s="17" t="str">
        <f ca="1">IFERROR(RiskRegister[[#This Row],[Residual Impact Rating]]*RiskRegister[[#This Row],[Residual Likelihood Rating]],"-- Error --")</f>
        <v>-- Error --</v>
      </c>
      <c r="Z923" s="16" t="s">
        <v>100</v>
      </c>
      <c r="AB923" s="39"/>
      <c r="AD923" s="20"/>
    </row>
    <row r="924" spans="1:30" s="16" customFormat="1" hidden="1" x14ac:dyDescent="0.25">
      <c r="A924" s="16">
        <v>921</v>
      </c>
      <c r="G924" s="16" t="s">
        <v>77</v>
      </c>
      <c r="I924" s="16" t="s">
        <v>75</v>
      </c>
      <c r="L924" s="105" t="s">
        <v>99</v>
      </c>
      <c r="M924" s="17" t="str">
        <f>VLOOKUP(RiskRegister[[#This Row],[Inherent Impact LevelL3:L1020D1007L3:L1019]],'Rating factors'!$F$4:$G$9,2,FALSE)</f>
        <v>--- Error ---</v>
      </c>
      <c r="N924" s="16" t="s">
        <v>79</v>
      </c>
      <c r="O924" s="17" t="str">
        <f>VLOOKUP(RiskRegister[[#This Row],[Inherent Likelihood Level]],'Rating factors'!$F$16:$G$21,2,FALSE)</f>
        <v>--- Error ---</v>
      </c>
      <c r="P924" s="17" t="str">
        <f>IFERROR(VLOOKUP(RiskRegister[[#This Row],[Inherent Risk Rating]],'Rating factors'!$F$30:$G$44,2,FALSE),"-- Error --")</f>
        <v>-- Error --</v>
      </c>
      <c r="Q924" s="17" t="str">
        <f>IFERROR(RiskRegister[[#This Row],[Inherent Impact Rating]]*RiskRegister[[#This Row],[Inherent Likelihood Rating]],"-- Error --")</f>
        <v>-- Error --</v>
      </c>
      <c r="R924" s="16" t="s">
        <v>98</v>
      </c>
      <c r="T924" s="16" t="s">
        <v>99</v>
      </c>
      <c r="U924" s="17" t="e" cm="1">
        <f t="array" aca="1" ref="U924" ca="1">+U924:Y1019VLOOKUP(RiskRegister[[#This Row],[Residual Impact Level]],'Rating factors'!$F$4:$G$9,2,FALSE)</f>
        <v>#NAME?</v>
      </c>
      <c r="V924" s="16" t="s">
        <v>79</v>
      </c>
      <c r="W924" s="17" t="str">
        <f>VLOOKUP(RiskRegister[[#This Row],[Residual Likelihood Level]],'Rating factors'!$F$16:$G$21,2,FALSE)</f>
        <v>--- Error ---</v>
      </c>
      <c r="X924" s="17" t="str">
        <f ca="1">IFERROR(VLOOKUP(RiskRegister[[#This Row],[Residual Risk Rating]],'Rating factors'!$F$30:$G$44,2,FALSE),"-- Error --")</f>
        <v>-- Error --</v>
      </c>
      <c r="Y924" s="17" t="str">
        <f ca="1">IFERROR(RiskRegister[[#This Row],[Residual Impact Rating]]*RiskRegister[[#This Row],[Residual Likelihood Rating]],"-- Error --")</f>
        <v>-- Error --</v>
      </c>
      <c r="Z924" s="16" t="s">
        <v>100</v>
      </c>
      <c r="AB924" s="39"/>
      <c r="AD924" s="20"/>
    </row>
    <row r="925" spans="1:30" s="16" customFormat="1" hidden="1" x14ac:dyDescent="0.25">
      <c r="A925" s="16">
        <v>922</v>
      </c>
      <c r="G925" s="16" t="s">
        <v>77</v>
      </c>
      <c r="I925" s="16" t="s">
        <v>75</v>
      </c>
      <c r="L925" s="105" t="s">
        <v>99</v>
      </c>
      <c r="M925" s="17" t="str">
        <f>VLOOKUP(RiskRegister[[#This Row],[Inherent Impact LevelL3:L1020D1007L3:L1019]],'Rating factors'!$F$4:$G$9,2,FALSE)</f>
        <v>--- Error ---</v>
      </c>
      <c r="N925" s="16" t="s">
        <v>79</v>
      </c>
      <c r="O925" s="17" t="str">
        <f>VLOOKUP(RiskRegister[[#This Row],[Inherent Likelihood Level]],'Rating factors'!$F$16:$G$21,2,FALSE)</f>
        <v>--- Error ---</v>
      </c>
      <c r="P925" s="17" t="str">
        <f>IFERROR(VLOOKUP(RiskRegister[[#This Row],[Inherent Risk Rating]],'Rating factors'!$F$30:$G$44,2,FALSE),"-- Error --")</f>
        <v>-- Error --</v>
      </c>
      <c r="Q925" s="17" t="str">
        <f>IFERROR(RiskRegister[[#This Row],[Inherent Impact Rating]]*RiskRegister[[#This Row],[Inherent Likelihood Rating]],"-- Error --")</f>
        <v>-- Error --</v>
      </c>
      <c r="R925" s="16" t="s">
        <v>98</v>
      </c>
      <c r="T925" s="16" t="s">
        <v>99</v>
      </c>
      <c r="U925" s="17" t="e" cm="1">
        <f t="array" aca="1" ref="U925" ca="1">+U925:Y1019VLOOKUP(RiskRegister[[#This Row],[Residual Impact Level]],'Rating factors'!$F$4:$G$9,2,FALSE)</f>
        <v>#NAME?</v>
      </c>
      <c r="V925" s="16" t="s">
        <v>79</v>
      </c>
      <c r="W925" s="17" t="str">
        <f>VLOOKUP(RiskRegister[[#This Row],[Residual Likelihood Level]],'Rating factors'!$F$16:$G$21,2,FALSE)</f>
        <v>--- Error ---</v>
      </c>
      <c r="X925" s="17" t="str">
        <f ca="1">IFERROR(VLOOKUP(RiskRegister[[#This Row],[Residual Risk Rating]],'Rating factors'!$F$30:$G$44,2,FALSE),"-- Error --")</f>
        <v>-- Error --</v>
      </c>
      <c r="Y925" s="17" t="str">
        <f ca="1">IFERROR(RiskRegister[[#This Row],[Residual Impact Rating]]*RiskRegister[[#This Row],[Residual Likelihood Rating]],"-- Error --")</f>
        <v>-- Error --</v>
      </c>
      <c r="Z925" s="16" t="s">
        <v>100</v>
      </c>
      <c r="AB925" s="39"/>
      <c r="AD925" s="20"/>
    </row>
    <row r="926" spans="1:30" s="16" customFormat="1" hidden="1" x14ac:dyDescent="0.25">
      <c r="A926" s="16">
        <v>923</v>
      </c>
      <c r="G926" s="16" t="s">
        <v>77</v>
      </c>
      <c r="I926" s="16" t="s">
        <v>75</v>
      </c>
      <c r="L926" s="105" t="s">
        <v>99</v>
      </c>
      <c r="M926" s="17" t="str">
        <f>VLOOKUP(RiskRegister[[#This Row],[Inherent Impact LevelL3:L1020D1007L3:L1019]],'Rating factors'!$F$4:$G$9,2,FALSE)</f>
        <v>--- Error ---</v>
      </c>
      <c r="N926" s="16" t="s">
        <v>79</v>
      </c>
      <c r="O926" s="17" t="str">
        <f>VLOOKUP(RiskRegister[[#This Row],[Inherent Likelihood Level]],'Rating factors'!$F$16:$G$21,2,FALSE)</f>
        <v>--- Error ---</v>
      </c>
      <c r="P926" s="17" t="str">
        <f>IFERROR(VLOOKUP(RiskRegister[[#This Row],[Inherent Risk Rating]],'Rating factors'!$F$30:$G$44,2,FALSE),"-- Error --")</f>
        <v>-- Error --</v>
      </c>
      <c r="Q926" s="17" t="str">
        <f>IFERROR(RiskRegister[[#This Row],[Inherent Impact Rating]]*RiskRegister[[#This Row],[Inherent Likelihood Rating]],"-- Error --")</f>
        <v>-- Error --</v>
      </c>
      <c r="R926" s="16" t="s">
        <v>98</v>
      </c>
      <c r="T926" s="16" t="s">
        <v>99</v>
      </c>
      <c r="U926" s="17" t="e" cm="1">
        <f t="array" aca="1" ref="U926" ca="1">+U926:Y1019VLOOKUP(RiskRegister[[#This Row],[Residual Impact Level]],'Rating factors'!$F$4:$G$9,2,FALSE)</f>
        <v>#NAME?</v>
      </c>
      <c r="V926" s="16" t="s">
        <v>79</v>
      </c>
      <c r="W926" s="17" t="str">
        <f>VLOOKUP(RiskRegister[[#This Row],[Residual Likelihood Level]],'Rating factors'!$F$16:$G$21,2,FALSE)</f>
        <v>--- Error ---</v>
      </c>
      <c r="X926" s="17" t="str">
        <f ca="1">IFERROR(VLOOKUP(RiskRegister[[#This Row],[Residual Risk Rating]],'Rating factors'!$F$30:$G$44,2,FALSE),"-- Error --")</f>
        <v>-- Error --</v>
      </c>
      <c r="Y926" s="17" t="str">
        <f ca="1">IFERROR(RiskRegister[[#This Row],[Residual Impact Rating]]*RiskRegister[[#This Row],[Residual Likelihood Rating]],"-- Error --")</f>
        <v>-- Error --</v>
      </c>
      <c r="Z926" s="16" t="s">
        <v>100</v>
      </c>
      <c r="AB926" s="39"/>
      <c r="AD926" s="20"/>
    </row>
    <row r="927" spans="1:30" s="16" customFormat="1" hidden="1" x14ac:dyDescent="0.25">
      <c r="A927" s="16">
        <v>924</v>
      </c>
      <c r="G927" s="16" t="s">
        <v>77</v>
      </c>
      <c r="I927" s="16" t="s">
        <v>75</v>
      </c>
      <c r="L927" s="105" t="s">
        <v>99</v>
      </c>
      <c r="M927" s="17" t="str">
        <f>VLOOKUP(RiskRegister[[#This Row],[Inherent Impact LevelL3:L1020D1007L3:L1019]],'Rating factors'!$F$4:$G$9,2,FALSE)</f>
        <v>--- Error ---</v>
      </c>
      <c r="N927" s="16" t="s">
        <v>79</v>
      </c>
      <c r="O927" s="17" t="str">
        <f>VLOOKUP(RiskRegister[[#This Row],[Inherent Likelihood Level]],'Rating factors'!$F$16:$G$21,2,FALSE)</f>
        <v>--- Error ---</v>
      </c>
      <c r="P927" s="17" t="str">
        <f>IFERROR(VLOOKUP(RiskRegister[[#This Row],[Inherent Risk Rating]],'Rating factors'!$F$30:$G$44,2,FALSE),"-- Error --")</f>
        <v>-- Error --</v>
      </c>
      <c r="Q927" s="17" t="str">
        <f>IFERROR(RiskRegister[[#This Row],[Inherent Impact Rating]]*RiskRegister[[#This Row],[Inherent Likelihood Rating]],"-- Error --")</f>
        <v>-- Error --</v>
      </c>
      <c r="R927" s="16" t="s">
        <v>98</v>
      </c>
      <c r="T927" s="16" t="s">
        <v>99</v>
      </c>
      <c r="U927" s="17" t="e" cm="1">
        <f t="array" aca="1" ref="U927" ca="1">+U927:Y1019VLOOKUP(RiskRegister[[#This Row],[Residual Impact Level]],'Rating factors'!$F$4:$G$9,2,FALSE)</f>
        <v>#NAME?</v>
      </c>
      <c r="V927" s="16" t="s">
        <v>79</v>
      </c>
      <c r="W927" s="17" t="str">
        <f>VLOOKUP(RiskRegister[[#This Row],[Residual Likelihood Level]],'Rating factors'!$F$16:$G$21,2,FALSE)</f>
        <v>--- Error ---</v>
      </c>
      <c r="X927" s="17" t="str">
        <f ca="1">IFERROR(VLOOKUP(RiskRegister[[#This Row],[Residual Risk Rating]],'Rating factors'!$F$30:$G$44,2,FALSE),"-- Error --")</f>
        <v>-- Error --</v>
      </c>
      <c r="Y927" s="17" t="str">
        <f ca="1">IFERROR(RiskRegister[[#This Row],[Residual Impact Rating]]*RiskRegister[[#This Row],[Residual Likelihood Rating]],"-- Error --")</f>
        <v>-- Error --</v>
      </c>
      <c r="Z927" s="16" t="s">
        <v>100</v>
      </c>
      <c r="AB927" s="39"/>
      <c r="AD927" s="20"/>
    </row>
    <row r="928" spans="1:30" s="16" customFormat="1" hidden="1" x14ac:dyDescent="0.25">
      <c r="A928" s="16">
        <v>925</v>
      </c>
      <c r="G928" s="16" t="s">
        <v>77</v>
      </c>
      <c r="I928" s="16" t="s">
        <v>75</v>
      </c>
      <c r="L928" s="105" t="s">
        <v>99</v>
      </c>
      <c r="M928" s="17" t="str">
        <f>VLOOKUP(RiskRegister[[#This Row],[Inherent Impact LevelL3:L1020D1007L3:L1019]],'Rating factors'!$F$4:$G$9,2,FALSE)</f>
        <v>--- Error ---</v>
      </c>
      <c r="N928" s="16" t="s">
        <v>79</v>
      </c>
      <c r="O928" s="17" t="str">
        <f>VLOOKUP(RiskRegister[[#This Row],[Inherent Likelihood Level]],'Rating factors'!$F$16:$G$21,2,FALSE)</f>
        <v>--- Error ---</v>
      </c>
      <c r="P928" s="17" t="str">
        <f>IFERROR(VLOOKUP(RiskRegister[[#This Row],[Inherent Risk Rating]],'Rating factors'!$F$30:$G$44,2,FALSE),"-- Error --")</f>
        <v>-- Error --</v>
      </c>
      <c r="Q928" s="17" t="str">
        <f>IFERROR(RiskRegister[[#This Row],[Inherent Impact Rating]]*RiskRegister[[#This Row],[Inherent Likelihood Rating]],"-- Error --")</f>
        <v>-- Error --</v>
      </c>
      <c r="R928" s="16" t="s">
        <v>98</v>
      </c>
      <c r="T928" s="16" t="s">
        <v>99</v>
      </c>
      <c r="U928" s="17" t="e" cm="1">
        <f t="array" aca="1" ref="U928" ca="1">+U928:Y1019VLOOKUP(RiskRegister[[#This Row],[Residual Impact Level]],'Rating factors'!$F$4:$G$9,2,FALSE)</f>
        <v>#NAME?</v>
      </c>
      <c r="V928" s="16" t="s">
        <v>79</v>
      </c>
      <c r="W928" s="17" t="str">
        <f>VLOOKUP(RiskRegister[[#This Row],[Residual Likelihood Level]],'Rating factors'!$F$16:$G$21,2,FALSE)</f>
        <v>--- Error ---</v>
      </c>
      <c r="X928" s="17" t="str">
        <f ca="1">IFERROR(VLOOKUP(RiskRegister[[#This Row],[Residual Risk Rating]],'Rating factors'!$F$30:$G$44,2,FALSE),"-- Error --")</f>
        <v>-- Error --</v>
      </c>
      <c r="Y928" s="17" t="str">
        <f ca="1">IFERROR(RiskRegister[[#This Row],[Residual Impact Rating]]*RiskRegister[[#This Row],[Residual Likelihood Rating]],"-- Error --")</f>
        <v>-- Error --</v>
      </c>
      <c r="Z928" s="16" t="s">
        <v>100</v>
      </c>
      <c r="AB928" s="39"/>
      <c r="AD928" s="20"/>
    </row>
    <row r="929" spans="1:30" s="16" customFormat="1" hidden="1" x14ac:dyDescent="0.25">
      <c r="A929" s="16">
        <v>926</v>
      </c>
      <c r="G929" s="16" t="s">
        <v>77</v>
      </c>
      <c r="I929" s="16" t="s">
        <v>75</v>
      </c>
      <c r="L929" s="105" t="s">
        <v>99</v>
      </c>
      <c r="M929" s="17" t="str">
        <f>VLOOKUP(RiskRegister[[#This Row],[Inherent Impact LevelL3:L1020D1007L3:L1019]],'Rating factors'!$F$4:$G$9,2,FALSE)</f>
        <v>--- Error ---</v>
      </c>
      <c r="N929" s="16" t="s">
        <v>79</v>
      </c>
      <c r="O929" s="17" t="str">
        <f>VLOOKUP(RiskRegister[[#This Row],[Inherent Likelihood Level]],'Rating factors'!$F$16:$G$21,2,FALSE)</f>
        <v>--- Error ---</v>
      </c>
      <c r="P929" s="17" t="str">
        <f>IFERROR(VLOOKUP(RiskRegister[[#This Row],[Inherent Risk Rating]],'Rating factors'!$F$30:$G$44,2,FALSE),"-- Error --")</f>
        <v>-- Error --</v>
      </c>
      <c r="Q929" s="17" t="str">
        <f>IFERROR(RiskRegister[[#This Row],[Inherent Impact Rating]]*RiskRegister[[#This Row],[Inherent Likelihood Rating]],"-- Error --")</f>
        <v>-- Error --</v>
      </c>
      <c r="R929" s="16" t="s">
        <v>98</v>
      </c>
      <c r="T929" s="16" t="s">
        <v>99</v>
      </c>
      <c r="U929" s="17" t="e" cm="1">
        <f t="array" aca="1" ref="U929" ca="1">+U929:Y1019VLOOKUP(RiskRegister[[#This Row],[Residual Impact Level]],'Rating factors'!$F$4:$G$9,2,FALSE)</f>
        <v>#NAME?</v>
      </c>
      <c r="V929" s="16" t="s">
        <v>79</v>
      </c>
      <c r="W929" s="17" t="str">
        <f>VLOOKUP(RiskRegister[[#This Row],[Residual Likelihood Level]],'Rating factors'!$F$16:$G$21,2,FALSE)</f>
        <v>--- Error ---</v>
      </c>
      <c r="X929" s="17" t="str">
        <f ca="1">IFERROR(VLOOKUP(RiskRegister[[#This Row],[Residual Risk Rating]],'Rating factors'!$F$30:$G$44,2,FALSE),"-- Error --")</f>
        <v>-- Error --</v>
      </c>
      <c r="Y929" s="17" t="str">
        <f ca="1">IFERROR(RiskRegister[[#This Row],[Residual Impact Rating]]*RiskRegister[[#This Row],[Residual Likelihood Rating]],"-- Error --")</f>
        <v>-- Error --</v>
      </c>
      <c r="Z929" s="16" t="s">
        <v>100</v>
      </c>
      <c r="AB929" s="39"/>
      <c r="AD929" s="20"/>
    </row>
    <row r="930" spans="1:30" s="16" customFormat="1" hidden="1" x14ac:dyDescent="0.25">
      <c r="A930" s="16">
        <v>927</v>
      </c>
      <c r="G930" s="16" t="s">
        <v>77</v>
      </c>
      <c r="I930" s="16" t="s">
        <v>75</v>
      </c>
      <c r="L930" s="105" t="s">
        <v>99</v>
      </c>
      <c r="M930" s="17" t="str">
        <f>VLOOKUP(RiskRegister[[#This Row],[Inherent Impact LevelL3:L1020D1007L3:L1019]],'Rating factors'!$F$4:$G$9,2,FALSE)</f>
        <v>--- Error ---</v>
      </c>
      <c r="N930" s="16" t="s">
        <v>79</v>
      </c>
      <c r="O930" s="17" t="str">
        <f>VLOOKUP(RiskRegister[[#This Row],[Inherent Likelihood Level]],'Rating factors'!$F$16:$G$21,2,FALSE)</f>
        <v>--- Error ---</v>
      </c>
      <c r="P930" s="17" t="str">
        <f>IFERROR(VLOOKUP(RiskRegister[[#This Row],[Inherent Risk Rating]],'Rating factors'!$F$30:$G$44,2,FALSE),"-- Error --")</f>
        <v>-- Error --</v>
      </c>
      <c r="Q930" s="17" t="str">
        <f>IFERROR(RiskRegister[[#This Row],[Inherent Impact Rating]]*RiskRegister[[#This Row],[Inherent Likelihood Rating]],"-- Error --")</f>
        <v>-- Error --</v>
      </c>
      <c r="R930" s="16" t="s">
        <v>98</v>
      </c>
      <c r="T930" s="16" t="s">
        <v>99</v>
      </c>
      <c r="U930" s="17" t="e" cm="1">
        <f t="array" aca="1" ref="U930" ca="1">+U930:Y1019VLOOKUP(RiskRegister[[#This Row],[Residual Impact Level]],'Rating factors'!$F$4:$G$9,2,FALSE)</f>
        <v>#NAME?</v>
      </c>
      <c r="V930" s="16" t="s">
        <v>79</v>
      </c>
      <c r="W930" s="17" t="str">
        <f>VLOOKUP(RiskRegister[[#This Row],[Residual Likelihood Level]],'Rating factors'!$F$16:$G$21,2,FALSE)</f>
        <v>--- Error ---</v>
      </c>
      <c r="X930" s="17" t="str">
        <f ca="1">IFERROR(VLOOKUP(RiskRegister[[#This Row],[Residual Risk Rating]],'Rating factors'!$F$30:$G$44,2,FALSE),"-- Error --")</f>
        <v>-- Error --</v>
      </c>
      <c r="Y930" s="17" t="str">
        <f ca="1">IFERROR(RiskRegister[[#This Row],[Residual Impact Rating]]*RiskRegister[[#This Row],[Residual Likelihood Rating]],"-- Error --")</f>
        <v>-- Error --</v>
      </c>
      <c r="Z930" s="16" t="s">
        <v>100</v>
      </c>
      <c r="AB930" s="39"/>
      <c r="AD930" s="20"/>
    </row>
    <row r="931" spans="1:30" s="16" customFormat="1" hidden="1" x14ac:dyDescent="0.25">
      <c r="A931" s="16">
        <v>928</v>
      </c>
      <c r="G931" s="16" t="s">
        <v>77</v>
      </c>
      <c r="I931" s="16" t="s">
        <v>75</v>
      </c>
      <c r="L931" s="105" t="s">
        <v>99</v>
      </c>
      <c r="M931" s="17" t="str">
        <f>VLOOKUP(RiskRegister[[#This Row],[Inherent Impact LevelL3:L1020D1007L3:L1019]],'Rating factors'!$F$4:$G$9,2,FALSE)</f>
        <v>--- Error ---</v>
      </c>
      <c r="N931" s="16" t="s">
        <v>79</v>
      </c>
      <c r="O931" s="17" t="str">
        <f>VLOOKUP(RiskRegister[[#This Row],[Inherent Likelihood Level]],'Rating factors'!$F$16:$G$21,2,FALSE)</f>
        <v>--- Error ---</v>
      </c>
      <c r="P931" s="17" t="str">
        <f>IFERROR(VLOOKUP(RiskRegister[[#This Row],[Inherent Risk Rating]],'Rating factors'!$F$30:$G$44,2,FALSE),"-- Error --")</f>
        <v>-- Error --</v>
      </c>
      <c r="Q931" s="17" t="str">
        <f>IFERROR(RiskRegister[[#This Row],[Inherent Impact Rating]]*RiskRegister[[#This Row],[Inherent Likelihood Rating]],"-- Error --")</f>
        <v>-- Error --</v>
      </c>
      <c r="R931" s="16" t="s">
        <v>98</v>
      </c>
      <c r="T931" s="16" t="s">
        <v>99</v>
      </c>
      <c r="U931" s="17" t="e" cm="1">
        <f t="array" aca="1" ref="U931" ca="1">+U931:Y1019VLOOKUP(RiskRegister[[#This Row],[Residual Impact Level]],'Rating factors'!$F$4:$G$9,2,FALSE)</f>
        <v>#NAME?</v>
      </c>
      <c r="V931" s="16" t="s">
        <v>79</v>
      </c>
      <c r="W931" s="17" t="str">
        <f>VLOOKUP(RiskRegister[[#This Row],[Residual Likelihood Level]],'Rating factors'!$F$16:$G$21,2,FALSE)</f>
        <v>--- Error ---</v>
      </c>
      <c r="X931" s="17" t="str">
        <f ca="1">IFERROR(VLOOKUP(RiskRegister[[#This Row],[Residual Risk Rating]],'Rating factors'!$F$30:$G$44,2,FALSE),"-- Error --")</f>
        <v>-- Error --</v>
      </c>
      <c r="Y931" s="17" t="str">
        <f ca="1">IFERROR(RiskRegister[[#This Row],[Residual Impact Rating]]*RiskRegister[[#This Row],[Residual Likelihood Rating]],"-- Error --")</f>
        <v>-- Error --</v>
      </c>
      <c r="Z931" s="16" t="s">
        <v>100</v>
      </c>
      <c r="AB931" s="39"/>
      <c r="AD931" s="20"/>
    </row>
    <row r="932" spans="1:30" s="16" customFormat="1" hidden="1" x14ac:dyDescent="0.25">
      <c r="A932" s="16">
        <v>929</v>
      </c>
      <c r="G932" s="16" t="s">
        <v>77</v>
      </c>
      <c r="I932" s="16" t="s">
        <v>75</v>
      </c>
      <c r="L932" s="105" t="s">
        <v>99</v>
      </c>
      <c r="M932" s="17" t="str">
        <f>VLOOKUP(RiskRegister[[#This Row],[Inherent Impact LevelL3:L1020D1007L3:L1019]],'Rating factors'!$F$4:$G$9,2,FALSE)</f>
        <v>--- Error ---</v>
      </c>
      <c r="N932" s="16" t="s">
        <v>79</v>
      </c>
      <c r="O932" s="17" t="str">
        <f>VLOOKUP(RiskRegister[[#This Row],[Inherent Likelihood Level]],'Rating factors'!$F$16:$G$21,2,FALSE)</f>
        <v>--- Error ---</v>
      </c>
      <c r="P932" s="17" t="str">
        <f>IFERROR(VLOOKUP(RiskRegister[[#This Row],[Inherent Risk Rating]],'Rating factors'!$F$30:$G$44,2,FALSE),"-- Error --")</f>
        <v>-- Error --</v>
      </c>
      <c r="Q932" s="17" t="str">
        <f>IFERROR(RiskRegister[[#This Row],[Inherent Impact Rating]]*RiskRegister[[#This Row],[Inherent Likelihood Rating]],"-- Error --")</f>
        <v>-- Error --</v>
      </c>
      <c r="R932" s="16" t="s">
        <v>98</v>
      </c>
      <c r="T932" s="16" t="s">
        <v>99</v>
      </c>
      <c r="U932" s="17" t="e" cm="1">
        <f t="array" aca="1" ref="U932" ca="1">+U932:Y1019VLOOKUP(RiskRegister[[#This Row],[Residual Impact Level]],'Rating factors'!$F$4:$G$9,2,FALSE)</f>
        <v>#NAME?</v>
      </c>
      <c r="V932" s="16" t="s">
        <v>79</v>
      </c>
      <c r="W932" s="17" t="str">
        <f>VLOOKUP(RiskRegister[[#This Row],[Residual Likelihood Level]],'Rating factors'!$F$16:$G$21,2,FALSE)</f>
        <v>--- Error ---</v>
      </c>
      <c r="X932" s="17" t="str">
        <f ca="1">IFERROR(VLOOKUP(RiskRegister[[#This Row],[Residual Risk Rating]],'Rating factors'!$F$30:$G$44,2,FALSE),"-- Error --")</f>
        <v>-- Error --</v>
      </c>
      <c r="Y932" s="17" t="str">
        <f ca="1">IFERROR(RiskRegister[[#This Row],[Residual Impact Rating]]*RiskRegister[[#This Row],[Residual Likelihood Rating]],"-- Error --")</f>
        <v>-- Error --</v>
      </c>
      <c r="Z932" s="16" t="s">
        <v>100</v>
      </c>
      <c r="AB932" s="39"/>
      <c r="AD932" s="20"/>
    </row>
    <row r="933" spans="1:30" s="16" customFormat="1" hidden="1" x14ac:dyDescent="0.25">
      <c r="A933" s="16">
        <v>930</v>
      </c>
      <c r="G933" s="16" t="s">
        <v>77</v>
      </c>
      <c r="I933" s="16" t="s">
        <v>75</v>
      </c>
      <c r="L933" s="105" t="s">
        <v>99</v>
      </c>
      <c r="M933" s="17" t="str">
        <f>VLOOKUP(RiskRegister[[#This Row],[Inherent Impact LevelL3:L1020D1007L3:L1019]],'Rating factors'!$F$4:$G$9,2,FALSE)</f>
        <v>--- Error ---</v>
      </c>
      <c r="N933" s="16" t="s">
        <v>79</v>
      </c>
      <c r="O933" s="17" t="str">
        <f>VLOOKUP(RiskRegister[[#This Row],[Inherent Likelihood Level]],'Rating factors'!$F$16:$G$21,2,FALSE)</f>
        <v>--- Error ---</v>
      </c>
      <c r="P933" s="17" t="str">
        <f>IFERROR(VLOOKUP(RiskRegister[[#This Row],[Inherent Risk Rating]],'Rating factors'!$F$30:$G$44,2,FALSE),"-- Error --")</f>
        <v>-- Error --</v>
      </c>
      <c r="Q933" s="17" t="str">
        <f>IFERROR(RiskRegister[[#This Row],[Inherent Impact Rating]]*RiskRegister[[#This Row],[Inherent Likelihood Rating]],"-- Error --")</f>
        <v>-- Error --</v>
      </c>
      <c r="R933" s="16" t="s">
        <v>98</v>
      </c>
      <c r="T933" s="16" t="s">
        <v>99</v>
      </c>
      <c r="U933" s="17" t="e" cm="1">
        <f t="array" aca="1" ref="U933" ca="1">+U933:Y1019VLOOKUP(RiskRegister[[#This Row],[Residual Impact Level]],'Rating factors'!$F$4:$G$9,2,FALSE)</f>
        <v>#NAME?</v>
      </c>
      <c r="V933" s="16" t="s">
        <v>79</v>
      </c>
      <c r="W933" s="17" t="str">
        <f>VLOOKUP(RiskRegister[[#This Row],[Residual Likelihood Level]],'Rating factors'!$F$16:$G$21,2,FALSE)</f>
        <v>--- Error ---</v>
      </c>
      <c r="X933" s="17" t="str">
        <f ca="1">IFERROR(VLOOKUP(RiskRegister[[#This Row],[Residual Risk Rating]],'Rating factors'!$F$30:$G$44,2,FALSE),"-- Error --")</f>
        <v>-- Error --</v>
      </c>
      <c r="Y933" s="17" t="str">
        <f ca="1">IFERROR(RiskRegister[[#This Row],[Residual Impact Rating]]*RiskRegister[[#This Row],[Residual Likelihood Rating]],"-- Error --")</f>
        <v>-- Error --</v>
      </c>
      <c r="Z933" s="16" t="s">
        <v>100</v>
      </c>
      <c r="AB933" s="39"/>
      <c r="AD933" s="20"/>
    </row>
    <row r="934" spans="1:30" s="16" customFormat="1" hidden="1" x14ac:dyDescent="0.25">
      <c r="A934" s="16">
        <v>931</v>
      </c>
      <c r="G934" s="16" t="s">
        <v>77</v>
      </c>
      <c r="I934" s="16" t="s">
        <v>75</v>
      </c>
      <c r="L934" s="105" t="s">
        <v>99</v>
      </c>
      <c r="M934" s="17" t="str">
        <f>VLOOKUP(RiskRegister[[#This Row],[Inherent Impact LevelL3:L1020D1007L3:L1019]],'Rating factors'!$F$4:$G$9,2,FALSE)</f>
        <v>--- Error ---</v>
      </c>
      <c r="N934" s="16" t="s">
        <v>79</v>
      </c>
      <c r="O934" s="17" t="str">
        <f>VLOOKUP(RiskRegister[[#This Row],[Inherent Likelihood Level]],'Rating factors'!$F$16:$G$21,2,FALSE)</f>
        <v>--- Error ---</v>
      </c>
      <c r="P934" s="17" t="str">
        <f>IFERROR(VLOOKUP(RiskRegister[[#This Row],[Inherent Risk Rating]],'Rating factors'!$F$30:$G$44,2,FALSE),"-- Error --")</f>
        <v>-- Error --</v>
      </c>
      <c r="Q934" s="17" t="str">
        <f>IFERROR(RiskRegister[[#This Row],[Inherent Impact Rating]]*RiskRegister[[#This Row],[Inherent Likelihood Rating]],"-- Error --")</f>
        <v>-- Error --</v>
      </c>
      <c r="R934" s="16" t="s">
        <v>98</v>
      </c>
      <c r="T934" s="16" t="s">
        <v>99</v>
      </c>
      <c r="U934" s="17" t="e" cm="1">
        <f t="array" aca="1" ref="U934" ca="1">+U934:Y1019VLOOKUP(RiskRegister[[#This Row],[Residual Impact Level]],'Rating factors'!$F$4:$G$9,2,FALSE)</f>
        <v>#NAME?</v>
      </c>
      <c r="V934" s="16" t="s">
        <v>79</v>
      </c>
      <c r="W934" s="17" t="str">
        <f>VLOOKUP(RiskRegister[[#This Row],[Residual Likelihood Level]],'Rating factors'!$F$16:$G$21,2,FALSE)</f>
        <v>--- Error ---</v>
      </c>
      <c r="X934" s="17" t="str">
        <f ca="1">IFERROR(VLOOKUP(RiskRegister[[#This Row],[Residual Risk Rating]],'Rating factors'!$F$30:$G$44,2,FALSE),"-- Error --")</f>
        <v>-- Error --</v>
      </c>
      <c r="Y934" s="17" t="str">
        <f ca="1">IFERROR(RiskRegister[[#This Row],[Residual Impact Rating]]*RiskRegister[[#This Row],[Residual Likelihood Rating]],"-- Error --")</f>
        <v>-- Error --</v>
      </c>
      <c r="Z934" s="16" t="s">
        <v>100</v>
      </c>
      <c r="AB934" s="39"/>
      <c r="AD934" s="20"/>
    </row>
    <row r="935" spans="1:30" s="16" customFormat="1" hidden="1" x14ac:dyDescent="0.25">
      <c r="A935" s="16">
        <v>932</v>
      </c>
      <c r="G935" s="16" t="s">
        <v>77</v>
      </c>
      <c r="I935" s="16" t="s">
        <v>75</v>
      </c>
      <c r="L935" s="105" t="s">
        <v>99</v>
      </c>
      <c r="M935" s="17" t="str">
        <f>VLOOKUP(RiskRegister[[#This Row],[Inherent Impact LevelL3:L1020D1007L3:L1019]],'Rating factors'!$F$4:$G$9,2,FALSE)</f>
        <v>--- Error ---</v>
      </c>
      <c r="N935" s="16" t="s">
        <v>79</v>
      </c>
      <c r="O935" s="17" t="str">
        <f>VLOOKUP(RiskRegister[[#This Row],[Inherent Likelihood Level]],'Rating factors'!$F$16:$G$21,2,FALSE)</f>
        <v>--- Error ---</v>
      </c>
      <c r="P935" s="17" t="str">
        <f>IFERROR(VLOOKUP(RiskRegister[[#This Row],[Inherent Risk Rating]],'Rating factors'!$F$30:$G$44,2,FALSE),"-- Error --")</f>
        <v>-- Error --</v>
      </c>
      <c r="Q935" s="17" t="str">
        <f>IFERROR(RiskRegister[[#This Row],[Inherent Impact Rating]]*RiskRegister[[#This Row],[Inherent Likelihood Rating]],"-- Error --")</f>
        <v>-- Error --</v>
      </c>
      <c r="R935" s="16" t="s">
        <v>98</v>
      </c>
      <c r="T935" s="16" t="s">
        <v>99</v>
      </c>
      <c r="U935" s="17" t="e" cm="1">
        <f t="array" aca="1" ref="U935" ca="1">+U935:Y1019VLOOKUP(RiskRegister[[#This Row],[Residual Impact Level]],'Rating factors'!$F$4:$G$9,2,FALSE)</f>
        <v>#NAME?</v>
      </c>
      <c r="V935" s="16" t="s">
        <v>79</v>
      </c>
      <c r="W935" s="17" t="str">
        <f>VLOOKUP(RiskRegister[[#This Row],[Residual Likelihood Level]],'Rating factors'!$F$16:$G$21,2,FALSE)</f>
        <v>--- Error ---</v>
      </c>
      <c r="X935" s="17" t="str">
        <f ca="1">IFERROR(VLOOKUP(RiskRegister[[#This Row],[Residual Risk Rating]],'Rating factors'!$F$30:$G$44,2,FALSE),"-- Error --")</f>
        <v>-- Error --</v>
      </c>
      <c r="Y935" s="17" t="str">
        <f ca="1">IFERROR(RiskRegister[[#This Row],[Residual Impact Rating]]*RiskRegister[[#This Row],[Residual Likelihood Rating]],"-- Error --")</f>
        <v>-- Error --</v>
      </c>
      <c r="Z935" s="16" t="s">
        <v>100</v>
      </c>
      <c r="AB935" s="39"/>
      <c r="AD935" s="20"/>
    </row>
    <row r="936" spans="1:30" s="16" customFormat="1" hidden="1" x14ac:dyDescent="0.25">
      <c r="A936" s="16">
        <v>933</v>
      </c>
      <c r="G936" s="16" t="s">
        <v>77</v>
      </c>
      <c r="I936" s="16" t="s">
        <v>75</v>
      </c>
      <c r="L936" s="105" t="s">
        <v>99</v>
      </c>
      <c r="M936" s="17" t="str">
        <f>VLOOKUP(RiskRegister[[#This Row],[Inherent Impact LevelL3:L1020D1007L3:L1019]],'Rating factors'!$F$4:$G$9,2,FALSE)</f>
        <v>--- Error ---</v>
      </c>
      <c r="N936" s="16" t="s">
        <v>79</v>
      </c>
      <c r="O936" s="17" t="str">
        <f>VLOOKUP(RiskRegister[[#This Row],[Inherent Likelihood Level]],'Rating factors'!$F$16:$G$21,2,FALSE)</f>
        <v>--- Error ---</v>
      </c>
      <c r="P936" s="17" t="str">
        <f>IFERROR(VLOOKUP(RiskRegister[[#This Row],[Inherent Risk Rating]],'Rating factors'!$F$30:$G$44,2,FALSE),"-- Error --")</f>
        <v>-- Error --</v>
      </c>
      <c r="Q936" s="17" t="str">
        <f>IFERROR(RiskRegister[[#This Row],[Inherent Impact Rating]]*RiskRegister[[#This Row],[Inherent Likelihood Rating]],"-- Error --")</f>
        <v>-- Error --</v>
      </c>
      <c r="R936" s="16" t="s">
        <v>98</v>
      </c>
      <c r="T936" s="16" t="s">
        <v>99</v>
      </c>
      <c r="U936" s="17" t="e" cm="1">
        <f t="array" aca="1" ref="U936" ca="1">+U936:Y1019VLOOKUP(RiskRegister[[#This Row],[Residual Impact Level]],'Rating factors'!$F$4:$G$9,2,FALSE)</f>
        <v>#NAME?</v>
      </c>
      <c r="V936" s="16" t="s">
        <v>79</v>
      </c>
      <c r="W936" s="17" t="str">
        <f>VLOOKUP(RiskRegister[[#This Row],[Residual Likelihood Level]],'Rating factors'!$F$16:$G$21,2,FALSE)</f>
        <v>--- Error ---</v>
      </c>
      <c r="X936" s="17" t="str">
        <f ca="1">IFERROR(VLOOKUP(RiskRegister[[#This Row],[Residual Risk Rating]],'Rating factors'!$F$30:$G$44,2,FALSE),"-- Error --")</f>
        <v>-- Error --</v>
      </c>
      <c r="Y936" s="17" t="str">
        <f ca="1">IFERROR(RiskRegister[[#This Row],[Residual Impact Rating]]*RiskRegister[[#This Row],[Residual Likelihood Rating]],"-- Error --")</f>
        <v>-- Error --</v>
      </c>
      <c r="Z936" s="16" t="s">
        <v>100</v>
      </c>
      <c r="AB936" s="39"/>
      <c r="AD936" s="20"/>
    </row>
    <row r="937" spans="1:30" s="16" customFormat="1" hidden="1" x14ac:dyDescent="0.25">
      <c r="A937" s="16">
        <v>934</v>
      </c>
      <c r="G937" s="16" t="s">
        <v>77</v>
      </c>
      <c r="I937" s="16" t="s">
        <v>75</v>
      </c>
      <c r="L937" s="105" t="s">
        <v>99</v>
      </c>
      <c r="M937" s="17" t="str">
        <f>VLOOKUP(RiskRegister[[#This Row],[Inherent Impact LevelL3:L1020D1007L3:L1019]],'Rating factors'!$F$4:$G$9,2,FALSE)</f>
        <v>--- Error ---</v>
      </c>
      <c r="N937" s="16" t="s">
        <v>79</v>
      </c>
      <c r="O937" s="17" t="str">
        <f>VLOOKUP(RiskRegister[[#This Row],[Inherent Likelihood Level]],'Rating factors'!$F$16:$G$21,2,FALSE)</f>
        <v>--- Error ---</v>
      </c>
      <c r="P937" s="17" t="str">
        <f>IFERROR(VLOOKUP(RiskRegister[[#This Row],[Inherent Risk Rating]],'Rating factors'!$F$30:$G$44,2,FALSE),"-- Error --")</f>
        <v>-- Error --</v>
      </c>
      <c r="Q937" s="17" t="str">
        <f>IFERROR(RiskRegister[[#This Row],[Inherent Impact Rating]]*RiskRegister[[#This Row],[Inherent Likelihood Rating]],"-- Error --")</f>
        <v>-- Error --</v>
      </c>
      <c r="R937" s="16" t="s">
        <v>98</v>
      </c>
      <c r="T937" s="16" t="s">
        <v>99</v>
      </c>
      <c r="U937" s="17" t="e" cm="1">
        <f t="array" aca="1" ref="U937" ca="1">+U937:Y1019VLOOKUP(RiskRegister[[#This Row],[Residual Impact Level]],'Rating factors'!$F$4:$G$9,2,FALSE)</f>
        <v>#NAME?</v>
      </c>
      <c r="V937" s="16" t="s">
        <v>79</v>
      </c>
      <c r="W937" s="17" t="str">
        <f>VLOOKUP(RiskRegister[[#This Row],[Residual Likelihood Level]],'Rating factors'!$F$16:$G$21,2,FALSE)</f>
        <v>--- Error ---</v>
      </c>
      <c r="X937" s="17" t="str">
        <f ca="1">IFERROR(VLOOKUP(RiskRegister[[#This Row],[Residual Risk Rating]],'Rating factors'!$F$30:$G$44,2,FALSE),"-- Error --")</f>
        <v>-- Error --</v>
      </c>
      <c r="Y937" s="17" t="str">
        <f ca="1">IFERROR(RiskRegister[[#This Row],[Residual Impact Rating]]*RiskRegister[[#This Row],[Residual Likelihood Rating]],"-- Error --")</f>
        <v>-- Error --</v>
      </c>
      <c r="Z937" s="16" t="s">
        <v>100</v>
      </c>
      <c r="AB937" s="39"/>
      <c r="AD937" s="20"/>
    </row>
    <row r="938" spans="1:30" s="16" customFormat="1" hidden="1" x14ac:dyDescent="0.25">
      <c r="A938" s="16">
        <v>935</v>
      </c>
      <c r="G938" s="16" t="s">
        <v>77</v>
      </c>
      <c r="I938" s="16" t="s">
        <v>75</v>
      </c>
      <c r="L938" s="105" t="s">
        <v>99</v>
      </c>
      <c r="M938" s="17" t="str">
        <f>VLOOKUP(RiskRegister[[#This Row],[Inherent Impact LevelL3:L1020D1007L3:L1019]],'Rating factors'!$F$4:$G$9,2,FALSE)</f>
        <v>--- Error ---</v>
      </c>
      <c r="N938" s="16" t="s">
        <v>79</v>
      </c>
      <c r="O938" s="17" t="str">
        <f>VLOOKUP(RiskRegister[[#This Row],[Inherent Likelihood Level]],'Rating factors'!$F$16:$G$21,2,FALSE)</f>
        <v>--- Error ---</v>
      </c>
      <c r="P938" s="17" t="str">
        <f>IFERROR(VLOOKUP(RiskRegister[[#This Row],[Inherent Risk Rating]],'Rating factors'!$F$30:$G$44,2,FALSE),"-- Error --")</f>
        <v>-- Error --</v>
      </c>
      <c r="Q938" s="17" t="str">
        <f>IFERROR(RiskRegister[[#This Row],[Inherent Impact Rating]]*RiskRegister[[#This Row],[Inherent Likelihood Rating]],"-- Error --")</f>
        <v>-- Error --</v>
      </c>
      <c r="R938" s="16" t="s">
        <v>98</v>
      </c>
      <c r="T938" s="16" t="s">
        <v>99</v>
      </c>
      <c r="U938" s="17" t="e" cm="1">
        <f t="array" aca="1" ref="U938" ca="1">+U938:Y1019VLOOKUP(RiskRegister[[#This Row],[Residual Impact Level]],'Rating factors'!$F$4:$G$9,2,FALSE)</f>
        <v>#NAME?</v>
      </c>
      <c r="V938" s="16" t="s">
        <v>79</v>
      </c>
      <c r="W938" s="17" t="str">
        <f>VLOOKUP(RiskRegister[[#This Row],[Residual Likelihood Level]],'Rating factors'!$F$16:$G$21,2,FALSE)</f>
        <v>--- Error ---</v>
      </c>
      <c r="X938" s="17" t="str">
        <f ca="1">IFERROR(VLOOKUP(RiskRegister[[#This Row],[Residual Risk Rating]],'Rating factors'!$F$30:$G$44,2,FALSE),"-- Error --")</f>
        <v>-- Error --</v>
      </c>
      <c r="Y938" s="17" t="str">
        <f ca="1">IFERROR(RiskRegister[[#This Row],[Residual Impact Rating]]*RiskRegister[[#This Row],[Residual Likelihood Rating]],"-- Error --")</f>
        <v>-- Error --</v>
      </c>
      <c r="Z938" s="16" t="s">
        <v>100</v>
      </c>
      <c r="AB938" s="39"/>
      <c r="AD938" s="20"/>
    </row>
    <row r="939" spans="1:30" s="16" customFormat="1" hidden="1" x14ac:dyDescent="0.25">
      <c r="A939" s="16">
        <v>936</v>
      </c>
      <c r="G939" s="16" t="s">
        <v>77</v>
      </c>
      <c r="I939" s="16" t="s">
        <v>75</v>
      </c>
      <c r="L939" s="105" t="s">
        <v>99</v>
      </c>
      <c r="M939" s="17" t="str">
        <f>VLOOKUP(RiskRegister[[#This Row],[Inherent Impact LevelL3:L1020D1007L3:L1019]],'Rating factors'!$F$4:$G$9,2,FALSE)</f>
        <v>--- Error ---</v>
      </c>
      <c r="N939" s="16" t="s">
        <v>79</v>
      </c>
      <c r="O939" s="17" t="str">
        <f>VLOOKUP(RiskRegister[[#This Row],[Inherent Likelihood Level]],'Rating factors'!$F$16:$G$21,2,FALSE)</f>
        <v>--- Error ---</v>
      </c>
      <c r="P939" s="17" t="str">
        <f>IFERROR(VLOOKUP(RiskRegister[[#This Row],[Inherent Risk Rating]],'Rating factors'!$F$30:$G$44,2,FALSE),"-- Error --")</f>
        <v>-- Error --</v>
      </c>
      <c r="Q939" s="17" t="str">
        <f>IFERROR(RiskRegister[[#This Row],[Inherent Impact Rating]]*RiskRegister[[#This Row],[Inherent Likelihood Rating]],"-- Error --")</f>
        <v>-- Error --</v>
      </c>
      <c r="R939" s="16" t="s">
        <v>98</v>
      </c>
      <c r="T939" s="16" t="s">
        <v>99</v>
      </c>
      <c r="U939" s="17" t="e" cm="1">
        <f t="array" aca="1" ref="U939" ca="1">+U939:Y1019VLOOKUP(RiskRegister[[#This Row],[Residual Impact Level]],'Rating factors'!$F$4:$G$9,2,FALSE)</f>
        <v>#NAME?</v>
      </c>
      <c r="V939" s="16" t="s">
        <v>79</v>
      </c>
      <c r="W939" s="17" t="str">
        <f>VLOOKUP(RiskRegister[[#This Row],[Residual Likelihood Level]],'Rating factors'!$F$16:$G$21,2,FALSE)</f>
        <v>--- Error ---</v>
      </c>
      <c r="X939" s="17" t="str">
        <f ca="1">IFERROR(VLOOKUP(RiskRegister[[#This Row],[Residual Risk Rating]],'Rating factors'!$F$30:$G$44,2,FALSE),"-- Error --")</f>
        <v>-- Error --</v>
      </c>
      <c r="Y939" s="17" t="str">
        <f ca="1">IFERROR(RiskRegister[[#This Row],[Residual Impact Rating]]*RiskRegister[[#This Row],[Residual Likelihood Rating]],"-- Error --")</f>
        <v>-- Error --</v>
      </c>
      <c r="Z939" s="16" t="s">
        <v>100</v>
      </c>
      <c r="AB939" s="39"/>
      <c r="AD939" s="20"/>
    </row>
    <row r="940" spans="1:30" s="16" customFormat="1" hidden="1" x14ac:dyDescent="0.25">
      <c r="A940" s="16">
        <v>937</v>
      </c>
      <c r="G940" s="16" t="s">
        <v>77</v>
      </c>
      <c r="I940" s="16" t="s">
        <v>75</v>
      </c>
      <c r="L940" s="105" t="s">
        <v>99</v>
      </c>
      <c r="M940" s="17" t="str">
        <f>VLOOKUP(RiskRegister[[#This Row],[Inherent Impact LevelL3:L1020D1007L3:L1019]],'Rating factors'!$F$4:$G$9,2,FALSE)</f>
        <v>--- Error ---</v>
      </c>
      <c r="N940" s="16" t="s">
        <v>79</v>
      </c>
      <c r="O940" s="17" t="str">
        <f>VLOOKUP(RiskRegister[[#This Row],[Inherent Likelihood Level]],'Rating factors'!$F$16:$G$21,2,FALSE)</f>
        <v>--- Error ---</v>
      </c>
      <c r="P940" s="17" t="str">
        <f>IFERROR(VLOOKUP(RiskRegister[[#This Row],[Inherent Risk Rating]],'Rating factors'!$F$30:$G$44,2,FALSE),"-- Error --")</f>
        <v>-- Error --</v>
      </c>
      <c r="Q940" s="17" t="str">
        <f>IFERROR(RiskRegister[[#This Row],[Inherent Impact Rating]]*RiskRegister[[#This Row],[Inherent Likelihood Rating]],"-- Error --")</f>
        <v>-- Error --</v>
      </c>
      <c r="R940" s="16" t="s">
        <v>98</v>
      </c>
      <c r="T940" s="16" t="s">
        <v>99</v>
      </c>
      <c r="U940" s="17" t="e" cm="1">
        <f t="array" aca="1" ref="U940" ca="1">+U940:Y1019VLOOKUP(RiskRegister[[#This Row],[Residual Impact Level]],'Rating factors'!$F$4:$G$9,2,FALSE)</f>
        <v>#NAME?</v>
      </c>
      <c r="V940" s="16" t="s">
        <v>79</v>
      </c>
      <c r="W940" s="17" t="str">
        <f>VLOOKUP(RiskRegister[[#This Row],[Residual Likelihood Level]],'Rating factors'!$F$16:$G$21,2,FALSE)</f>
        <v>--- Error ---</v>
      </c>
      <c r="X940" s="17" t="str">
        <f ca="1">IFERROR(VLOOKUP(RiskRegister[[#This Row],[Residual Risk Rating]],'Rating factors'!$F$30:$G$44,2,FALSE),"-- Error --")</f>
        <v>-- Error --</v>
      </c>
      <c r="Y940" s="17" t="str">
        <f ca="1">IFERROR(RiskRegister[[#This Row],[Residual Impact Rating]]*RiskRegister[[#This Row],[Residual Likelihood Rating]],"-- Error --")</f>
        <v>-- Error --</v>
      </c>
      <c r="Z940" s="16" t="s">
        <v>100</v>
      </c>
      <c r="AB940" s="39"/>
      <c r="AD940" s="20"/>
    </row>
    <row r="941" spans="1:30" s="16" customFormat="1" hidden="1" x14ac:dyDescent="0.25">
      <c r="A941" s="16">
        <v>938</v>
      </c>
      <c r="G941" s="16" t="s">
        <v>77</v>
      </c>
      <c r="I941" s="16" t="s">
        <v>75</v>
      </c>
      <c r="L941" s="105" t="s">
        <v>99</v>
      </c>
      <c r="M941" s="17" t="str">
        <f>VLOOKUP(RiskRegister[[#This Row],[Inherent Impact LevelL3:L1020D1007L3:L1019]],'Rating factors'!$F$4:$G$9,2,FALSE)</f>
        <v>--- Error ---</v>
      </c>
      <c r="N941" s="16" t="s">
        <v>79</v>
      </c>
      <c r="O941" s="17" t="str">
        <f>VLOOKUP(RiskRegister[[#This Row],[Inherent Likelihood Level]],'Rating factors'!$F$16:$G$21,2,FALSE)</f>
        <v>--- Error ---</v>
      </c>
      <c r="P941" s="17" t="str">
        <f>IFERROR(VLOOKUP(RiskRegister[[#This Row],[Inherent Risk Rating]],'Rating factors'!$F$30:$G$44,2,FALSE),"-- Error --")</f>
        <v>-- Error --</v>
      </c>
      <c r="Q941" s="17" t="str">
        <f>IFERROR(RiskRegister[[#This Row],[Inherent Impact Rating]]*RiskRegister[[#This Row],[Inherent Likelihood Rating]],"-- Error --")</f>
        <v>-- Error --</v>
      </c>
      <c r="R941" s="16" t="s">
        <v>98</v>
      </c>
      <c r="T941" s="16" t="s">
        <v>99</v>
      </c>
      <c r="U941" s="17" t="e" cm="1">
        <f t="array" aca="1" ref="U941" ca="1">+U941:Y1019VLOOKUP(RiskRegister[[#This Row],[Residual Impact Level]],'Rating factors'!$F$4:$G$9,2,FALSE)</f>
        <v>#NAME?</v>
      </c>
      <c r="V941" s="16" t="s">
        <v>79</v>
      </c>
      <c r="W941" s="17" t="str">
        <f>VLOOKUP(RiskRegister[[#This Row],[Residual Likelihood Level]],'Rating factors'!$F$16:$G$21,2,FALSE)</f>
        <v>--- Error ---</v>
      </c>
      <c r="X941" s="17" t="str">
        <f ca="1">IFERROR(VLOOKUP(RiskRegister[[#This Row],[Residual Risk Rating]],'Rating factors'!$F$30:$G$44,2,FALSE),"-- Error --")</f>
        <v>-- Error --</v>
      </c>
      <c r="Y941" s="17" t="str">
        <f ca="1">IFERROR(RiskRegister[[#This Row],[Residual Impact Rating]]*RiskRegister[[#This Row],[Residual Likelihood Rating]],"-- Error --")</f>
        <v>-- Error --</v>
      </c>
      <c r="Z941" s="16" t="s">
        <v>100</v>
      </c>
      <c r="AB941" s="39"/>
      <c r="AD941" s="20"/>
    </row>
    <row r="942" spans="1:30" s="16" customFormat="1" hidden="1" x14ac:dyDescent="0.25">
      <c r="A942" s="16">
        <v>939</v>
      </c>
      <c r="G942" s="16" t="s">
        <v>77</v>
      </c>
      <c r="I942" s="16" t="s">
        <v>75</v>
      </c>
      <c r="L942" s="105" t="s">
        <v>99</v>
      </c>
      <c r="M942" s="17" t="str">
        <f>VLOOKUP(RiskRegister[[#This Row],[Inherent Impact LevelL3:L1020D1007L3:L1019]],'Rating factors'!$F$4:$G$9,2,FALSE)</f>
        <v>--- Error ---</v>
      </c>
      <c r="N942" s="16" t="s">
        <v>79</v>
      </c>
      <c r="O942" s="17" t="str">
        <f>VLOOKUP(RiskRegister[[#This Row],[Inherent Likelihood Level]],'Rating factors'!$F$16:$G$21,2,FALSE)</f>
        <v>--- Error ---</v>
      </c>
      <c r="P942" s="17" t="str">
        <f>IFERROR(VLOOKUP(RiskRegister[[#This Row],[Inherent Risk Rating]],'Rating factors'!$F$30:$G$44,2,FALSE),"-- Error --")</f>
        <v>-- Error --</v>
      </c>
      <c r="Q942" s="17" t="str">
        <f>IFERROR(RiskRegister[[#This Row],[Inherent Impact Rating]]*RiskRegister[[#This Row],[Inherent Likelihood Rating]],"-- Error --")</f>
        <v>-- Error --</v>
      </c>
      <c r="R942" s="16" t="s">
        <v>98</v>
      </c>
      <c r="T942" s="16" t="s">
        <v>99</v>
      </c>
      <c r="U942" s="17" t="e" cm="1">
        <f t="array" aca="1" ref="U942" ca="1">+U942:Y1019VLOOKUP(RiskRegister[[#This Row],[Residual Impact Level]],'Rating factors'!$F$4:$G$9,2,FALSE)</f>
        <v>#NAME?</v>
      </c>
      <c r="V942" s="16" t="s">
        <v>79</v>
      </c>
      <c r="W942" s="17" t="str">
        <f>VLOOKUP(RiskRegister[[#This Row],[Residual Likelihood Level]],'Rating factors'!$F$16:$G$21,2,FALSE)</f>
        <v>--- Error ---</v>
      </c>
      <c r="X942" s="17" t="str">
        <f ca="1">IFERROR(VLOOKUP(RiskRegister[[#This Row],[Residual Risk Rating]],'Rating factors'!$F$30:$G$44,2,FALSE),"-- Error --")</f>
        <v>-- Error --</v>
      </c>
      <c r="Y942" s="17" t="str">
        <f ca="1">IFERROR(RiskRegister[[#This Row],[Residual Impact Rating]]*RiskRegister[[#This Row],[Residual Likelihood Rating]],"-- Error --")</f>
        <v>-- Error --</v>
      </c>
      <c r="Z942" s="16" t="s">
        <v>100</v>
      </c>
      <c r="AB942" s="39"/>
      <c r="AD942" s="20"/>
    </row>
    <row r="943" spans="1:30" s="16" customFormat="1" hidden="1" x14ac:dyDescent="0.25">
      <c r="A943" s="16">
        <v>940</v>
      </c>
      <c r="G943" s="16" t="s">
        <v>77</v>
      </c>
      <c r="I943" s="16" t="s">
        <v>75</v>
      </c>
      <c r="L943" s="105" t="s">
        <v>99</v>
      </c>
      <c r="M943" s="17" t="str">
        <f>VLOOKUP(RiskRegister[[#This Row],[Inherent Impact LevelL3:L1020D1007L3:L1019]],'Rating factors'!$F$4:$G$9,2,FALSE)</f>
        <v>--- Error ---</v>
      </c>
      <c r="N943" s="16" t="s">
        <v>79</v>
      </c>
      <c r="O943" s="17" t="str">
        <f>VLOOKUP(RiskRegister[[#This Row],[Inherent Likelihood Level]],'Rating factors'!$F$16:$G$21,2,FALSE)</f>
        <v>--- Error ---</v>
      </c>
      <c r="P943" s="17" t="str">
        <f>IFERROR(VLOOKUP(RiskRegister[[#This Row],[Inherent Risk Rating]],'Rating factors'!$F$30:$G$44,2,FALSE),"-- Error --")</f>
        <v>-- Error --</v>
      </c>
      <c r="Q943" s="17" t="str">
        <f>IFERROR(RiskRegister[[#This Row],[Inherent Impact Rating]]*RiskRegister[[#This Row],[Inherent Likelihood Rating]],"-- Error --")</f>
        <v>-- Error --</v>
      </c>
      <c r="R943" s="16" t="s">
        <v>98</v>
      </c>
      <c r="T943" s="16" t="s">
        <v>99</v>
      </c>
      <c r="U943" s="17" t="e" cm="1">
        <f t="array" aca="1" ref="U943" ca="1">+U943:Y1019VLOOKUP(RiskRegister[[#This Row],[Residual Impact Level]],'Rating factors'!$F$4:$G$9,2,FALSE)</f>
        <v>#NAME?</v>
      </c>
      <c r="V943" s="16" t="s">
        <v>79</v>
      </c>
      <c r="W943" s="17" t="str">
        <f>VLOOKUP(RiskRegister[[#This Row],[Residual Likelihood Level]],'Rating factors'!$F$16:$G$21,2,FALSE)</f>
        <v>--- Error ---</v>
      </c>
      <c r="X943" s="17" t="str">
        <f ca="1">IFERROR(VLOOKUP(RiskRegister[[#This Row],[Residual Risk Rating]],'Rating factors'!$F$30:$G$44,2,FALSE),"-- Error --")</f>
        <v>-- Error --</v>
      </c>
      <c r="Y943" s="17" t="str">
        <f ca="1">IFERROR(RiskRegister[[#This Row],[Residual Impact Rating]]*RiskRegister[[#This Row],[Residual Likelihood Rating]],"-- Error --")</f>
        <v>-- Error --</v>
      </c>
      <c r="Z943" s="16" t="s">
        <v>100</v>
      </c>
      <c r="AB943" s="39"/>
      <c r="AD943" s="20"/>
    </row>
    <row r="944" spans="1:30" s="16" customFormat="1" hidden="1" x14ac:dyDescent="0.25">
      <c r="A944" s="16">
        <v>941</v>
      </c>
      <c r="G944" s="16" t="s">
        <v>77</v>
      </c>
      <c r="I944" s="16" t="s">
        <v>75</v>
      </c>
      <c r="L944" s="105" t="s">
        <v>99</v>
      </c>
      <c r="M944" s="17" t="str">
        <f>VLOOKUP(RiskRegister[[#This Row],[Inherent Impact LevelL3:L1020D1007L3:L1019]],'Rating factors'!$F$4:$G$9,2,FALSE)</f>
        <v>--- Error ---</v>
      </c>
      <c r="N944" s="16" t="s">
        <v>79</v>
      </c>
      <c r="O944" s="17" t="str">
        <f>VLOOKUP(RiskRegister[[#This Row],[Inherent Likelihood Level]],'Rating factors'!$F$16:$G$21,2,FALSE)</f>
        <v>--- Error ---</v>
      </c>
      <c r="P944" s="17" t="str">
        <f>IFERROR(VLOOKUP(RiskRegister[[#This Row],[Inherent Risk Rating]],'Rating factors'!$F$30:$G$44,2,FALSE),"-- Error --")</f>
        <v>-- Error --</v>
      </c>
      <c r="Q944" s="17" t="str">
        <f>IFERROR(RiskRegister[[#This Row],[Inherent Impact Rating]]*RiskRegister[[#This Row],[Inherent Likelihood Rating]],"-- Error --")</f>
        <v>-- Error --</v>
      </c>
      <c r="R944" s="16" t="s">
        <v>98</v>
      </c>
      <c r="T944" s="16" t="s">
        <v>99</v>
      </c>
      <c r="U944" s="17" t="e" cm="1">
        <f t="array" aca="1" ref="U944" ca="1">+U944:Y1019VLOOKUP(RiskRegister[[#This Row],[Residual Impact Level]],'Rating factors'!$F$4:$G$9,2,FALSE)</f>
        <v>#NAME?</v>
      </c>
      <c r="V944" s="16" t="s">
        <v>79</v>
      </c>
      <c r="W944" s="17" t="str">
        <f>VLOOKUP(RiskRegister[[#This Row],[Residual Likelihood Level]],'Rating factors'!$F$16:$G$21,2,FALSE)</f>
        <v>--- Error ---</v>
      </c>
      <c r="X944" s="17" t="str">
        <f ca="1">IFERROR(VLOOKUP(RiskRegister[[#This Row],[Residual Risk Rating]],'Rating factors'!$F$30:$G$44,2,FALSE),"-- Error --")</f>
        <v>-- Error --</v>
      </c>
      <c r="Y944" s="17" t="str">
        <f ca="1">IFERROR(RiskRegister[[#This Row],[Residual Impact Rating]]*RiskRegister[[#This Row],[Residual Likelihood Rating]],"-- Error --")</f>
        <v>-- Error --</v>
      </c>
      <c r="Z944" s="16" t="s">
        <v>100</v>
      </c>
      <c r="AB944" s="39"/>
      <c r="AD944" s="20"/>
    </row>
    <row r="945" spans="1:30" s="16" customFormat="1" hidden="1" x14ac:dyDescent="0.25">
      <c r="A945" s="16">
        <v>942</v>
      </c>
      <c r="G945" s="16" t="s">
        <v>77</v>
      </c>
      <c r="I945" s="16" t="s">
        <v>75</v>
      </c>
      <c r="L945" s="105" t="s">
        <v>99</v>
      </c>
      <c r="M945" s="17" t="str">
        <f>VLOOKUP(RiskRegister[[#This Row],[Inherent Impact LevelL3:L1020D1007L3:L1019]],'Rating factors'!$F$4:$G$9,2,FALSE)</f>
        <v>--- Error ---</v>
      </c>
      <c r="N945" s="16" t="s">
        <v>79</v>
      </c>
      <c r="O945" s="17" t="str">
        <f>VLOOKUP(RiskRegister[[#This Row],[Inherent Likelihood Level]],'Rating factors'!$F$16:$G$21,2,FALSE)</f>
        <v>--- Error ---</v>
      </c>
      <c r="P945" s="17" t="str">
        <f>IFERROR(VLOOKUP(RiskRegister[[#This Row],[Inherent Risk Rating]],'Rating factors'!$F$30:$G$44,2,FALSE),"-- Error --")</f>
        <v>-- Error --</v>
      </c>
      <c r="Q945" s="17" t="str">
        <f>IFERROR(RiskRegister[[#This Row],[Inherent Impact Rating]]*RiskRegister[[#This Row],[Inherent Likelihood Rating]],"-- Error --")</f>
        <v>-- Error --</v>
      </c>
      <c r="R945" s="16" t="s">
        <v>98</v>
      </c>
      <c r="T945" s="16" t="s">
        <v>99</v>
      </c>
      <c r="U945" s="17" t="e" cm="1">
        <f t="array" aca="1" ref="U945" ca="1">+U945:Y1019VLOOKUP(RiskRegister[[#This Row],[Residual Impact Level]],'Rating factors'!$F$4:$G$9,2,FALSE)</f>
        <v>#NAME?</v>
      </c>
      <c r="V945" s="16" t="s">
        <v>79</v>
      </c>
      <c r="W945" s="17" t="str">
        <f>VLOOKUP(RiskRegister[[#This Row],[Residual Likelihood Level]],'Rating factors'!$F$16:$G$21,2,FALSE)</f>
        <v>--- Error ---</v>
      </c>
      <c r="X945" s="17" t="str">
        <f ca="1">IFERROR(VLOOKUP(RiskRegister[[#This Row],[Residual Risk Rating]],'Rating factors'!$F$30:$G$44,2,FALSE),"-- Error --")</f>
        <v>-- Error --</v>
      </c>
      <c r="Y945" s="17" t="str">
        <f ca="1">IFERROR(RiskRegister[[#This Row],[Residual Impact Rating]]*RiskRegister[[#This Row],[Residual Likelihood Rating]],"-- Error --")</f>
        <v>-- Error --</v>
      </c>
      <c r="Z945" s="16" t="s">
        <v>100</v>
      </c>
      <c r="AB945" s="39"/>
      <c r="AD945" s="20"/>
    </row>
    <row r="946" spans="1:30" s="16" customFormat="1" hidden="1" x14ac:dyDescent="0.25">
      <c r="A946" s="16">
        <v>943</v>
      </c>
      <c r="G946" s="16" t="s">
        <v>77</v>
      </c>
      <c r="I946" s="16" t="s">
        <v>75</v>
      </c>
      <c r="L946" s="105" t="s">
        <v>99</v>
      </c>
      <c r="M946" s="17" t="str">
        <f>VLOOKUP(RiskRegister[[#This Row],[Inherent Impact LevelL3:L1020D1007L3:L1019]],'Rating factors'!$F$4:$G$9,2,FALSE)</f>
        <v>--- Error ---</v>
      </c>
      <c r="N946" s="16" t="s">
        <v>79</v>
      </c>
      <c r="O946" s="17" t="str">
        <f>VLOOKUP(RiskRegister[[#This Row],[Inherent Likelihood Level]],'Rating factors'!$F$16:$G$21,2,FALSE)</f>
        <v>--- Error ---</v>
      </c>
      <c r="P946" s="17" t="str">
        <f>IFERROR(VLOOKUP(RiskRegister[[#This Row],[Inherent Risk Rating]],'Rating factors'!$F$30:$G$44,2,FALSE),"-- Error --")</f>
        <v>-- Error --</v>
      </c>
      <c r="Q946" s="17" t="str">
        <f>IFERROR(RiskRegister[[#This Row],[Inherent Impact Rating]]*RiskRegister[[#This Row],[Inherent Likelihood Rating]],"-- Error --")</f>
        <v>-- Error --</v>
      </c>
      <c r="R946" s="16" t="s">
        <v>98</v>
      </c>
      <c r="T946" s="16" t="s">
        <v>99</v>
      </c>
      <c r="U946" s="17" t="e" cm="1">
        <f t="array" aca="1" ref="U946" ca="1">+U946:Y1019VLOOKUP(RiskRegister[[#This Row],[Residual Impact Level]],'Rating factors'!$F$4:$G$9,2,FALSE)</f>
        <v>#NAME?</v>
      </c>
      <c r="V946" s="16" t="s">
        <v>79</v>
      </c>
      <c r="W946" s="17" t="str">
        <f>VLOOKUP(RiskRegister[[#This Row],[Residual Likelihood Level]],'Rating factors'!$F$16:$G$21,2,FALSE)</f>
        <v>--- Error ---</v>
      </c>
      <c r="X946" s="17" t="str">
        <f ca="1">IFERROR(VLOOKUP(RiskRegister[[#This Row],[Residual Risk Rating]],'Rating factors'!$F$30:$G$44,2,FALSE),"-- Error --")</f>
        <v>-- Error --</v>
      </c>
      <c r="Y946" s="17" t="str">
        <f ca="1">IFERROR(RiskRegister[[#This Row],[Residual Impact Rating]]*RiskRegister[[#This Row],[Residual Likelihood Rating]],"-- Error --")</f>
        <v>-- Error --</v>
      </c>
      <c r="Z946" s="16" t="s">
        <v>100</v>
      </c>
      <c r="AB946" s="39"/>
      <c r="AD946" s="20"/>
    </row>
    <row r="947" spans="1:30" s="16" customFormat="1" hidden="1" x14ac:dyDescent="0.25">
      <c r="A947" s="16">
        <v>944</v>
      </c>
      <c r="G947" s="16" t="s">
        <v>77</v>
      </c>
      <c r="I947" s="16" t="s">
        <v>75</v>
      </c>
      <c r="L947" s="105" t="s">
        <v>99</v>
      </c>
      <c r="M947" s="17" t="str">
        <f>VLOOKUP(RiskRegister[[#This Row],[Inherent Impact LevelL3:L1020D1007L3:L1019]],'Rating factors'!$F$4:$G$9,2,FALSE)</f>
        <v>--- Error ---</v>
      </c>
      <c r="N947" s="16" t="s">
        <v>79</v>
      </c>
      <c r="O947" s="17" t="str">
        <f>VLOOKUP(RiskRegister[[#This Row],[Inherent Likelihood Level]],'Rating factors'!$F$16:$G$21,2,FALSE)</f>
        <v>--- Error ---</v>
      </c>
      <c r="P947" s="17" t="str">
        <f>IFERROR(VLOOKUP(RiskRegister[[#This Row],[Inherent Risk Rating]],'Rating factors'!$F$30:$G$44,2,FALSE),"-- Error --")</f>
        <v>-- Error --</v>
      </c>
      <c r="Q947" s="17" t="str">
        <f>IFERROR(RiskRegister[[#This Row],[Inherent Impact Rating]]*RiskRegister[[#This Row],[Inherent Likelihood Rating]],"-- Error --")</f>
        <v>-- Error --</v>
      </c>
      <c r="R947" s="16" t="s">
        <v>98</v>
      </c>
      <c r="T947" s="16" t="s">
        <v>99</v>
      </c>
      <c r="U947" s="17" t="e" cm="1">
        <f t="array" aca="1" ref="U947" ca="1">+U947:Y1019VLOOKUP(RiskRegister[[#This Row],[Residual Impact Level]],'Rating factors'!$F$4:$G$9,2,FALSE)</f>
        <v>#NAME?</v>
      </c>
      <c r="V947" s="16" t="s">
        <v>79</v>
      </c>
      <c r="W947" s="17" t="str">
        <f>VLOOKUP(RiskRegister[[#This Row],[Residual Likelihood Level]],'Rating factors'!$F$16:$G$21,2,FALSE)</f>
        <v>--- Error ---</v>
      </c>
      <c r="X947" s="17" t="str">
        <f ca="1">IFERROR(VLOOKUP(RiskRegister[[#This Row],[Residual Risk Rating]],'Rating factors'!$F$30:$G$44,2,FALSE),"-- Error --")</f>
        <v>-- Error --</v>
      </c>
      <c r="Y947" s="17" t="str">
        <f ca="1">IFERROR(RiskRegister[[#This Row],[Residual Impact Rating]]*RiskRegister[[#This Row],[Residual Likelihood Rating]],"-- Error --")</f>
        <v>-- Error --</v>
      </c>
      <c r="Z947" s="16" t="s">
        <v>100</v>
      </c>
      <c r="AB947" s="39"/>
      <c r="AD947" s="20"/>
    </row>
    <row r="948" spans="1:30" s="16" customFormat="1" hidden="1" x14ac:dyDescent="0.25">
      <c r="A948" s="16">
        <v>945</v>
      </c>
      <c r="G948" s="16" t="s">
        <v>77</v>
      </c>
      <c r="I948" s="16" t="s">
        <v>75</v>
      </c>
      <c r="L948" s="105" t="s">
        <v>99</v>
      </c>
      <c r="M948" s="17" t="str">
        <f>VLOOKUP(RiskRegister[[#This Row],[Inherent Impact LevelL3:L1020D1007L3:L1019]],'Rating factors'!$F$4:$G$9,2,FALSE)</f>
        <v>--- Error ---</v>
      </c>
      <c r="N948" s="16" t="s">
        <v>79</v>
      </c>
      <c r="O948" s="17" t="str">
        <f>VLOOKUP(RiskRegister[[#This Row],[Inherent Likelihood Level]],'Rating factors'!$F$16:$G$21,2,FALSE)</f>
        <v>--- Error ---</v>
      </c>
      <c r="P948" s="17" t="str">
        <f>IFERROR(VLOOKUP(RiskRegister[[#This Row],[Inherent Risk Rating]],'Rating factors'!$F$30:$G$44,2,FALSE),"-- Error --")</f>
        <v>-- Error --</v>
      </c>
      <c r="Q948" s="17" t="str">
        <f>IFERROR(RiskRegister[[#This Row],[Inherent Impact Rating]]*RiskRegister[[#This Row],[Inherent Likelihood Rating]],"-- Error --")</f>
        <v>-- Error --</v>
      </c>
      <c r="R948" s="16" t="s">
        <v>98</v>
      </c>
      <c r="T948" s="16" t="s">
        <v>99</v>
      </c>
      <c r="U948" s="17" t="e" cm="1">
        <f t="array" aca="1" ref="U948" ca="1">+U948:Y1019VLOOKUP(RiskRegister[[#This Row],[Residual Impact Level]],'Rating factors'!$F$4:$G$9,2,FALSE)</f>
        <v>#NAME?</v>
      </c>
      <c r="V948" s="16" t="s">
        <v>79</v>
      </c>
      <c r="W948" s="17" t="str">
        <f>VLOOKUP(RiskRegister[[#This Row],[Residual Likelihood Level]],'Rating factors'!$F$16:$G$21,2,FALSE)</f>
        <v>--- Error ---</v>
      </c>
      <c r="X948" s="17" t="str">
        <f ca="1">IFERROR(VLOOKUP(RiskRegister[[#This Row],[Residual Risk Rating]],'Rating factors'!$F$30:$G$44,2,FALSE),"-- Error --")</f>
        <v>-- Error --</v>
      </c>
      <c r="Y948" s="17" t="str">
        <f ca="1">IFERROR(RiskRegister[[#This Row],[Residual Impact Rating]]*RiskRegister[[#This Row],[Residual Likelihood Rating]],"-- Error --")</f>
        <v>-- Error --</v>
      </c>
      <c r="Z948" s="16" t="s">
        <v>100</v>
      </c>
      <c r="AB948" s="39"/>
      <c r="AD948" s="20"/>
    </row>
    <row r="949" spans="1:30" s="16" customFormat="1" hidden="1" x14ac:dyDescent="0.25">
      <c r="A949" s="16">
        <v>946</v>
      </c>
      <c r="G949" s="16" t="s">
        <v>77</v>
      </c>
      <c r="I949" s="16" t="s">
        <v>75</v>
      </c>
      <c r="L949" s="105" t="s">
        <v>99</v>
      </c>
      <c r="M949" s="17" t="str">
        <f>VLOOKUP(RiskRegister[[#This Row],[Inherent Impact LevelL3:L1020D1007L3:L1019]],'Rating factors'!$F$4:$G$9,2,FALSE)</f>
        <v>--- Error ---</v>
      </c>
      <c r="N949" s="16" t="s">
        <v>79</v>
      </c>
      <c r="O949" s="17" t="str">
        <f>VLOOKUP(RiskRegister[[#This Row],[Inherent Likelihood Level]],'Rating factors'!$F$16:$G$21,2,FALSE)</f>
        <v>--- Error ---</v>
      </c>
      <c r="P949" s="17" t="str">
        <f>IFERROR(VLOOKUP(RiskRegister[[#This Row],[Inherent Risk Rating]],'Rating factors'!$F$30:$G$44,2,FALSE),"-- Error --")</f>
        <v>-- Error --</v>
      </c>
      <c r="Q949" s="17" t="str">
        <f>IFERROR(RiskRegister[[#This Row],[Inherent Impact Rating]]*RiskRegister[[#This Row],[Inherent Likelihood Rating]],"-- Error --")</f>
        <v>-- Error --</v>
      </c>
      <c r="R949" s="16" t="s">
        <v>98</v>
      </c>
      <c r="T949" s="16" t="s">
        <v>99</v>
      </c>
      <c r="U949" s="17" t="e" cm="1">
        <f t="array" aca="1" ref="U949" ca="1">+U949:Y1019VLOOKUP(RiskRegister[[#This Row],[Residual Impact Level]],'Rating factors'!$F$4:$G$9,2,FALSE)</f>
        <v>#NAME?</v>
      </c>
      <c r="V949" s="16" t="s">
        <v>79</v>
      </c>
      <c r="W949" s="17" t="str">
        <f>VLOOKUP(RiskRegister[[#This Row],[Residual Likelihood Level]],'Rating factors'!$F$16:$G$21,2,FALSE)</f>
        <v>--- Error ---</v>
      </c>
      <c r="X949" s="17" t="str">
        <f ca="1">IFERROR(VLOOKUP(RiskRegister[[#This Row],[Residual Risk Rating]],'Rating factors'!$F$30:$G$44,2,FALSE),"-- Error --")</f>
        <v>-- Error --</v>
      </c>
      <c r="Y949" s="17" t="str">
        <f ca="1">IFERROR(RiskRegister[[#This Row],[Residual Impact Rating]]*RiskRegister[[#This Row],[Residual Likelihood Rating]],"-- Error --")</f>
        <v>-- Error --</v>
      </c>
      <c r="Z949" s="16" t="s">
        <v>100</v>
      </c>
      <c r="AB949" s="39"/>
      <c r="AD949" s="20"/>
    </row>
    <row r="950" spans="1:30" s="16" customFormat="1" hidden="1" x14ac:dyDescent="0.25">
      <c r="A950" s="16">
        <v>947</v>
      </c>
      <c r="G950" s="16" t="s">
        <v>77</v>
      </c>
      <c r="I950" s="16" t="s">
        <v>75</v>
      </c>
      <c r="L950" s="105" t="s">
        <v>99</v>
      </c>
      <c r="M950" s="17" t="str">
        <f>VLOOKUP(RiskRegister[[#This Row],[Inherent Impact LevelL3:L1020D1007L3:L1019]],'Rating factors'!$F$4:$G$9,2,FALSE)</f>
        <v>--- Error ---</v>
      </c>
      <c r="N950" s="16" t="s">
        <v>79</v>
      </c>
      <c r="O950" s="17" t="str">
        <f>VLOOKUP(RiskRegister[[#This Row],[Inherent Likelihood Level]],'Rating factors'!$F$16:$G$21,2,FALSE)</f>
        <v>--- Error ---</v>
      </c>
      <c r="P950" s="17" t="str">
        <f>IFERROR(VLOOKUP(RiskRegister[[#This Row],[Inherent Risk Rating]],'Rating factors'!$F$30:$G$44,2,FALSE),"-- Error --")</f>
        <v>-- Error --</v>
      </c>
      <c r="Q950" s="17" t="str">
        <f>IFERROR(RiskRegister[[#This Row],[Inherent Impact Rating]]*RiskRegister[[#This Row],[Inherent Likelihood Rating]],"-- Error --")</f>
        <v>-- Error --</v>
      </c>
      <c r="R950" s="16" t="s">
        <v>98</v>
      </c>
      <c r="T950" s="16" t="s">
        <v>99</v>
      </c>
      <c r="U950" s="17" t="e" cm="1">
        <f t="array" aca="1" ref="U950" ca="1">+U950:Y1019VLOOKUP(RiskRegister[[#This Row],[Residual Impact Level]],'Rating factors'!$F$4:$G$9,2,FALSE)</f>
        <v>#NAME?</v>
      </c>
      <c r="V950" s="16" t="s">
        <v>79</v>
      </c>
      <c r="W950" s="17" t="str">
        <f>VLOOKUP(RiskRegister[[#This Row],[Residual Likelihood Level]],'Rating factors'!$F$16:$G$21,2,FALSE)</f>
        <v>--- Error ---</v>
      </c>
      <c r="X950" s="17" t="str">
        <f ca="1">IFERROR(VLOOKUP(RiskRegister[[#This Row],[Residual Risk Rating]],'Rating factors'!$F$30:$G$44,2,FALSE),"-- Error --")</f>
        <v>-- Error --</v>
      </c>
      <c r="Y950" s="17" t="str">
        <f ca="1">IFERROR(RiskRegister[[#This Row],[Residual Impact Rating]]*RiskRegister[[#This Row],[Residual Likelihood Rating]],"-- Error --")</f>
        <v>-- Error --</v>
      </c>
      <c r="Z950" s="16" t="s">
        <v>100</v>
      </c>
      <c r="AB950" s="39"/>
      <c r="AD950" s="20"/>
    </row>
    <row r="951" spans="1:30" s="16" customFormat="1" hidden="1" x14ac:dyDescent="0.25">
      <c r="A951" s="16">
        <v>948</v>
      </c>
      <c r="G951" s="16" t="s">
        <v>77</v>
      </c>
      <c r="I951" s="16" t="s">
        <v>75</v>
      </c>
      <c r="L951" s="105" t="s">
        <v>99</v>
      </c>
      <c r="M951" s="17" t="str">
        <f>VLOOKUP(RiskRegister[[#This Row],[Inherent Impact LevelL3:L1020D1007L3:L1019]],'Rating factors'!$F$4:$G$9,2,FALSE)</f>
        <v>--- Error ---</v>
      </c>
      <c r="N951" s="16" t="s">
        <v>79</v>
      </c>
      <c r="O951" s="17" t="str">
        <f>VLOOKUP(RiskRegister[[#This Row],[Inherent Likelihood Level]],'Rating factors'!$F$16:$G$21,2,FALSE)</f>
        <v>--- Error ---</v>
      </c>
      <c r="P951" s="17" t="str">
        <f>IFERROR(VLOOKUP(RiskRegister[[#This Row],[Inherent Risk Rating]],'Rating factors'!$F$30:$G$44,2,FALSE),"-- Error --")</f>
        <v>-- Error --</v>
      </c>
      <c r="Q951" s="17" t="str">
        <f>IFERROR(RiskRegister[[#This Row],[Inherent Impact Rating]]*RiskRegister[[#This Row],[Inherent Likelihood Rating]],"-- Error --")</f>
        <v>-- Error --</v>
      </c>
      <c r="R951" s="16" t="s">
        <v>98</v>
      </c>
      <c r="T951" s="16" t="s">
        <v>99</v>
      </c>
      <c r="U951" s="17" t="e" cm="1">
        <f t="array" aca="1" ref="U951" ca="1">+U951:Y1019VLOOKUP(RiskRegister[[#This Row],[Residual Impact Level]],'Rating factors'!$F$4:$G$9,2,FALSE)</f>
        <v>#NAME?</v>
      </c>
      <c r="V951" s="16" t="s">
        <v>79</v>
      </c>
      <c r="W951" s="17" t="str">
        <f>VLOOKUP(RiskRegister[[#This Row],[Residual Likelihood Level]],'Rating factors'!$F$16:$G$21,2,FALSE)</f>
        <v>--- Error ---</v>
      </c>
      <c r="X951" s="17" t="str">
        <f ca="1">IFERROR(VLOOKUP(RiskRegister[[#This Row],[Residual Risk Rating]],'Rating factors'!$F$30:$G$44,2,FALSE),"-- Error --")</f>
        <v>-- Error --</v>
      </c>
      <c r="Y951" s="17" t="str">
        <f ca="1">IFERROR(RiskRegister[[#This Row],[Residual Impact Rating]]*RiskRegister[[#This Row],[Residual Likelihood Rating]],"-- Error --")</f>
        <v>-- Error --</v>
      </c>
      <c r="Z951" s="16" t="s">
        <v>100</v>
      </c>
      <c r="AB951" s="39"/>
      <c r="AD951" s="20"/>
    </row>
    <row r="952" spans="1:30" s="16" customFormat="1" hidden="1" x14ac:dyDescent="0.25">
      <c r="A952" s="16">
        <v>949</v>
      </c>
      <c r="G952" s="16" t="s">
        <v>77</v>
      </c>
      <c r="I952" s="16" t="s">
        <v>75</v>
      </c>
      <c r="L952" s="105" t="s">
        <v>99</v>
      </c>
      <c r="M952" s="17" t="str">
        <f>VLOOKUP(RiskRegister[[#This Row],[Inherent Impact LevelL3:L1020D1007L3:L1019]],'Rating factors'!$F$4:$G$9,2,FALSE)</f>
        <v>--- Error ---</v>
      </c>
      <c r="N952" s="16" t="s">
        <v>79</v>
      </c>
      <c r="O952" s="17" t="str">
        <f>VLOOKUP(RiskRegister[[#This Row],[Inherent Likelihood Level]],'Rating factors'!$F$16:$G$21,2,FALSE)</f>
        <v>--- Error ---</v>
      </c>
      <c r="P952" s="17" t="str">
        <f>IFERROR(VLOOKUP(RiskRegister[[#This Row],[Inherent Risk Rating]],'Rating factors'!$F$30:$G$44,2,FALSE),"-- Error --")</f>
        <v>-- Error --</v>
      </c>
      <c r="Q952" s="17" t="str">
        <f>IFERROR(RiskRegister[[#This Row],[Inherent Impact Rating]]*RiskRegister[[#This Row],[Inherent Likelihood Rating]],"-- Error --")</f>
        <v>-- Error --</v>
      </c>
      <c r="R952" s="16" t="s">
        <v>98</v>
      </c>
      <c r="T952" s="16" t="s">
        <v>99</v>
      </c>
      <c r="U952" s="17" t="e" cm="1">
        <f t="array" aca="1" ref="U952" ca="1">+U952:Y1019VLOOKUP(RiskRegister[[#This Row],[Residual Impact Level]],'Rating factors'!$F$4:$G$9,2,FALSE)</f>
        <v>#NAME?</v>
      </c>
      <c r="V952" s="16" t="s">
        <v>79</v>
      </c>
      <c r="W952" s="17" t="str">
        <f>VLOOKUP(RiskRegister[[#This Row],[Residual Likelihood Level]],'Rating factors'!$F$16:$G$21,2,FALSE)</f>
        <v>--- Error ---</v>
      </c>
      <c r="X952" s="17" t="str">
        <f ca="1">IFERROR(VLOOKUP(RiskRegister[[#This Row],[Residual Risk Rating]],'Rating factors'!$F$30:$G$44,2,FALSE),"-- Error --")</f>
        <v>-- Error --</v>
      </c>
      <c r="Y952" s="17" t="str">
        <f ca="1">IFERROR(RiskRegister[[#This Row],[Residual Impact Rating]]*RiskRegister[[#This Row],[Residual Likelihood Rating]],"-- Error --")</f>
        <v>-- Error --</v>
      </c>
      <c r="Z952" s="16" t="s">
        <v>100</v>
      </c>
      <c r="AB952" s="39"/>
      <c r="AD952" s="20"/>
    </row>
    <row r="953" spans="1:30" s="16" customFormat="1" hidden="1" x14ac:dyDescent="0.25">
      <c r="A953" s="16">
        <v>950</v>
      </c>
      <c r="G953" s="16" t="s">
        <v>77</v>
      </c>
      <c r="I953" s="16" t="s">
        <v>75</v>
      </c>
      <c r="L953" s="105" t="s">
        <v>99</v>
      </c>
      <c r="M953" s="17" t="str">
        <f>VLOOKUP(RiskRegister[[#This Row],[Inherent Impact LevelL3:L1020D1007L3:L1019]],'Rating factors'!$F$4:$G$9,2,FALSE)</f>
        <v>--- Error ---</v>
      </c>
      <c r="N953" s="16" t="s">
        <v>79</v>
      </c>
      <c r="O953" s="17" t="str">
        <f>VLOOKUP(RiskRegister[[#This Row],[Inherent Likelihood Level]],'Rating factors'!$F$16:$G$21,2,FALSE)</f>
        <v>--- Error ---</v>
      </c>
      <c r="P953" s="17" t="str">
        <f>IFERROR(VLOOKUP(RiskRegister[[#This Row],[Inherent Risk Rating]],'Rating factors'!$F$30:$G$44,2,FALSE),"-- Error --")</f>
        <v>-- Error --</v>
      </c>
      <c r="Q953" s="17" t="str">
        <f>IFERROR(RiskRegister[[#This Row],[Inherent Impact Rating]]*RiskRegister[[#This Row],[Inherent Likelihood Rating]],"-- Error --")</f>
        <v>-- Error --</v>
      </c>
      <c r="R953" s="16" t="s">
        <v>98</v>
      </c>
      <c r="T953" s="16" t="s">
        <v>99</v>
      </c>
      <c r="U953" s="17" t="e" cm="1">
        <f t="array" aca="1" ref="U953" ca="1">+U953:Y1019VLOOKUP(RiskRegister[[#This Row],[Residual Impact Level]],'Rating factors'!$F$4:$G$9,2,FALSE)</f>
        <v>#NAME?</v>
      </c>
      <c r="V953" s="16" t="s">
        <v>79</v>
      </c>
      <c r="W953" s="17" t="str">
        <f>VLOOKUP(RiskRegister[[#This Row],[Residual Likelihood Level]],'Rating factors'!$F$16:$G$21,2,FALSE)</f>
        <v>--- Error ---</v>
      </c>
      <c r="X953" s="17" t="str">
        <f ca="1">IFERROR(VLOOKUP(RiskRegister[[#This Row],[Residual Risk Rating]],'Rating factors'!$F$30:$G$44,2,FALSE),"-- Error --")</f>
        <v>-- Error --</v>
      </c>
      <c r="Y953" s="17" t="str">
        <f ca="1">IFERROR(RiskRegister[[#This Row],[Residual Impact Rating]]*RiskRegister[[#This Row],[Residual Likelihood Rating]],"-- Error --")</f>
        <v>-- Error --</v>
      </c>
      <c r="Z953" s="16" t="s">
        <v>100</v>
      </c>
      <c r="AB953" s="39"/>
      <c r="AD953" s="20"/>
    </row>
    <row r="954" spans="1:30" s="16" customFormat="1" hidden="1" x14ac:dyDescent="0.25">
      <c r="A954" s="16">
        <v>951</v>
      </c>
      <c r="G954" s="16" t="s">
        <v>77</v>
      </c>
      <c r="I954" s="16" t="s">
        <v>75</v>
      </c>
      <c r="L954" s="105" t="s">
        <v>99</v>
      </c>
      <c r="M954" s="17" t="str">
        <f>VLOOKUP(RiskRegister[[#This Row],[Inherent Impact LevelL3:L1020D1007L3:L1019]],'Rating factors'!$F$4:$G$9,2,FALSE)</f>
        <v>--- Error ---</v>
      </c>
      <c r="N954" s="16" t="s">
        <v>79</v>
      </c>
      <c r="O954" s="17" t="str">
        <f>VLOOKUP(RiskRegister[[#This Row],[Inherent Likelihood Level]],'Rating factors'!$F$16:$G$21,2,FALSE)</f>
        <v>--- Error ---</v>
      </c>
      <c r="P954" s="17" t="str">
        <f>IFERROR(VLOOKUP(RiskRegister[[#This Row],[Inherent Risk Rating]],'Rating factors'!$F$30:$G$44,2,FALSE),"-- Error --")</f>
        <v>-- Error --</v>
      </c>
      <c r="Q954" s="17" t="str">
        <f>IFERROR(RiskRegister[[#This Row],[Inherent Impact Rating]]*RiskRegister[[#This Row],[Inherent Likelihood Rating]],"-- Error --")</f>
        <v>-- Error --</v>
      </c>
      <c r="R954" s="16" t="s">
        <v>98</v>
      </c>
      <c r="T954" s="16" t="s">
        <v>99</v>
      </c>
      <c r="U954" s="17" t="e" cm="1">
        <f t="array" aca="1" ref="U954" ca="1">+U954:Y1019VLOOKUP(RiskRegister[[#This Row],[Residual Impact Level]],'Rating factors'!$F$4:$G$9,2,FALSE)</f>
        <v>#NAME?</v>
      </c>
      <c r="V954" s="16" t="s">
        <v>79</v>
      </c>
      <c r="W954" s="17" t="str">
        <f>VLOOKUP(RiskRegister[[#This Row],[Residual Likelihood Level]],'Rating factors'!$F$16:$G$21,2,FALSE)</f>
        <v>--- Error ---</v>
      </c>
      <c r="X954" s="17" t="str">
        <f ca="1">IFERROR(VLOOKUP(RiskRegister[[#This Row],[Residual Risk Rating]],'Rating factors'!$F$30:$G$44,2,FALSE),"-- Error --")</f>
        <v>-- Error --</v>
      </c>
      <c r="Y954" s="17" t="str">
        <f ca="1">IFERROR(RiskRegister[[#This Row],[Residual Impact Rating]]*RiskRegister[[#This Row],[Residual Likelihood Rating]],"-- Error --")</f>
        <v>-- Error --</v>
      </c>
      <c r="Z954" s="16" t="s">
        <v>100</v>
      </c>
      <c r="AB954" s="39"/>
      <c r="AD954" s="20"/>
    </row>
    <row r="955" spans="1:30" s="16" customFormat="1" hidden="1" x14ac:dyDescent="0.25">
      <c r="A955" s="16">
        <v>952</v>
      </c>
      <c r="G955" s="16" t="s">
        <v>77</v>
      </c>
      <c r="I955" s="16" t="s">
        <v>75</v>
      </c>
      <c r="L955" s="105" t="s">
        <v>99</v>
      </c>
      <c r="M955" s="17" t="str">
        <f>VLOOKUP(RiskRegister[[#This Row],[Inherent Impact LevelL3:L1020D1007L3:L1019]],'Rating factors'!$F$4:$G$9,2,FALSE)</f>
        <v>--- Error ---</v>
      </c>
      <c r="N955" s="16" t="s">
        <v>79</v>
      </c>
      <c r="O955" s="17" t="str">
        <f>VLOOKUP(RiskRegister[[#This Row],[Inherent Likelihood Level]],'Rating factors'!$F$16:$G$21,2,FALSE)</f>
        <v>--- Error ---</v>
      </c>
      <c r="P955" s="17" t="str">
        <f>IFERROR(VLOOKUP(RiskRegister[[#This Row],[Inherent Risk Rating]],'Rating factors'!$F$30:$G$44,2,FALSE),"-- Error --")</f>
        <v>-- Error --</v>
      </c>
      <c r="Q955" s="17" t="str">
        <f>IFERROR(RiskRegister[[#This Row],[Inherent Impact Rating]]*RiskRegister[[#This Row],[Inherent Likelihood Rating]],"-- Error --")</f>
        <v>-- Error --</v>
      </c>
      <c r="R955" s="16" t="s">
        <v>98</v>
      </c>
      <c r="T955" s="16" t="s">
        <v>99</v>
      </c>
      <c r="U955" s="17" t="e" cm="1">
        <f t="array" aca="1" ref="U955" ca="1">+U955:Y1019VLOOKUP(RiskRegister[[#This Row],[Residual Impact Level]],'Rating factors'!$F$4:$G$9,2,FALSE)</f>
        <v>#NAME?</v>
      </c>
      <c r="V955" s="16" t="s">
        <v>79</v>
      </c>
      <c r="W955" s="17" t="str">
        <f>VLOOKUP(RiskRegister[[#This Row],[Residual Likelihood Level]],'Rating factors'!$F$16:$G$21,2,FALSE)</f>
        <v>--- Error ---</v>
      </c>
      <c r="X955" s="17" t="str">
        <f ca="1">IFERROR(VLOOKUP(RiskRegister[[#This Row],[Residual Risk Rating]],'Rating factors'!$F$30:$G$44,2,FALSE),"-- Error --")</f>
        <v>-- Error --</v>
      </c>
      <c r="Y955" s="17" t="str">
        <f ca="1">IFERROR(RiskRegister[[#This Row],[Residual Impact Rating]]*RiskRegister[[#This Row],[Residual Likelihood Rating]],"-- Error --")</f>
        <v>-- Error --</v>
      </c>
      <c r="Z955" s="16" t="s">
        <v>100</v>
      </c>
      <c r="AB955" s="39"/>
      <c r="AD955" s="20"/>
    </row>
    <row r="956" spans="1:30" s="16" customFormat="1" hidden="1" x14ac:dyDescent="0.25">
      <c r="A956" s="16">
        <v>953</v>
      </c>
      <c r="G956" s="16" t="s">
        <v>77</v>
      </c>
      <c r="I956" s="16" t="s">
        <v>75</v>
      </c>
      <c r="L956" s="105" t="s">
        <v>99</v>
      </c>
      <c r="M956" s="17" t="str">
        <f>VLOOKUP(RiskRegister[[#This Row],[Inherent Impact LevelL3:L1020D1007L3:L1019]],'Rating factors'!$F$4:$G$9,2,FALSE)</f>
        <v>--- Error ---</v>
      </c>
      <c r="N956" s="16" t="s">
        <v>79</v>
      </c>
      <c r="O956" s="17" t="str">
        <f>VLOOKUP(RiskRegister[[#This Row],[Inherent Likelihood Level]],'Rating factors'!$F$16:$G$21,2,FALSE)</f>
        <v>--- Error ---</v>
      </c>
      <c r="P956" s="17" t="str">
        <f>IFERROR(VLOOKUP(RiskRegister[[#This Row],[Inherent Risk Rating]],'Rating factors'!$F$30:$G$44,2,FALSE),"-- Error --")</f>
        <v>-- Error --</v>
      </c>
      <c r="Q956" s="17" t="str">
        <f>IFERROR(RiskRegister[[#This Row],[Inherent Impact Rating]]*RiskRegister[[#This Row],[Inherent Likelihood Rating]],"-- Error --")</f>
        <v>-- Error --</v>
      </c>
      <c r="R956" s="16" t="s">
        <v>98</v>
      </c>
      <c r="T956" s="16" t="s">
        <v>99</v>
      </c>
      <c r="U956" s="17" t="e" cm="1">
        <f t="array" aca="1" ref="U956" ca="1">+U956:Y1019VLOOKUP(RiskRegister[[#This Row],[Residual Impact Level]],'Rating factors'!$F$4:$G$9,2,FALSE)</f>
        <v>#NAME?</v>
      </c>
      <c r="V956" s="16" t="s">
        <v>79</v>
      </c>
      <c r="W956" s="17" t="str">
        <f>VLOOKUP(RiskRegister[[#This Row],[Residual Likelihood Level]],'Rating factors'!$F$16:$G$21,2,FALSE)</f>
        <v>--- Error ---</v>
      </c>
      <c r="X956" s="17" t="str">
        <f ca="1">IFERROR(VLOOKUP(RiskRegister[[#This Row],[Residual Risk Rating]],'Rating factors'!$F$30:$G$44,2,FALSE),"-- Error --")</f>
        <v>-- Error --</v>
      </c>
      <c r="Y956" s="17" t="str">
        <f ca="1">IFERROR(RiskRegister[[#This Row],[Residual Impact Rating]]*RiskRegister[[#This Row],[Residual Likelihood Rating]],"-- Error --")</f>
        <v>-- Error --</v>
      </c>
      <c r="Z956" s="16" t="s">
        <v>100</v>
      </c>
      <c r="AB956" s="39"/>
      <c r="AD956" s="20"/>
    </row>
    <row r="957" spans="1:30" s="16" customFormat="1" hidden="1" x14ac:dyDescent="0.25">
      <c r="A957" s="16">
        <v>954</v>
      </c>
      <c r="G957" s="16" t="s">
        <v>77</v>
      </c>
      <c r="I957" s="16" t="s">
        <v>75</v>
      </c>
      <c r="L957" s="105" t="s">
        <v>99</v>
      </c>
      <c r="M957" s="17" t="str">
        <f>VLOOKUP(RiskRegister[[#This Row],[Inherent Impact LevelL3:L1020D1007L3:L1019]],'Rating factors'!$F$4:$G$9,2,FALSE)</f>
        <v>--- Error ---</v>
      </c>
      <c r="N957" s="16" t="s">
        <v>79</v>
      </c>
      <c r="O957" s="17" t="str">
        <f>VLOOKUP(RiskRegister[[#This Row],[Inherent Likelihood Level]],'Rating factors'!$F$16:$G$21,2,FALSE)</f>
        <v>--- Error ---</v>
      </c>
      <c r="P957" s="17" t="str">
        <f>IFERROR(VLOOKUP(RiskRegister[[#This Row],[Inherent Risk Rating]],'Rating factors'!$F$30:$G$44,2,FALSE),"-- Error --")</f>
        <v>-- Error --</v>
      </c>
      <c r="Q957" s="17" t="str">
        <f>IFERROR(RiskRegister[[#This Row],[Inherent Impact Rating]]*RiskRegister[[#This Row],[Inherent Likelihood Rating]],"-- Error --")</f>
        <v>-- Error --</v>
      </c>
      <c r="R957" s="16" t="s">
        <v>98</v>
      </c>
      <c r="T957" s="16" t="s">
        <v>99</v>
      </c>
      <c r="U957" s="17" t="e" cm="1">
        <f t="array" aca="1" ref="U957" ca="1">+U957:Y1019VLOOKUP(RiskRegister[[#This Row],[Residual Impact Level]],'Rating factors'!$F$4:$G$9,2,FALSE)</f>
        <v>#NAME?</v>
      </c>
      <c r="V957" s="16" t="s">
        <v>79</v>
      </c>
      <c r="W957" s="17" t="str">
        <f>VLOOKUP(RiskRegister[[#This Row],[Residual Likelihood Level]],'Rating factors'!$F$16:$G$21,2,FALSE)</f>
        <v>--- Error ---</v>
      </c>
      <c r="X957" s="17" t="str">
        <f ca="1">IFERROR(VLOOKUP(RiskRegister[[#This Row],[Residual Risk Rating]],'Rating factors'!$F$30:$G$44,2,FALSE),"-- Error --")</f>
        <v>-- Error --</v>
      </c>
      <c r="Y957" s="17" t="str">
        <f ca="1">IFERROR(RiskRegister[[#This Row],[Residual Impact Rating]]*RiskRegister[[#This Row],[Residual Likelihood Rating]],"-- Error --")</f>
        <v>-- Error --</v>
      </c>
      <c r="Z957" s="16" t="s">
        <v>100</v>
      </c>
      <c r="AB957" s="39"/>
      <c r="AD957" s="20"/>
    </row>
    <row r="958" spans="1:30" s="16" customFormat="1" hidden="1" x14ac:dyDescent="0.25">
      <c r="A958" s="16">
        <v>955</v>
      </c>
      <c r="G958" s="16" t="s">
        <v>77</v>
      </c>
      <c r="I958" s="16" t="s">
        <v>75</v>
      </c>
      <c r="L958" s="105" t="s">
        <v>99</v>
      </c>
      <c r="M958" s="17" t="str">
        <f>VLOOKUP(RiskRegister[[#This Row],[Inherent Impact LevelL3:L1020D1007L3:L1019]],'Rating factors'!$F$4:$G$9,2,FALSE)</f>
        <v>--- Error ---</v>
      </c>
      <c r="N958" s="16" t="s">
        <v>79</v>
      </c>
      <c r="O958" s="17" t="str">
        <f>VLOOKUP(RiskRegister[[#This Row],[Inherent Likelihood Level]],'Rating factors'!$F$16:$G$21,2,FALSE)</f>
        <v>--- Error ---</v>
      </c>
      <c r="P958" s="17" t="str">
        <f>IFERROR(VLOOKUP(RiskRegister[[#This Row],[Inherent Risk Rating]],'Rating factors'!$F$30:$G$44,2,FALSE),"-- Error --")</f>
        <v>-- Error --</v>
      </c>
      <c r="Q958" s="17" t="str">
        <f>IFERROR(RiskRegister[[#This Row],[Inherent Impact Rating]]*RiskRegister[[#This Row],[Inherent Likelihood Rating]],"-- Error --")</f>
        <v>-- Error --</v>
      </c>
      <c r="R958" s="16" t="s">
        <v>98</v>
      </c>
      <c r="T958" s="16" t="s">
        <v>99</v>
      </c>
      <c r="U958" s="17" t="e" cm="1">
        <f t="array" aca="1" ref="U958" ca="1">+U958:Y1019VLOOKUP(RiskRegister[[#This Row],[Residual Impact Level]],'Rating factors'!$F$4:$G$9,2,FALSE)</f>
        <v>#NAME?</v>
      </c>
      <c r="V958" s="16" t="s">
        <v>79</v>
      </c>
      <c r="W958" s="17" t="str">
        <f>VLOOKUP(RiskRegister[[#This Row],[Residual Likelihood Level]],'Rating factors'!$F$16:$G$21,2,FALSE)</f>
        <v>--- Error ---</v>
      </c>
      <c r="X958" s="17" t="str">
        <f ca="1">IFERROR(VLOOKUP(RiskRegister[[#This Row],[Residual Risk Rating]],'Rating factors'!$F$30:$G$44,2,FALSE),"-- Error --")</f>
        <v>-- Error --</v>
      </c>
      <c r="Y958" s="17" t="str">
        <f ca="1">IFERROR(RiskRegister[[#This Row],[Residual Impact Rating]]*RiskRegister[[#This Row],[Residual Likelihood Rating]],"-- Error --")</f>
        <v>-- Error --</v>
      </c>
      <c r="Z958" s="16" t="s">
        <v>100</v>
      </c>
      <c r="AB958" s="39"/>
      <c r="AD958" s="20"/>
    </row>
    <row r="959" spans="1:30" s="16" customFormat="1" hidden="1" x14ac:dyDescent="0.25">
      <c r="A959" s="16">
        <v>956</v>
      </c>
      <c r="G959" s="16" t="s">
        <v>77</v>
      </c>
      <c r="I959" s="16" t="s">
        <v>75</v>
      </c>
      <c r="L959" s="105" t="s">
        <v>99</v>
      </c>
      <c r="M959" s="17" t="str">
        <f>VLOOKUP(RiskRegister[[#This Row],[Inherent Impact LevelL3:L1020D1007L3:L1019]],'Rating factors'!$F$4:$G$9,2,FALSE)</f>
        <v>--- Error ---</v>
      </c>
      <c r="N959" s="16" t="s">
        <v>79</v>
      </c>
      <c r="O959" s="17" t="str">
        <f>VLOOKUP(RiskRegister[[#This Row],[Inherent Likelihood Level]],'Rating factors'!$F$16:$G$21,2,FALSE)</f>
        <v>--- Error ---</v>
      </c>
      <c r="P959" s="17" t="str">
        <f>IFERROR(VLOOKUP(RiskRegister[[#This Row],[Inherent Risk Rating]],'Rating factors'!$F$30:$G$44,2,FALSE),"-- Error --")</f>
        <v>-- Error --</v>
      </c>
      <c r="Q959" s="17" t="str">
        <f>IFERROR(RiskRegister[[#This Row],[Inherent Impact Rating]]*RiskRegister[[#This Row],[Inherent Likelihood Rating]],"-- Error --")</f>
        <v>-- Error --</v>
      </c>
      <c r="R959" s="16" t="s">
        <v>98</v>
      </c>
      <c r="T959" s="16" t="s">
        <v>99</v>
      </c>
      <c r="U959" s="17" t="e" cm="1">
        <f t="array" aca="1" ref="U959" ca="1">+U959:Y1019VLOOKUP(RiskRegister[[#This Row],[Residual Impact Level]],'Rating factors'!$F$4:$G$9,2,FALSE)</f>
        <v>#NAME?</v>
      </c>
      <c r="V959" s="16" t="s">
        <v>79</v>
      </c>
      <c r="W959" s="17" t="str">
        <f>VLOOKUP(RiskRegister[[#This Row],[Residual Likelihood Level]],'Rating factors'!$F$16:$G$21,2,FALSE)</f>
        <v>--- Error ---</v>
      </c>
      <c r="X959" s="17" t="str">
        <f ca="1">IFERROR(VLOOKUP(RiskRegister[[#This Row],[Residual Risk Rating]],'Rating factors'!$F$30:$G$44,2,FALSE),"-- Error --")</f>
        <v>-- Error --</v>
      </c>
      <c r="Y959" s="17" t="str">
        <f ca="1">IFERROR(RiskRegister[[#This Row],[Residual Impact Rating]]*RiskRegister[[#This Row],[Residual Likelihood Rating]],"-- Error --")</f>
        <v>-- Error --</v>
      </c>
      <c r="Z959" s="16" t="s">
        <v>100</v>
      </c>
      <c r="AB959" s="39"/>
      <c r="AD959" s="20"/>
    </row>
    <row r="960" spans="1:30" s="16" customFormat="1" hidden="1" x14ac:dyDescent="0.25">
      <c r="A960" s="16">
        <v>957</v>
      </c>
      <c r="G960" s="16" t="s">
        <v>77</v>
      </c>
      <c r="I960" s="16" t="s">
        <v>75</v>
      </c>
      <c r="L960" s="105" t="s">
        <v>99</v>
      </c>
      <c r="M960" s="17" t="str">
        <f>VLOOKUP(RiskRegister[[#This Row],[Inherent Impact LevelL3:L1020D1007L3:L1019]],'Rating factors'!$F$4:$G$9,2,FALSE)</f>
        <v>--- Error ---</v>
      </c>
      <c r="N960" s="16" t="s">
        <v>79</v>
      </c>
      <c r="O960" s="17" t="str">
        <f>VLOOKUP(RiskRegister[[#This Row],[Inherent Likelihood Level]],'Rating factors'!$F$16:$G$21,2,FALSE)</f>
        <v>--- Error ---</v>
      </c>
      <c r="P960" s="17" t="str">
        <f>IFERROR(VLOOKUP(RiskRegister[[#This Row],[Inherent Risk Rating]],'Rating factors'!$F$30:$G$44,2,FALSE),"-- Error --")</f>
        <v>-- Error --</v>
      </c>
      <c r="Q960" s="17" t="str">
        <f>IFERROR(RiskRegister[[#This Row],[Inherent Impact Rating]]*RiskRegister[[#This Row],[Inherent Likelihood Rating]],"-- Error --")</f>
        <v>-- Error --</v>
      </c>
      <c r="R960" s="16" t="s">
        <v>98</v>
      </c>
      <c r="T960" s="16" t="s">
        <v>99</v>
      </c>
      <c r="U960" s="17" t="e" cm="1">
        <f t="array" aca="1" ref="U960" ca="1">+U960:Y1019VLOOKUP(RiskRegister[[#This Row],[Residual Impact Level]],'Rating factors'!$F$4:$G$9,2,FALSE)</f>
        <v>#NAME?</v>
      </c>
      <c r="V960" s="16" t="s">
        <v>79</v>
      </c>
      <c r="W960" s="17" t="str">
        <f>VLOOKUP(RiskRegister[[#This Row],[Residual Likelihood Level]],'Rating factors'!$F$16:$G$21,2,FALSE)</f>
        <v>--- Error ---</v>
      </c>
      <c r="X960" s="17" t="str">
        <f ca="1">IFERROR(VLOOKUP(RiskRegister[[#This Row],[Residual Risk Rating]],'Rating factors'!$F$30:$G$44,2,FALSE),"-- Error --")</f>
        <v>-- Error --</v>
      </c>
      <c r="Y960" s="17" t="str">
        <f ca="1">IFERROR(RiskRegister[[#This Row],[Residual Impact Rating]]*RiskRegister[[#This Row],[Residual Likelihood Rating]],"-- Error --")</f>
        <v>-- Error --</v>
      </c>
      <c r="Z960" s="16" t="s">
        <v>100</v>
      </c>
      <c r="AB960" s="39"/>
      <c r="AD960" s="20"/>
    </row>
    <row r="961" spans="1:30" s="16" customFormat="1" hidden="1" x14ac:dyDescent="0.25">
      <c r="A961" s="16">
        <v>958</v>
      </c>
      <c r="G961" s="16" t="s">
        <v>77</v>
      </c>
      <c r="I961" s="16" t="s">
        <v>75</v>
      </c>
      <c r="L961" s="105" t="s">
        <v>99</v>
      </c>
      <c r="M961" s="17" t="str">
        <f>VLOOKUP(RiskRegister[[#This Row],[Inherent Impact LevelL3:L1020D1007L3:L1019]],'Rating factors'!$F$4:$G$9,2,FALSE)</f>
        <v>--- Error ---</v>
      </c>
      <c r="N961" s="16" t="s">
        <v>79</v>
      </c>
      <c r="O961" s="17" t="str">
        <f>VLOOKUP(RiskRegister[[#This Row],[Inherent Likelihood Level]],'Rating factors'!$F$16:$G$21,2,FALSE)</f>
        <v>--- Error ---</v>
      </c>
      <c r="P961" s="17" t="str">
        <f>IFERROR(VLOOKUP(RiskRegister[[#This Row],[Inherent Risk Rating]],'Rating factors'!$F$30:$G$44,2,FALSE),"-- Error --")</f>
        <v>-- Error --</v>
      </c>
      <c r="Q961" s="17" t="str">
        <f>IFERROR(RiskRegister[[#This Row],[Inherent Impact Rating]]*RiskRegister[[#This Row],[Inherent Likelihood Rating]],"-- Error --")</f>
        <v>-- Error --</v>
      </c>
      <c r="R961" s="16" t="s">
        <v>98</v>
      </c>
      <c r="T961" s="16" t="s">
        <v>99</v>
      </c>
      <c r="U961" s="17" t="e" cm="1">
        <f t="array" aca="1" ref="U961" ca="1">+U961:Y1019VLOOKUP(RiskRegister[[#This Row],[Residual Impact Level]],'Rating factors'!$F$4:$G$9,2,FALSE)</f>
        <v>#NAME?</v>
      </c>
      <c r="V961" s="16" t="s">
        <v>79</v>
      </c>
      <c r="W961" s="17" t="str">
        <f>VLOOKUP(RiskRegister[[#This Row],[Residual Likelihood Level]],'Rating factors'!$F$16:$G$21,2,FALSE)</f>
        <v>--- Error ---</v>
      </c>
      <c r="X961" s="17" t="str">
        <f ca="1">IFERROR(VLOOKUP(RiskRegister[[#This Row],[Residual Risk Rating]],'Rating factors'!$F$30:$G$44,2,FALSE),"-- Error --")</f>
        <v>-- Error --</v>
      </c>
      <c r="Y961" s="17" t="str">
        <f ca="1">IFERROR(RiskRegister[[#This Row],[Residual Impact Rating]]*RiskRegister[[#This Row],[Residual Likelihood Rating]],"-- Error --")</f>
        <v>-- Error --</v>
      </c>
      <c r="Z961" s="16" t="s">
        <v>100</v>
      </c>
      <c r="AB961" s="39"/>
      <c r="AD961" s="20"/>
    </row>
    <row r="962" spans="1:30" s="16" customFormat="1" hidden="1" x14ac:dyDescent="0.25">
      <c r="A962" s="16">
        <v>959</v>
      </c>
      <c r="G962" s="16" t="s">
        <v>77</v>
      </c>
      <c r="I962" s="16" t="s">
        <v>75</v>
      </c>
      <c r="L962" s="105" t="s">
        <v>99</v>
      </c>
      <c r="M962" s="17" t="str">
        <f>VLOOKUP(RiskRegister[[#This Row],[Inherent Impact LevelL3:L1020D1007L3:L1019]],'Rating factors'!$F$4:$G$9,2,FALSE)</f>
        <v>--- Error ---</v>
      </c>
      <c r="N962" s="16" t="s">
        <v>79</v>
      </c>
      <c r="O962" s="17" t="str">
        <f>VLOOKUP(RiskRegister[[#This Row],[Inherent Likelihood Level]],'Rating factors'!$F$16:$G$21,2,FALSE)</f>
        <v>--- Error ---</v>
      </c>
      <c r="P962" s="17" t="str">
        <f>IFERROR(VLOOKUP(RiskRegister[[#This Row],[Inherent Risk Rating]],'Rating factors'!$F$30:$G$44,2,FALSE),"-- Error --")</f>
        <v>-- Error --</v>
      </c>
      <c r="Q962" s="17" t="str">
        <f>IFERROR(RiskRegister[[#This Row],[Inherent Impact Rating]]*RiskRegister[[#This Row],[Inherent Likelihood Rating]],"-- Error --")</f>
        <v>-- Error --</v>
      </c>
      <c r="R962" s="16" t="s">
        <v>98</v>
      </c>
      <c r="T962" s="16" t="s">
        <v>99</v>
      </c>
      <c r="U962" s="17" t="e" cm="1">
        <f t="array" aca="1" ref="U962" ca="1">+U962:Y1019VLOOKUP(RiskRegister[[#This Row],[Residual Impact Level]],'Rating factors'!$F$4:$G$9,2,FALSE)</f>
        <v>#NAME?</v>
      </c>
      <c r="V962" s="16" t="s">
        <v>79</v>
      </c>
      <c r="W962" s="17" t="str">
        <f>VLOOKUP(RiskRegister[[#This Row],[Residual Likelihood Level]],'Rating factors'!$F$16:$G$21,2,FALSE)</f>
        <v>--- Error ---</v>
      </c>
      <c r="X962" s="17" t="str">
        <f ca="1">IFERROR(VLOOKUP(RiskRegister[[#This Row],[Residual Risk Rating]],'Rating factors'!$F$30:$G$44,2,FALSE),"-- Error --")</f>
        <v>-- Error --</v>
      </c>
      <c r="Y962" s="17" t="str">
        <f ca="1">IFERROR(RiskRegister[[#This Row],[Residual Impact Rating]]*RiskRegister[[#This Row],[Residual Likelihood Rating]],"-- Error --")</f>
        <v>-- Error --</v>
      </c>
      <c r="Z962" s="16" t="s">
        <v>100</v>
      </c>
      <c r="AB962" s="39"/>
      <c r="AD962" s="20"/>
    </row>
    <row r="963" spans="1:30" s="16" customFormat="1" hidden="1" x14ac:dyDescent="0.25">
      <c r="A963" s="16">
        <v>960</v>
      </c>
      <c r="G963" s="16" t="s">
        <v>77</v>
      </c>
      <c r="I963" s="16" t="s">
        <v>75</v>
      </c>
      <c r="L963" s="105" t="s">
        <v>99</v>
      </c>
      <c r="M963" s="17" t="str">
        <f>VLOOKUP(RiskRegister[[#This Row],[Inherent Impact LevelL3:L1020D1007L3:L1019]],'Rating factors'!$F$4:$G$9,2,FALSE)</f>
        <v>--- Error ---</v>
      </c>
      <c r="N963" s="16" t="s">
        <v>79</v>
      </c>
      <c r="O963" s="17" t="str">
        <f>VLOOKUP(RiskRegister[[#This Row],[Inherent Likelihood Level]],'Rating factors'!$F$16:$G$21,2,FALSE)</f>
        <v>--- Error ---</v>
      </c>
      <c r="P963" s="17" t="str">
        <f>IFERROR(VLOOKUP(RiskRegister[[#This Row],[Inherent Risk Rating]],'Rating factors'!$F$30:$G$44,2,FALSE),"-- Error --")</f>
        <v>-- Error --</v>
      </c>
      <c r="Q963" s="17" t="str">
        <f>IFERROR(RiskRegister[[#This Row],[Inherent Impact Rating]]*RiskRegister[[#This Row],[Inherent Likelihood Rating]],"-- Error --")</f>
        <v>-- Error --</v>
      </c>
      <c r="R963" s="16" t="s">
        <v>98</v>
      </c>
      <c r="T963" s="16" t="s">
        <v>99</v>
      </c>
      <c r="U963" s="17" t="e" cm="1">
        <f t="array" aca="1" ref="U963" ca="1">+U963:Y1019VLOOKUP(RiskRegister[[#This Row],[Residual Impact Level]],'Rating factors'!$F$4:$G$9,2,FALSE)</f>
        <v>#NAME?</v>
      </c>
      <c r="V963" s="16" t="s">
        <v>79</v>
      </c>
      <c r="W963" s="17" t="str">
        <f>VLOOKUP(RiskRegister[[#This Row],[Residual Likelihood Level]],'Rating factors'!$F$16:$G$21,2,FALSE)</f>
        <v>--- Error ---</v>
      </c>
      <c r="X963" s="17" t="str">
        <f ca="1">IFERROR(VLOOKUP(RiskRegister[[#This Row],[Residual Risk Rating]],'Rating factors'!$F$30:$G$44,2,FALSE),"-- Error --")</f>
        <v>-- Error --</v>
      </c>
      <c r="Y963" s="17" t="str">
        <f ca="1">IFERROR(RiskRegister[[#This Row],[Residual Impact Rating]]*RiskRegister[[#This Row],[Residual Likelihood Rating]],"-- Error --")</f>
        <v>-- Error --</v>
      </c>
      <c r="Z963" s="16" t="s">
        <v>100</v>
      </c>
      <c r="AB963" s="39"/>
      <c r="AD963" s="20"/>
    </row>
    <row r="964" spans="1:30" s="16" customFormat="1" hidden="1" x14ac:dyDescent="0.25">
      <c r="A964" s="16">
        <v>961</v>
      </c>
      <c r="G964" s="16" t="s">
        <v>77</v>
      </c>
      <c r="I964" s="16" t="s">
        <v>75</v>
      </c>
      <c r="L964" s="105" t="s">
        <v>99</v>
      </c>
      <c r="M964" s="17" t="str">
        <f>VLOOKUP(RiskRegister[[#This Row],[Inherent Impact LevelL3:L1020D1007L3:L1019]],'Rating factors'!$F$4:$G$9,2,FALSE)</f>
        <v>--- Error ---</v>
      </c>
      <c r="N964" s="16" t="s">
        <v>79</v>
      </c>
      <c r="O964" s="17" t="str">
        <f>VLOOKUP(RiskRegister[[#This Row],[Inherent Likelihood Level]],'Rating factors'!$F$16:$G$21,2,FALSE)</f>
        <v>--- Error ---</v>
      </c>
      <c r="P964" s="17" t="str">
        <f>IFERROR(VLOOKUP(RiskRegister[[#This Row],[Inherent Risk Rating]],'Rating factors'!$F$30:$G$44,2,FALSE),"-- Error --")</f>
        <v>-- Error --</v>
      </c>
      <c r="Q964" s="17" t="str">
        <f>IFERROR(RiskRegister[[#This Row],[Inherent Impact Rating]]*RiskRegister[[#This Row],[Inherent Likelihood Rating]],"-- Error --")</f>
        <v>-- Error --</v>
      </c>
      <c r="R964" s="16" t="s">
        <v>98</v>
      </c>
      <c r="T964" s="16" t="s">
        <v>99</v>
      </c>
      <c r="U964" s="17" t="e" cm="1">
        <f t="array" aca="1" ref="U964" ca="1">+U964:Y1019VLOOKUP(RiskRegister[[#This Row],[Residual Impact Level]],'Rating factors'!$F$4:$G$9,2,FALSE)</f>
        <v>#NAME?</v>
      </c>
      <c r="V964" s="16" t="s">
        <v>79</v>
      </c>
      <c r="W964" s="17" t="str">
        <f>VLOOKUP(RiskRegister[[#This Row],[Residual Likelihood Level]],'Rating factors'!$F$16:$G$21,2,FALSE)</f>
        <v>--- Error ---</v>
      </c>
      <c r="X964" s="17" t="str">
        <f ca="1">IFERROR(VLOOKUP(RiskRegister[[#This Row],[Residual Risk Rating]],'Rating factors'!$F$30:$G$44,2,FALSE),"-- Error --")</f>
        <v>-- Error --</v>
      </c>
      <c r="Y964" s="17" t="str">
        <f ca="1">IFERROR(RiskRegister[[#This Row],[Residual Impact Rating]]*RiskRegister[[#This Row],[Residual Likelihood Rating]],"-- Error --")</f>
        <v>-- Error --</v>
      </c>
      <c r="Z964" s="16" t="s">
        <v>100</v>
      </c>
      <c r="AB964" s="39"/>
      <c r="AD964" s="20"/>
    </row>
    <row r="965" spans="1:30" s="16" customFormat="1" hidden="1" x14ac:dyDescent="0.25">
      <c r="A965" s="16">
        <v>962</v>
      </c>
      <c r="G965" s="16" t="s">
        <v>77</v>
      </c>
      <c r="I965" s="16" t="s">
        <v>75</v>
      </c>
      <c r="L965" s="105" t="s">
        <v>99</v>
      </c>
      <c r="M965" s="17" t="str">
        <f>VLOOKUP(RiskRegister[[#This Row],[Inherent Impact LevelL3:L1020D1007L3:L1019]],'Rating factors'!$F$4:$G$9,2,FALSE)</f>
        <v>--- Error ---</v>
      </c>
      <c r="N965" s="16" t="s">
        <v>79</v>
      </c>
      <c r="O965" s="17" t="str">
        <f>VLOOKUP(RiskRegister[[#This Row],[Inherent Likelihood Level]],'Rating factors'!$F$16:$G$21,2,FALSE)</f>
        <v>--- Error ---</v>
      </c>
      <c r="P965" s="17" t="str">
        <f>IFERROR(VLOOKUP(RiskRegister[[#This Row],[Inherent Risk Rating]],'Rating factors'!$F$30:$G$44,2,FALSE),"-- Error --")</f>
        <v>-- Error --</v>
      </c>
      <c r="Q965" s="17" t="str">
        <f>IFERROR(RiskRegister[[#This Row],[Inherent Impact Rating]]*RiskRegister[[#This Row],[Inherent Likelihood Rating]],"-- Error --")</f>
        <v>-- Error --</v>
      </c>
      <c r="R965" s="16" t="s">
        <v>98</v>
      </c>
      <c r="T965" s="16" t="s">
        <v>99</v>
      </c>
      <c r="U965" s="17" t="e" cm="1">
        <f t="array" aca="1" ref="U965" ca="1">+U965:Y1019VLOOKUP(RiskRegister[[#This Row],[Residual Impact Level]],'Rating factors'!$F$4:$G$9,2,FALSE)</f>
        <v>#NAME?</v>
      </c>
      <c r="V965" s="16" t="s">
        <v>79</v>
      </c>
      <c r="W965" s="17" t="str">
        <f>VLOOKUP(RiskRegister[[#This Row],[Residual Likelihood Level]],'Rating factors'!$F$16:$G$21,2,FALSE)</f>
        <v>--- Error ---</v>
      </c>
      <c r="X965" s="17" t="str">
        <f ca="1">IFERROR(VLOOKUP(RiskRegister[[#This Row],[Residual Risk Rating]],'Rating factors'!$F$30:$G$44,2,FALSE),"-- Error --")</f>
        <v>-- Error --</v>
      </c>
      <c r="Y965" s="17" t="str">
        <f ca="1">IFERROR(RiskRegister[[#This Row],[Residual Impact Rating]]*RiskRegister[[#This Row],[Residual Likelihood Rating]],"-- Error --")</f>
        <v>-- Error --</v>
      </c>
      <c r="Z965" s="16" t="s">
        <v>100</v>
      </c>
      <c r="AB965" s="39"/>
      <c r="AD965" s="20"/>
    </row>
    <row r="966" spans="1:30" s="16" customFormat="1" hidden="1" x14ac:dyDescent="0.25">
      <c r="A966" s="16">
        <v>963</v>
      </c>
      <c r="G966" s="16" t="s">
        <v>77</v>
      </c>
      <c r="I966" s="16" t="s">
        <v>75</v>
      </c>
      <c r="L966" s="105" t="s">
        <v>99</v>
      </c>
      <c r="M966" s="17" t="str">
        <f>VLOOKUP(RiskRegister[[#This Row],[Inherent Impact LevelL3:L1020D1007L3:L1019]],'Rating factors'!$F$4:$G$9,2,FALSE)</f>
        <v>--- Error ---</v>
      </c>
      <c r="N966" s="16" t="s">
        <v>79</v>
      </c>
      <c r="O966" s="17" t="str">
        <f>VLOOKUP(RiskRegister[[#This Row],[Inherent Likelihood Level]],'Rating factors'!$F$16:$G$21,2,FALSE)</f>
        <v>--- Error ---</v>
      </c>
      <c r="P966" s="17" t="str">
        <f>IFERROR(VLOOKUP(RiskRegister[[#This Row],[Inherent Risk Rating]],'Rating factors'!$F$30:$G$44,2,FALSE),"-- Error --")</f>
        <v>-- Error --</v>
      </c>
      <c r="Q966" s="17" t="str">
        <f>IFERROR(RiskRegister[[#This Row],[Inherent Impact Rating]]*RiskRegister[[#This Row],[Inherent Likelihood Rating]],"-- Error --")</f>
        <v>-- Error --</v>
      </c>
      <c r="R966" s="16" t="s">
        <v>98</v>
      </c>
      <c r="T966" s="16" t="s">
        <v>99</v>
      </c>
      <c r="U966" s="17" t="e" cm="1">
        <f t="array" aca="1" ref="U966" ca="1">+U966:Y1019VLOOKUP(RiskRegister[[#This Row],[Residual Impact Level]],'Rating factors'!$F$4:$G$9,2,FALSE)</f>
        <v>#NAME?</v>
      </c>
      <c r="V966" s="16" t="s">
        <v>79</v>
      </c>
      <c r="W966" s="17" t="str">
        <f>VLOOKUP(RiskRegister[[#This Row],[Residual Likelihood Level]],'Rating factors'!$F$16:$G$21,2,FALSE)</f>
        <v>--- Error ---</v>
      </c>
      <c r="X966" s="17" t="str">
        <f ca="1">IFERROR(VLOOKUP(RiskRegister[[#This Row],[Residual Risk Rating]],'Rating factors'!$F$30:$G$44,2,FALSE),"-- Error --")</f>
        <v>-- Error --</v>
      </c>
      <c r="Y966" s="17" t="str">
        <f ca="1">IFERROR(RiskRegister[[#This Row],[Residual Impact Rating]]*RiskRegister[[#This Row],[Residual Likelihood Rating]],"-- Error --")</f>
        <v>-- Error --</v>
      </c>
      <c r="Z966" s="16" t="s">
        <v>100</v>
      </c>
      <c r="AB966" s="39"/>
      <c r="AD966" s="20"/>
    </row>
    <row r="967" spans="1:30" s="16" customFormat="1" hidden="1" x14ac:dyDescent="0.25">
      <c r="A967" s="16">
        <v>964</v>
      </c>
      <c r="G967" s="16" t="s">
        <v>77</v>
      </c>
      <c r="I967" s="16" t="s">
        <v>75</v>
      </c>
      <c r="L967" s="105" t="s">
        <v>99</v>
      </c>
      <c r="M967" s="17" t="str">
        <f>VLOOKUP(RiskRegister[[#This Row],[Inherent Impact LevelL3:L1020D1007L3:L1019]],'Rating factors'!$F$4:$G$9,2,FALSE)</f>
        <v>--- Error ---</v>
      </c>
      <c r="N967" s="16" t="s">
        <v>79</v>
      </c>
      <c r="O967" s="17" t="str">
        <f>VLOOKUP(RiskRegister[[#This Row],[Inherent Likelihood Level]],'Rating factors'!$F$16:$G$21,2,FALSE)</f>
        <v>--- Error ---</v>
      </c>
      <c r="P967" s="17" t="str">
        <f>IFERROR(VLOOKUP(RiskRegister[[#This Row],[Inherent Risk Rating]],'Rating factors'!$F$30:$G$44,2,FALSE),"-- Error --")</f>
        <v>-- Error --</v>
      </c>
      <c r="Q967" s="17" t="str">
        <f>IFERROR(RiskRegister[[#This Row],[Inherent Impact Rating]]*RiskRegister[[#This Row],[Inherent Likelihood Rating]],"-- Error --")</f>
        <v>-- Error --</v>
      </c>
      <c r="R967" s="16" t="s">
        <v>98</v>
      </c>
      <c r="T967" s="16" t="s">
        <v>99</v>
      </c>
      <c r="U967" s="17" t="e" cm="1">
        <f t="array" aca="1" ref="U967" ca="1">+U967:Y1019VLOOKUP(RiskRegister[[#This Row],[Residual Impact Level]],'Rating factors'!$F$4:$G$9,2,FALSE)</f>
        <v>#NAME?</v>
      </c>
      <c r="V967" s="16" t="s">
        <v>79</v>
      </c>
      <c r="W967" s="17" t="str">
        <f>VLOOKUP(RiskRegister[[#This Row],[Residual Likelihood Level]],'Rating factors'!$F$16:$G$21,2,FALSE)</f>
        <v>--- Error ---</v>
      </c>
      <c r="X967" s="17" t="str">
        <f ca="1">IFERROR(VLOOKUP(RiskRegister[[#This Row],[Residual Risk Rating]],'Rating factors'!$F$30:$G$44,2,FALSE),"-- Error --")</f>
        <v>-- Error --</v>
      </c>
      <c r="Y967" s="17" t="str">
        <f ca="1">IFERROR(RiskRegister[[#This Row],[Residual Impact Rating]]*RiskRegister[[#This Row],[Residual Likelihood Rating]],"-- Error --")</f>
        <v>-- Error --</v>
      </c>
      <c r="Z967" s="16" t="s">
        <v>100</v>
      </c>
      <c r="AB967" s="39"/>
      <c r="AD967" s="20"/>
    </row>
    <row r="968" spans="1:30" s="16" customFormat="1" hidden="1" x14ac:dyDescent="0.25">
      <c r="A968" s="16">
        <v>965</v>
      </c>
      <c r="G968" s="16" t="s">
        <v>77</v>
      </c>
      <c r="I968" s="16" t="s">
        <v>75</v>
      </c>
      <c r="L968" s="105" t="s">
        <v>99</v>
      </c>
      <c r="M968" s="17" t="str">
        <f>VLOOKUP(RiskRegister[[#This Row],[Inherent Impact LevelL3:L1020D1007L3:L1019]],'Rating factors'!$F$4:$G$9,2,FALSE)</f>
        <v>--- Error ---</v>
      </c>
      <c r="N968" s="16" t="s">
        <v>79</v>
      </c>
      <c r="O968" s="17" t="str">
        <f>VLOOKUP(RiskRegister[[#This Row],[Inherent Likelihood Level]],'Rating factors'!$F$16:$G$21,2,FALSE)</f>
        <v>--- Error ---</v>
      </c>
      <c r="P968" s="17" t="str">
        <f>IFERROR(VLOOKUP(RiskRegister[[#This Row],[Inherent Risk Rating]],'Rating factors'!$F$30:$G$44,2,FALSE),"-- Error --")</f>
        <v>-- Error --</v>
      </c>
      <c r="Q968" s="17" t="str">
        <f>IFERROR(RiskRegister[[#This Row],[Inherent Impact Rating]]*RiskRegister[[#This Row],[Inherent Likelihood Rating]],"-- Error --")</f>
        <v>-- Error --</v>
      </c>
      <c r="R968" s="16" t="s">
        <v>98</v>
      </c>
      <c r="T968" s="16" t="s">
        <v>99</v>
      </c>
      <c r="U968" s="17" t="e" cm="1">
        <f t="array" aca="1" ref="U968" ca="1">+U968:Y1019VLOOKUP(RiskRegister[[#This Row],[Residual Impact Level]],'Rating factors'!$F$4:$G$9,2,FALSE)</f>
        <v>#NAME?</v>
      </c>
      <c r="V968" s="16" t="s">
        <v>79</v>
      </c>
      <c r="W968" s="17" t="str">
        <f>VLOOKUP(RiskRegister[[#This Row],[Residual Likelihood Level]],'Rating factors'!$F$16:$G$21,2,FALSE)</f>
        <v>--- Error ---</v>
      </c>
      <c r="X968" s="17" t="str">
        <f ca="1">IFERROR(VLOOKUP(RiskRegister[[#This Row],[Residual Risk Rating]],'Rating factors'!$F$30:$G$44,2,FALSE),"-- Error --")</f>
        <v>-- Error --</v>
      </c>
      <c r="Y968" s="17" t="str">
        <f ca="1">IFERROR(RiskRegister[[#This Row],[Residual Impact Rating]]*RiskRegister[[#This Row],[Residual Likelihood Rating]],"-- Error --")</f>
        <v>-- Error --</v>
      </c>
      <c r="Z968" s="16" t="s">
        <v>100</v>
      </c>
      <c r="AB968" s="39"/>
      <c r="AD968" s="20"/>
    </row>
    <row r="969" spans="1:30" s="16" customFormat="1" hidden="1" x14ac:dyDescent="0.25">
      <c r="A969" s="16">
        <v>966</v>
      </c>
      <c r="G969" s="16" t="s">
        <v>77</v>
      </c>
      <c r="I969" s="16" t="s">
        <v>75</v>
      </c>
      <c r="L969" s="105" t="s">
        <v>99</v>
      </c>
      <c r="M969" s="17" t="str">
        <f>VLOOKUP(RiskRegister[[#This Row],[Inherent Impact LevelL3:L1020D1007L3:L1019]],'Rating factors'!$F$4:$G$9,2,FALSE)</f>
        <v>--- Error ---</v>
      </c>
      <c r="N969" s="16" t="s">
        <v>79</v>
      </c>
      <c r="O969" s="17" t="str">
        <f>VLOOKUP(RiskRegister[[#This Row],[Inherent Likelihood Level]],'Rating factors'!$F$16:$G$21,2,FALSE)</f>
        <v>--- Error ---</v>
      </c>
      <c r="P969" s="17" t="str">
        <f>IFERROR(VLOOKUP(RiskRegister[[#This Row],[Inherent Risk Rating]],'Rating factors'!$F$30:$G$44,2,FALSE),"-- Error --")</f>
        <v>-- Error --</v>
      </c>
      <c r="Q969" s="17" t="str">
        <f>IFERROR(RiskRegister[[#This Row],[Inherent Impact Rating]]*RiskRegister[[#This Row],[Inherent Likelihood Rating]],"-- Error --")</f>
        <v>-- Error --</v>
      </c>
      <c r="R969" s="16" t="s">
        <v>98</v>
      </c>
      <c r="T969" s="16" t="s">
        <v>99</v>
      </c>
      <c r="U969" s="17" t="e" cm="1">
        <f t="array" aca="1" ref="U969" ca="1">+U969:Y1019VLOOKUP(RiskRegister[[#This Row],[Residual Impact Level]],'Rating factors'!$F$4:$G$9,2,FALSE)</f>
        <v>#NAME?</v>
      </c>
      <c r="V969" s="16" t="s">
        <v>79</v>
      </c>
      <c r="W969" s="17" t="str">
        <f>VLOOKUP(RiskRegister[[#This Row],[Residual Likelihood Level]],'Rating factors'!$F$16:$G$21,2,FALSE)</f>
        <v>--- Error ---</v>
      </c>
      <c r="X969" s="17" t="str">
        <f ca="1">IFERROR(VLOOKUP(RiskRegister[[#This Row],[Residual Risk Rating]],'Rating factors'!$F$30:$G$44,2,FALSE),"-- Error --")</f>
        <v>-- Error --</v>
      </c>
      <c r="Y969" s="17" t="str">
        <f ca="1">IFERROR(RiskRegister[[#This Row],[Residual Impact Rating]]*RiskRegister[[#This Row],[Residual Likelihood Rating]],"-- Error --")</f>
        <v>-- Error --</v>
      </c>
      <c r="Z969" s="16" t="s">
        <v>100</v>
      </c>
      <c r="AB969" s="39"/>
      <c r="AD969" s="20"/>
    </row>
    <row r="970" spans="1:30" s="16" customFormat="1" hidden="1" x14ac:dyDescent="0.25">
      <c r="A970" s="16">
        <v>967</v>
      </c>
      <c r="G970" s="16" t="s">
        <v>77</v>
      </c>
      <c r="I970" s="16" t="s">
        <v>75</v>
      </c>
      <c r="L970" s="105" t="s">
        <v>99</v>
      </c>
      <c r="M970" s="17" t="str">
        <f>VLOOKUP(RiskRegister[[#This Row],[Inherent Impact LevelL3:L1020D1007L3:L1019]],'Rating factors'!$F$4:$G$9,2,FALSE)</f>
        <v>--- Error ---</v>
      </c>
      <c r="N970" s="16" t="s">
        <v>79</v>
      </c>
      <c r="O970" s="17" t="str">
        <f>VLOOKUP(RiskRegister[[#This Row],[Inherent Likelihood Level]],'Rating factors'!$F$16:$G$21,2,FALSE)</f>
        <v>--- Error ---</v>
      </c>
      <c r="P970" s="17" t="str">
        <f>IFERROR(VLOOKUP(RiskRegister[[#This Row],[Inherent Risk Rating]],'Rating factors'!$F$30:$G$44,2,FALSE),"-- Error --")</f>
        <v>-- Error --</v>
      </c>
      <c r="Q970" s="17" t="str">
        <f>IFERROR(RiskRegister[[#This Row],[Inherent Impact Rating]]*RiskRegister[[#This Row],[Inherent Likelihood Rating]],"-- Error --")</f>
        <v>-- Error --</v>
      </c>
      <c r="R970" s="16" t="s">
        <v>98</v>
      </c>
      <c r="T970" s="16" t="s">
        <v>99</v>
      </c>
      <c r="U970" s="17" t="e" cm="1">
        <f t="array" aca="1" ref="U970" ca="1">+U970:Y1019VLOOKUP(RiskRegister[[#This Row],[Residual Impact Level]],'Rating factors'!$F$4:$G$9,2,FALSE)</f>
        <v>#NAME?</v>
      </c>
      <c r="V970" s="16" t="s">
        <v>79</v>
      </c>
      <c r="W970" s="17" t="str">
        <f>VLOOKUP(RiskRegister[[#This Row],[Residual Likelihood Level]],'Rating factors'!$F$16:$G$21,2,FALSE)</f>
        <v>--- Error ---</v>
      </c>
      <c r="X970" s="17" t="str">
        <f ca="1">IFERROR(VLOOKUP(RiskRegister[[#This Row],[Residual Risk Rating]],'Rating factors'!$F$30:$G$44,2,FALSE),"-- Error --")</f>
        <v>-- Error --</v>
      </c>
      <c r="Y970" s="17" t="str">
        <f ca="1">IFERROR(RiskRegister[[#This Row],[Residual Impact Rating]]*RiskRegister[[#This Row],[Residual Likelihood Rating]],"-- Error --")</f>
        <v>-- Error --</v>
      </c>
      <c r="Z970" s="16" t="s">
        <v>100</v>
      </c>
      <c r="AB970" s="39"/>
      <c r="AD970" s="20"/>
    </row>
    <row r="971" spans="1:30" s="16" customFormat="1" hidden="1" x14ac:dyDescent="0.25">
      <c r="A971" s="16">
        <v>968</v>
      </c>
      <c r="G971" s="16" t="s">
        <v>77</v>
      </c>
      <c r="I971" s="16" t="s">
        <v>75</v>
      </c>
      <c r="L971" s="105" t="s">
        <v>99</v>
      </c>
      <c r="M971" s="17" t="str">
        <f>VLOOKUP(RiskRegister[[#This Row],[Inherent Impact LevelL3:L1020D1007L3:L1019]],'Rating factors'!$F$4:$G$9,2,FALSE)</f>
        <v>--- Error ---</v>
      </c>
      <c r="N971" s="16" t="s">
        <v>79</v>
      </c>
      <c r="O971" s="17" t="str">
        <f>VLOOKUP(RiskRegister[[#This Row],[Inherent Likelihood Level]],'Rating factors'!$F$16:$G$21,2,FALSE)</f>
        <v>--- Error ---</v>
      </c>
      <c r="P971" s="17" t="str">
        <f>IFERROR(VLOOKUP(RiskRegister[[#This Row],[Inherent Risk Rating]],'Rating factors'!$F$30:$G$44,2,FALSE),"-- Error --")</f>
        <v>-- Error --</v>
      </c>
      <c r="Q971" s="17" t="str">
        <f>IFERROR(RiskRegister[[#This Row],[Inherent Impact Rating]]*RiskRegister[[#This Row],[Inherent Likelihood Rating]],"-- Error --")</f>
        <v>-- Error --</v>
      </c>
      <c r="R971" s="16" t="s">
        <v>98</v>
      </c>
      <c r="T971" s="16" t="s">
        <v>99</v>
      </c>
      <c r="U971" s="17" t="e" cm="1">
        <f t="array" aca="1" ref="U971" ca="1">+U971:Y1019VLOOKUP(RiskRegister[[#This Row],[Residual Impact Level]],'Rating factors'!$F$4:$G$9,2,FALSE)</f>
        <v>#NAME?</v>
      </c>
      <c r="V971" s="16" t="s">
        <v>79</v>
      </c>
      <c r="W971" s="17" t="str">
        <f>VLOOKUP(RiskRegister[[#This Row],[Residual Likelihood Level]],'Rating factors'!$F$16:$G$21,2,FALSE)</f>
        <v>--- Error ---</v>
      </c>
      <c r="X971" s="17" t="str">
        <f ca="1">IFERROR(VLOOKUP(RiskRegister[[#This Row],[Residual Risk Rating]],'Rating factors'!$F$30:$G$44,2,FALSE),"-- Error --")</f>
        <v>-- Error --</v>
      </c>
      <c r="Y971" s="17" t="str">
        <f ca="1">IFERROR(RiskRegister[[#This Row],[Residual Impact Rating]]*RiskRegister[[#This Row],[Residual Likelihood Rating]],"-- Error --")</f>
        <v>-- Error --</v>
      </c>
      <c r="Z971" s="16" t="s">
        <v>100</v>
      </c>
      <c r="AB971" s="39"/>
      <c r="AD971" s="20"/>
    </row>
    <row r="972" spans="1:30" s="16" customFormat="1" hidden="1" x14ac:dyDescent="0.25">
      <c r="A972" s="16">
        <v>969</v>
      </c>
      <c r="G972" s="16" t="s">
        <v>77</v>
      </c>
      <c r="I972" s="16" t="s">
        <v>75</v>
      </c>
      <c r="L972" s="105" t="s">
        <v>99</v>
      </c>
      <c r="M972" s="17" t="str">
        <f>VLOOKUP(RiskRegister[[#This Row],[Inherent Impact LevelL3:L1020D1007L3:L1019]],'Rating factors'!$F$4:$G$9,2,FALSE)</f>
        <v>--- Error ---</v>
      </c>
      <c r="N972" s="16" t="s">
        <v>79</v>
      </c>
      <c r="O972" s="17" t="str">
        <f>VLOOKUP(RiskRegister[[#This Row],[Inherent Likelihood Level]],'Rating factors'!$F$16:$G$21,2,FALSE)</f>
        <v>--- Error ---</v>
      </c>
      <c r="P972" s="17" t="str">
        <f>IFERROR(VLOOKUP(RiskRegister[[#This Row],[Inherent Risk Rating]],'Rating factors'!$F$30:$G$44,2,FALSE),"-- Error --")</f>
        <v>-- Error --</v>
      </c>
      <c r="Q972" s="17" t="str">
        <f>IFERROR(RiskRegister[[#This Row],[Inherent Impact Rating]]*RiskRegister[[#This Row],[Inherent Likelihood Rating]],"-- Error --")</f>
        <v>-- Error --</v>
      </c>
      <c r="R972" s="16" t="s">
        <v>98</v>
      </c>
      <c r="T972" s="16" t="s">
        <v>99</v>
      </c>
      <c r="U972" s="17" t="e" cm="1">
        <f t="array" aca="1" ref="U972" ca="1">+U972:Y1019VLOOKUP(RiskRegister[[#This Row],[Residual Impact Level]],'Rating factors'!$F$4:$G$9,2,FALSE)</f>
        <v>#NAME?</v>
      </c>
      <c r="V972" s="16" t="s">
        <v>79</v>
      </c>
      <c r="W972" s="17" t="str">
        <f>VLOOKUP(RiskRegister[[#This Row],[Residual Likelihood Level]],'Rating factors'!$F$16:$G$21,2,FALSE)</f>
        <v>--- Error ---</v>
      </c>
      <c r="X972" s="17" t="str">
        <f ca="1">IFERROR(VLOOKUP(RiskRegister[[#This Row],[Residual Risk Rating]],'Rating factors'!$F$30:$G$44,2,FALSE),"-- Error --")</f>
        <v>-- Error --</v>
      </c>
      <c r="Y972" s="17" t="str">
        <f ca="1">IFERROR(RiskRegister[[#This Row],[Residual Impact Rating]]*RiskRegister[[#This Row],[Residual Likelihood Rating]],"-- Error --")</f>
        <v>-- Error --</v>
      </c>
      <c r="Z972" s="16" t="s">
        <v>100</v>
      </c>
      <c r="AB972" s="39"/>
      <c r="AD972" s="20"/>
    </row>
    <row r="973" spans="1:30" s="16" customFormat="1" hidden="1" x14ac:dyDescent="0.25">
      <c r="A973" s="16">
        <v>970</v>
      </c>
      <c r="G973" s="16" t="s">
        <v>77</v>
      </c>
      <c r="I973" s="16" t="s">
        <v>75</v>
      </c>
      <c r="L973" s="105" t="s">
        <v>99</v>
      </c>
      <c r="M973" s="17" t="str">
        <f>VLOOKUP(RiskRegister[[#This Row],[Inherent Impact LevelL3:L1020D1007L3:L1019]],'Rating factors'!$F$4:$G$9,2,FALSE)</f>
        <v>--- Error ---</v>
      </c>
      <c r="N973" s="16" t="s">
        <v>79</v>
      </c>
      <c r="O973" s="17" t="str">
        <f>VLOOKUP(RiskRegister[[#This Row],[Inherent Likelihood Level]],'Rating factors'!$F$16:$G$21,2,FALSE)</f>
        <v>--- Error ---</v>
      </c>
      <c r="P973" s="17" t="str">
        <f>IFERROR(VLOOKUP(RiskRegister[[#This Row],[Inherent Risk Rating]],'Rating factors'!$F$30:$G$44,2,FALSE),"-- Error --")</f>
        <v>-- Error --</v>
      </c>
      <c r="Q973" s="17" t="str">
        <f>IFERROR(RiskRegister[[#This Row],[Inherent Impact Rating]]*RiskRegister[[#This Row],[Inherent Likelihood Rating]],"-- Error --")</f>
        <v>-- Error --</v>
      </c>
      <c r="R973" s="16" t="s">
        <v>98</v>
      </c>
      <c r="T973" s="16" t="s">
        <v>99</v>
      </c>
      <c r="U973" s="17" t="e" cm="1">
        <f t="array" aca="1" ref="U973" ca="1">+U973:Y1019VLOOKUP(RiskRegister[[#This Row],[Residual Impact Level]],'Rating factors'!$F$4:$G$9,2,FALSE)</f>
        <v>#NAME?</v>
      </c>
      <c r="V973" s="16" t="s">
        <v>79</v>
      </c>
      <c r="W973" s="17" t="str">
        <f>VLOOKUP(RiskRegister[[#This Row],[Residual Likelihood Level]],'Rating factors'!$F$16:$G$21,2,FALSE)</f>
        <v>--- Error ---</v>
      </c>
      <c r="X973" s="17" t="str">
        <f ca="1">IFERROR(VLOOKUP(RiskRegister[[#This Row],[Residual Risk Rating]],'Rating factors'!$F$30:$G$44,2,FALSE),"-- Error --")</f>
        <v>-- Error --</v>
      </c>
      <c r="Y973" s="17" t="str">
        <f ca="1">IFERROR(RiskRegister[[#This Row],[Residual Impact Rating]]*RiskRegister[[#This Row],[Residual Likelihood Rating]],"-- Error --")</f>
        <v>-- Error --</v>
      </c>
      <c r="Z973" s="16" t="s">
        <v>100</v>
      </c>
      <c r="AB973" s="39"/>
      <c r="AD973" s="20"/>
    </row>
    <row r="974" spans="1:30" s="16" customFormat="1" hidden="1" x14ac:dyDescent="0.25">
      <c r="A974" s="16">
        <v>971</v>
      </c>
      <c r="G974" s="16" t="s">
        <v>77</v>
      </c>
      <c r="I974" s="16" t="s">
        <v>75</v>
      </c>
      <c r="L974" s="105" t="s">
        <v>99</v>
      </c>
      <c r="M974" s="17" t="str">
        <f>VLOOKUP(RiskRegister[[#This Row],[Inherent Impact LevelL3:L1020D1007L3:L1019]],'Rating factors'!$F$4:$G$9,2,FALSE)</f>
        <v>--- Error ---</v>
      </c>
      <c r="N974" s="16" t="s">
        <v>79</v>
      </c>
      <c r="O974" s="17" t="str">
        <f>VLOOKUP(RiskRegister[[#This Row],[Inherent Likelihood Level]],'Rating factors'!$F$16:$G$21,2,FALSE)</f>
        <v>--- Error ---</v>
      </c>
      <c r="P974" s="17" t="str">
        <f>IFERROR(VLOOKUP(RiskRegister[[#This Row],[Inherent Risk Rating]],'Rating factors'!$F$30:$G$44,2,FALSE),"-- Error --")</f>
        <v>-- Error --</v>
      </c>
      <c r="Q974" s="17" t="str">
        <f>IFERROR(RiskRegister[[#This Row],[Inherent Impact Rating]]*RiskRegister[[#This Row],[Inherent Likelihood Rating]],"-- Error --")</f>
        <v>-- Error --</v>
      </c>
      <c r="R974" s="16" t="s">
        <v>98</v>
      </c>
      <c r="T974" s="16" t="s">
        <v>99</v>
      </c>
      <c r="U974" s="17" t="e" cm="1">
        <f t="array" aca="1" ref="U974" ca="1">+U974:Y1019VLOOKUP(RiskRegister[[#This Row],[Residual Impact Level]],'Rating factors'!$F$4:$G$9,2,FALSE)</f>
        <v>#NAME?</v>
      </c>
      <c r="V974" s="16" t="s">
        <v>79</v>
      </c>
      <c r="W974" s="17" t="str">
        <f>VLOOKUP(RiskRegister[[#This Row],[Residual Likelihood Level]],'Rating factors'!$F$16:$G$21,2,FALSE)</f>
        <v>--- Error ---</v>
      </c>
      <c r="X974" s="17" t="str">
        <f ca="1">IFERROR(VLOOKUP(RiskRegister[[#This Row],[Residual Risk Rating]],'Rating factors'!$F$30:$G$44,2,FALSE),"-- Error --")</f>
        <v>-- Error --</v>
      </c>
      <c r="Y974" s="17" t="str">
        <f ca="1">IFERROR(RiskRegister[[#This Row],[Residual Impact Rating]]*RiskRegister[[#This Row],[Residual Likelihood Rating]],"-- Error --")</f>
        <v>-- Error --</v>
      </c>
      <c r="Z974" s="16" t="s">
        <v>100</v>
      </c>
      <c r="AB974" s="39"/>
      <c r="AD974" s="20"/>
    </row>
    <row r="975" spans="1:30" s="16" customFormat="1" hidden="1" x14ac:dyDescent="0.25">
      <c r="A975" s="16">
        <v>972</v>
      </c>
      <c r="G975" s="16" t="s">
        <v>77</v>
      </c>
      <c r="I975" s="16" t="s">
        <v>75</v>
      </c>
      <c r="L975" s="105" t="s">
        <v>99</v>
      </c>
      <c r="M975" s="17" t="str">
        <f>VLOOKUP(RiskRegister[[#This Row],[Inherent Impact LevelL3:L1020D1007L3:L1019]],'Rating factors'!$F$4:$G$9,2,FALSE)</f>
        <v>--- Error ---</v>
      </c>
      <c r="N975" s="16" t="s">
        <v>79</v>
      </c>
      <c r="O975" s="17" t="str">
        <f>VLOOKUP(RiskRegister[[#This Row],[Inherent Likelihood Level]],'Rating factors'!$F$16:$G$21,2,FALSE)</f>
        <v>--- Error ---</v>
      </c>
      <c r="P975" s="17" t="str">
        <f>IFERROR(VLOOKUP(RiskRegister[[#This Row],[Inherent Risk Rating]],'Rating factors'!$F$30:$G$44,2,FALSE),"-- Error --")</f>
        <v>-- Error --</v>
      </c>
      <c r="Q975" s="17" t="str">
        <f>IFERROR(RiskRegister[[#This Row],[Inherent Impact Rating]]*RiskRegister[[#This Row],[Inherent Likelihood Rating]],"-- Error --")</f>
        <v>-- Error --</v>
      </c>
      <c r="R975" s="16" t="s">
        <v>98</v>
      </c>
      <c r="T975" s="16" t="s">
        <v>99</v>
      </c>
      <c r="U975" s="17" t="e" cm="1">
        <f t="array" aca="1" ref="U975" ca="1">+U975:Y1019VLOOKUP(RiskRegister[[#This Row],[Residual Impact Level]],'Rating factors'!$F$4:$G$9,2,FALSE)</f>
        <v>#NAME?</v>
      </c>
      <c r="V975" s="16" t="s">
        <v>79</v>
      </c>
      <c r="W975" s="17" t="str">
        <f>VLOOKUP(RiskRegister[[#This Row],[Residual Likelihood Level]],'Rating factors'!$F$16:$G$21,2,FALSE)</f>
        <v>--- Error ---</v>
      </c>
      <c r="X975" s="17" t="str">
        <f ca="1">IFERROR(VLOOKUP(RiskRegister[[#This Row],[Residual Risk Rating]],'Rating factors'!$F$30:$G$44,2,FALSE),"-- Error --")</f>
        <v>-- Error --</v>
      </c>
      <c r="Y975" s="17" t="str">
        <f ca="1">IFERROR(RiskRegister[[#This Row],[Residual Impact Rating]]*RiskRegister[[#This Row],[Residual Likelihood Rating]],"-- Error --")</f>
        <v>-- Error --</v>
      </c>
      <c r="Z975" s="16" t="s">
        <v>100</v>
      </c>
      <c r="AB975" s="39"/>
      <c r="AD975" s="20"/>
    </row>
    <row r="976" spans="1:30" s="16" customFormat="1" hidden="1" x14ac:dyDescent="0.25">
      <c r="A976" s="16">
        <v>973</v>
      </c>
      <c r="G976" s="16" t="s">
        <v>77</v>
      </c>
      <c r="I976" s="16" t="s">
        <v>75</v>
      </c>
      <c r="L976" s="105" t="s">
        <v>99</v>
      </c>
      <c r="M976" s="17" t="str">
        <f>VLOOKUP(RiskRegister[[#This Row],[Inherent Impact LevelL3:L1020D1007L3:L1019]],'Rating factors'!$F$4:$G$9,2,FALSE)</f>
        <v>--- Error ---</v>
      </c>
      <c r="N976" s="16" t="s">
        <v>79</v>
      </c>
      <c r="O976" s="17" t="str">
        <f>VLOOKUP(RiskRegister[[#This Row],[Inherent Likelihood Level]],'Rating factors'!$F$16:$G$21,2,FALSE)</f>
        <v>--- Error ---</v>
      </c>
      <c r="P976" s="17" t="str">
        <f>IFERROR(VLOOKUP(RiskRegister[[#This Row],[Inherent Risk Rating]],'Rating factors'!$F$30:$G$44,2,FALSE),"-- Error --")</f>
        <v>-- Error --</v>
      </c>
      <c r="Q976" s="17" t="str">
        <f>IFERROR(RiskRegister[[#This Row],[Inherent Impact Rating]]*RiskRegister[[#This Row],[Inherent Likelihood Rating]],"-- Error --")</f>
        <v>-- Error --</v>
      </c>
      <c r="R976" s="16" t="s">
        <v>98</v>
      </c>
      <c r="T976" s="16" t="s">
        <v>99</v>
      </c>
      <c r="U976" s="17" t="e" cm="1">
        <f t="array" aca="1" ref="U976" ca="1">+U976:Y1019VLOOKUP(RiskRegister[[#This Row],[Residual Impact Level]],'Rating factors'!$F$4:$G$9,2,FALSE)</f>
        <v>#NAME?</v>
      </c>
      <c r="V976" s="16" t="s">
        <v>79</v>
      </c>
      <c r="W976" s="17" t="str">
        <f>VLOOKUP(RiskRegister[[#This Row],[Residual Likelihood Level]],'Rating factors'!$F$16:$G$21,2,FALSE)</f>
        <v>--- Error ---</v>
      </c>
      <c r="X976" s="17" t="str">
        <f ca="1">IFERROR(VLOOKUP(RiskRegister[[#This Row],[Residual Risk Rating]],'Rating factors'!$F$30:$G$44,2,FALSE),"-- Error --")</f>
        <v>-- Error --</v>
      </c>
      <c r="Y976" s="17" t="str">
        <f ca="1">IFERROR(RiskRegister[[#This Row],[Residual Impact Rating]]*RiskRegister[[#This Row],[Residual Likelihood Rating]],"-- Error --")</f>
        <v>-- Error --</v>
      </c>
      <c r="Z976" s="16" t="s">
        <v>100</v>
      </c>
      <c r="AB976" s="39"/>
      <c r="AD976" s="20"/>
    </row>
    <row r="977" spans="1:30" s="16" customFormat="1" hidden="1" x14ac:dyDescent="0.25">
      <c r="A977" s="16">
        <v>974</v>
      </c>
      <c r="G977" s="16" t="s">
        <v>77</v>
      </c>
      <c r="I977" s="16" t="s">
        <v>75</v>
      </c>
      <c r="L977" s="105" t="s">
        <v>99</v>
      </c>
      <c r="M977" s="17" t="str">
        <f>VLOOKUP(RiskRegister[[#This Row],[Inherent Impact LevelL3:L1020D1007L3:L1019]],'Rating factors'!$F$4:$G$9,2,FALSE)</f>
        <v>--- Error ---</v>
      </c>
      <c r="N977" s="16" t="s">
        <v>79</v>
      </c>
      <c r="O977" s="17" t="str">
        <f>VLOOKUP(RiskRegister[[#This Row],[Inherent Likelihood Level]],'Rating factors'!$F$16:$G$21,2,FALSE)</f>
        <v>--- Error ---</v>
      </c>
      <c r="P977" s="17" t="str">
        <f>IFERROR(VLOOKUP(RiskRegister[[#This Row],[Inherent Risk Rating]],'Rating factors'!$F$30:$G$44,2,FALSE),"-- Error --")</f>
        <v>-- Error --</v>
      </c>
      <c r="Q977" s="17" t="str">
        <f>IFERROR(RiskRegister[[#This Row],[Inherent Impact Rating]]*RiskRegister[[#This Row],[Inherent Likelihood Rating]],"-- Error --")</f>
        <v>-- Error --</v>
      </c>
      <c r="R977" s="16" t="s">
        <v>98</v>
      </c>
      <c r="T977" s="16" t="s">
        <v>99</v>
      </c>
      <c r="U977" s="17" t="e" cm="1">
        <f t="array" aca="1" ref="U977" ca="1">+U977:Y1019VLOOKUP(RiskRegister[[#This Row],[Residual Impact Level]],'Rating factors'!$F$4:$G$9,2,FALSE)</f>
        <v>#NAME?</v>
      </c>
      <c r="V977" s="16" t="s">
        <v>79</v>
      </c>
      <c r="W977" s="17" t="str">
        <f>VLOOKUP(RiskRegister[[#This Row],[Residual Likelihood Level]],'Rating factors'!$F$16:$G$21,2,FALSE)</f>
        <v>--- Error ---</v>
      </c>
      <c r="X977" s="17" t="str">
        <f ca="1">IFERROR(VLOOKUP(RiskRegister[[#This Row],[Residual Risk Rating]],'Rating factors'!$F$30:$G$44,2,FALSE),"-- Error --")</f>
        <v>-- Error --</v>
      </c>
      <c r="Y977" s="17" t="str">
        <f ca="1">IFERROR(RiskRegister[[#This Row],[Residual Impact Rating]]*RiskRegister[[#This Row],[Residual Likelihood Rating]],"-- Error --")</f>
        <v>-- Error --</v>
      </c>
      <c r="Z977" s="16" t="s">
        <v>100</v>
      </c>
      <c r="AB977" s="39"/>
      <c r="AD977" s="20"/>
    </row>
    <row r="978" spans="1:30" s="16" customFormat="1" hidden="1" x14ac:dyDescent="0.25">
      <c r="A978" s="16">
        <v>975</v>
      </c>
      <c r="G978" s="16" t="s">
        <v>77</v>
      </c>
      <c r="I978" s="16" t="s">
        <v>75</v>
      </c>
      <c r="L978" s="105" t="s">
        <v>99</v>
      </c>
      <c r="M978" s="17" t="str">
        <f>VLOOKUP(RiskRegister[[#This Row],[Inherent Impact LevelL3:L1020D1007L3:L1019]],'Rating factors'!$F$4:$G$9,2,FALSE)</f>
        <v>--- Error ---</v>
      </c>
      <c r="N978" s="16" t="s">
        <v>79</v>
      </c>
      <c r="O978" s="17" t="str">
        <f>VLOOKUP(RiskRegister[[#This Row],[Inherent Likelihood Level]],'Rating factors'!$F$16:$G$21,2,FALSE)</f>
        <v>--- Error ---</v>
      </c>
      <c r="P978" s="17" t="str">
        <f>IFERROR(VLOOKUP(RiskRegister[[#This Row],[Inherent Risk Rating]],'Rating factors'!$F$30:$G$44,2,FALSE),"-- Error --")</f>
        <v>-- Error --</v>
      </c>
      <c r="Q978" s="17" t="str">
        <f>IFERROR(RiskRegister[[#This Row],[Inherent Impact Rating]]*RiskRegister[[#This Row],[Inherent Likelihood Rating]],"-- Error --")</f>
        <v>-- Error --</v>
      </c>
      <c r="R978" s="16" t="s">
        <v>98</v>
      </c>
      <c r="T978" s="16" t="s">
        <v>99</v>
      </c>
      <c r="U978" s="17" t="e" cm="1">
        <f t="array" aca="1" ref="U978" ca="1">+U978:Y1019VLOOKUP(RiskRegister[[#This Row],[Residual Impact Level]],'Rating factors'!$F$4:$G$9,2,FALSE)</f>
        <v>#NAME?</v>
      </c>
      <c r="V978" s="16" t="s">
        <v>79</v>
      </c>
      <c r="W978" s="17" t="str">
        <f>VLOOKUP(RiskRegister[[#This Row],[Residual Likelihood Level]],'Rating factors'!$F$16:$G$21,2,FALSE)</f>
        <v>--- Error ---</v>
      </c>
      <c r="X978" s="17" t="str">
        <f ca="1">IFERROR(VLOOKUP(RiskRegister[[#This Row],[Residual Risk Rating]],'Rating factors'!$F$30:$G$44,2,FALSE),"-- Error --")</f>
        <v>-- Error --</v>
      </c>
      <c r="Y978" s="17" t="str">
        <f ca="1">IFERROR(RiskRegister[[#This Row],[Residual Impact Rating]]*RiskRegister[[#This Row],[Residual Likelihood Rating]],"-- Error --")</f>
        <v>-- Error --</v>
      </c>
      <c r="Z978" s="16" t="s">
        <v>100</v>
      </c>
      <c r="AB978" s="39"/>
      <c r="AD978" s="20"/>
    </row>
    <row r="979" spans="1:30" s="16" customFormat="1" hidden="1" x14ac:dyDescent="0.25">
      <c r="A979" s="16">
        <v>976</v>
      </c>
      <c r="G979" s="16" t="s">
        <v>77</v>
      </c>
      <c r="I979" s="16" t="s">
        <v>75</v>
      </c>
      <c r="L979" s="105" t="s">
        <v>99</v>
      </c>
      <c r="M979" s="17" t="str">
        <f>VLOOKUP(RiskRegister[[#This Row],[Inherent Impact LevelL3:L1020D1007L3:L1019]],'Rating factors'!$F$4:$G$9,2,FALSE)</f>
        <v>--- Error ---</v>
      </c>
      <c r="N979" s="16" t="s">
        <v>79</v>
      </c>
      <c r="O979" s="17" t="str">
        <f>VLOOKUP(RiskRegister[[#This Row],[Inherent Likelihood Level]],'Rating factors'!$F$16:$G$21,2,FALSE)</f>
        <v>--- Error ---</v>
      </c>
      <c r="P979" s="17" t="str">
        <f>IFERROR(VLOOKUP(RiskRegister[[#This Row],[Inherent Risk Rating]],'Rating factors'!$F$30:$G$44,2,FALSE),"-- Error --")</f>
        <v>-- Error --</v>
      </c>
      <c r="Q979" s="17" t="str">
        <f>IFERROR(RiskRegister[[#This Row],[Inherent Impact Rating]]*RiskRegister[[#This Row],[Inherent Likelihood Rating]],"-- Error --")</f>
        <v>-- Error --</v>
      </c>
      <c r="R979" s="16" t="s">
        <v>98</v>
      </c>
      <c r="T979" s="16" t="s">
        <v>99</v>
      </c>
      <c r="U979" s="17" t="e" cm="1">
        <f t="array" aca="1" ref="U979" ca="1">+U979:Y1019VLOOKUP(RiskRegister[[#This Row],[Residual Impact Level]],'Rating factors'!$F$4:$G$9,2,FALSE)</f>
        <v>#NAME?</v>
      </c>
      <c r="V979" s="16" t="s">
        <v>79</v>
      </c>
      <c r="W979" s="17" t="str">
        <f>VLOOKUP(RiskRegister[[#This Row],[Residual Likelihood Level]],'Rating factors'!$F$16:$G$21,2,FALSE)</f>
        <v>--- Error ---</v>
      </c>
      <c r="X979" s="17" t="str">
        <f ca="1">IFERROR(VLOOKUP(RiskRegister[[#This Row],[Residual Risk Rating]],'Rating factors'!$F$30:$G$44,2,FALSE),"-- Error --")</f>
        <v>-- Error --</v>
      </c>
      <c r="Y979" s="17" t="str">
        <f ca="1">IFERROR(RiskRegister[[#This Row],[Residual Impact Rating]]*RiskRegister[[#This Row],[Residual Likelihood Rating]],"-- Error --")</f>
        <v>-- Error --</v>
      </c>
      <c r="Z979" s="16" t="s">
        <v>100</v>
      </c>
      <c r="AB979" s="39"/>
      <c r="AD979" s="20"/>
    </row>
    <row r="980" spans="1:30" s="16" customFormat="1" hidden="1" x14ac:dyDescent="0.25">
      <c r="A980" s="16">
        <v>977</v>
      </c>
      <c r="G980" s="16" t="s">
        <v>77</v>
      </c>
      <c r="I980" s="16" t="s">
        <v>75</v>
      </c>
      <c r="L980" s="105" t="s">
        <v>99</v>
      </c>
      <c r="M980" s="17" t="str">
        <f>VLOOKUP(RiskRegister[[#This Row],[Inherent Impact LevelL3:L1020D1007L3:L1019]],'Rating factors'!$F$4:$G$9,2,FALSE)</f>
        <v>--- Error ---</v>
      </c>
      <c r="N980" s="16" t="s">
        <v>79</v>
      </c>
      <c r="O980" s="17" t="str">
        <f>VLOOKUP(RiskRegister[[#This Row],[Inherent Likelihood Level]],'Rating factors'!$F$16:$G$21,2,FALSE)</f>
        <v>--- Error ---</v>
      </c>
      <c r="P980" s="17" t="str">
        <f>IFERROR(VLOOKUP(RiskRegister[[#This Row],[Inherent Risk Rating]],'Rating factors'!$F$30:$G$44,2,FALSE),"-- Error --")</f>
        <v>-- Error --</v>
      </c>
      <c r="Q980" s="17" t="str">
        <f>IFERROR(RiskRegister[[#This Row],[Inherent Impact Rating]]*RiskRegister[[#This Row],[Inherent Likelihood Rating]],"-- Error --")</f>
        <v>-- Error --</v>
      </c>
      <c r="R980" s="16" t="s">
        <v>98</v>
      </c>
      <c r="T980" s="16" t="s">
        <v>99</v>
      </c>
      <c r="U980" s="17" t="e" cm="1">
        <f t="array" aca="1" ref="U980" ca="1">+U980:Y1019VLOOKUP(RiskRegister[[#This Row],[Residual Impact Level]],'Rating factors'!$F$4:$G$9,2,FALSE)</f>
        <v>#NAME?</v>
      </c>
      <c r="V980" s="16" t="s">
        <v>79</v>
      </c>
      <c r="W980" s="17" t="str">
        <f>VLOOKUP(RiskRegister[[#This Row],[Residual Likelihood Level]],'Rating factors'!$F$16:$G$21,2,FALSE)</f>
        <v>--- Error ---</v>
      </c>
      <c r="X980" s="17" t="str">
        <f ca="1">IFERROR(VLOOKUP(RiskRegister[[#This Row],[Residual Risk Rating]],'Rating factors'!$F$30:$G$44,2,FALSE),"-- Error --")</f>
        <v>-- Error --</v>
      </c>
      <c r="Y980" s="17" t="str">
        <f ca="1">IFERROR(RiskRegister[[#This Row],[Residual Impact Rating]]*RiskRegister[[#This Row],[Residual Likelihood Rating]],"-- Error --")</f>
        <v>-- Error --</v>
      </c>
      <c r="Z980" s="16" t="s">
        <v>100</v>
      </c>
      <c r="AB980" s="39"/>
      <c r="AD980" s="20"/>
    </row>
    <row r="981" spans="1:30" s="16" customFormat="1" hidden="1" x14ac:dyDescent="0.25">
      <c r="A981" s="16">
        <v>978</v>
      </c>
      <c r="G981" s="16" t="s">
        <v>77</v>
      </c>
      <c r="I981" s="16" t="s">
        <v>75</v>
      </c>
      <c r="L981" s="105" t="s">
        <v>99</v>
      </c>
      <c r="M981" s="17" t="str">
        <f>VLOOKUP(RiskRegister[[#This Row],[Inherent Impact LevelL3:L1020D1007L3:L1019]],'Rating factors'!$F$4:$G$9,2,FALSE)</f>
        <v>--- Error ---</v>
      </c>
      <c r="N981" s="16" t="s">
        <v>79</v>
      </c>
      <c r="O981" s="17" t="str">
        <f>VLOOKUP(RiskRegister[[#This Row],[Inherent Likelihood Level]],'Rating factors'!$F$16:$G$21,2,FALSE)</f>
        <v>--- Error ---</v>
      </c>
      <c r="P981" s="17" t="str">
        <f>IFERROR(VLOOKUP(RiskRegister[[#This Row],[Inherent Risk Rating]],'Rating factors'!$F$30:$G$44,2,FALSE),"-- Error --")</f>
        <v>-- Error --</v>
      </c>
      <c r="Q981" s="17" t="str">
        <f>IFERROR(RiskRegister[[#This Row],[Inherent Impact Rating]]*RiskRegister[[#This Row],[Inherent Likelihood Rating]],"-- Error --")</f>
        <v>-- Error --</v>
      </c>
      <c r="R981" s="16" t="s">
        <v>98</v>
      </c>
      <c r="T981" s="16" t="s">
        <v>99</v>
      </c>
      <c r="U981" s="17" t="e" cm="1">
        <f t="array" aca="1" ref="U981" ca="1">+U981:Y1019VLOOKUP(RiskRegister[[#This Row],[Residual Impact Level]],'Rating factors'!$F$4:$G$9,2,FALSE)</f>
        <v>#NAME?</v>
      </c>
      <c r="V981" s="16" t="s">
        <v>79</v>
      </c>
      <c r="W981" s="17" t="str">
        <f>VLOOKUP(RiskRegister[[#This Row],[Residual Likelihood Level]],'Rating factors'!$F$16:$G$21,2,FALSE)</f>
        <v>--- Error ---</v>
      </c>
      <c r="X981" s="17" t="str">
        <f ca="1">IFERROR(VLOOKUP(RiskRegister[[#This Row],[Residual Risk Rating]],'Rating factors'!$F$30:$G$44,2,FALSE),"-- Error --")</f>
        <v>-- Error --</v>
      </c>
      <c r="Y981" s="17" t="str">
        <f ca="1">IFERROR(RiskRegister[[#This Row],[Residual Impact Rating]]*RiskRegister[[#This Row],[Residual Likelihood Rating]],"-- Error --")</f>
        <v>-- Error --</v>
      </c>
      <c r="Z981" s="16" t="s">
        <v>100</v>
      </c>
      <c r="AB981" s="39"/>
      <c r="AD981" s="20"/>
    </row>
    <row r="982" spans="1:30" s="16" customFormat="1" hidden="1" x14ac:dyDescent="0.25">
      <c r="A982" s="16">
        <v>979</v>
      </c>
      <c r="G982" s="16" t="s">
        <v>77</v>
      </c>
      <c r="I982" s="16" t="s">
        <v>75</v>
      </c>
      <c r="L982" s="105" t="s">
        <v>99</v>
      </c>
      <c r="M982" s="17" t="str">
        <f>VLOOKUP(RiskRegister[[#This Row],[Inherent Impact LevelL3:L1020D1007L3:L1019]],'Rating factors'!$F$4:$G$9,2,FALSE)</f>
        <v>--- Error ---</v>
      </c>
      <c r="N982" s="16" t="s">
        <v>79</v>
      </c>
      <c r="O982" s="17" t="str">
        <f>VLOOKUP(RiskRegister[[#This Row],[Inherent Likelihood Level]],'Rating factors'!$F$16:$G$21,2,FALSE)</f>
        <v>--- Error ---</v>
      </c>
      <c r="P982" s="17" t="str">
        <f>IFERROR(VLOOKUP(RiskRegister[[#This Row],[Inherent Risk Rating]],'Rating factors'!$F$30:$G$44,2,FALSE),"-- Error --")</f>
        <v>-- Error --</v>
      </c>
      <c r="Q982" s="17" t="str">
        <f>IFERROR(RiskRegister[[#This Row],[Inherent Impact Rating]]*RiskRegister[[#This Row],[Inherent Likelihood Rating]],"-- Error --")</f>
        <v>-- Error --</v>
      </c>
      <c r="R982" s="16" t="s">
        <v>98</v>
      </c>
      <c r="T982" s="16" t="s">
        <v>99</v>
      </c>
      <c r="U982" s="17" t="e" cm="1">
        <f t="array" aca="1" ref="U982" ca="1">+U982:Y1019VLOOKUP(RiskRegister[[#This Row],[Residual Impact Level]],'Rating factors'!$F$4:$G$9,2,FALSE)</f>
        <v>#NAME?</v>
      </c>
      <c r="V982" s="16" t="s">
        <v>79</v>
      </c>
      <c r="W982" s="17" t="str">
        <f>VLOOKUP(RiskRegister[[#This Row],[Residual Likelihood Level]],'Rating factors'!$F$16:$G$21,2,FALSE)</f>
        <v>--- Error ---</v>
      </c>
      <c r="X982" s="17" t="str">
        <f ca="1">IFERROR(VLOOKUP(RiskRegister[[#This Row],[Residual Risk Rating]],'Rating factors'!$F$30:$G$44,2,FALSE),"-- Error --")</f>
        <v>-- Error --</v>
      </c>
      <c r="Y982" s="17" t="str">
        <f ca="1">IFERROR(RiskRegister[[#This Row],[Residual Impact Rating]]*RiskRegister[[#This Row],[Residual Likelihood Rating]],"-- Error --")</f>
        <v>-- Error --</v>
      </c>
      <c r="Z982" s="16" t="s">
        <v>100</v>
      </c>
      <c r="AB982" s="39"/>
      <c r="AD982" s="20"/>
    </row>
    <row r="983" spans="1:30" s="16" customFormat="1" hidden="1" x14ac:dyDescent="0.25">
      <c r="A983" s="16">
        <v>980</v>
      </c>
      <c r="G983" s="16" t="s">
        <v>77</v>
      </c>
      <c r="I983" s="16" t="s">
        <v>75</v>
      </c>
      <c r="L983" s="105" t="s">
        <v>99</v>
      </c>
      <c r="M983" s="17" t="str">
        <f>VLOOKUP(RiskRegister[[#This Row],[Inherent Impact LevelL3:L1020D1007L3:L1019]],'Rating factors'!$F$4:$G$9,2,FALSE)</f>
        <v>--- Error ---</v>
      </c>
      <c r="N983" s="16" t="s">
        <v>79</v>
      </c>
      <c r="O983" s="17" t="str">
        <f>VLOOKUP(RiskRegister[[#This Row],[Inherent Likelihood Level]],'Rating factors'!$F$16:$G$21,2,FALSE)</f>
        <v>--- Error ---</v>
      </c>
      <c r="P983" s="17" t="str">
        <f>IFERROR(VLOOKUP(RiskRegister[[#This Row],[Inherent Risk Rating]],'Rating factors'!$F$30:$G$44,2,FALSE),"-- Error --")</f>
        <v>-- Error --</v>
      </c>
      <c r="Q983" s="17" t="str">
        <f>IFERROR(RiskRegister[[#This Row],[Inherent Impact Rating]]*RiskRegister[[#This Row],[Inherent Likelihood Rating]],"-- Error --")</f>
        <v>-- Error --</v>
      </c>
      <c r="R983" s="16" t="s">
        <v>98</v>
      </c>
      <c r="T983" s="16" t="s">
        <v>99</v>
      </c>
      <c r="U983" s="17" t="e" cm="1">
        <f t="array" aca="1" ref="U983" ca="1">+U983:Y1019VLOOKUP(RiskRegister[[#This Row],[Residual Impact Level]],'Rating factors'!$F$4:$G$9,2,FALSE)</f>
        <v>#NAME?</v>
      </c>
      <c r="V983" s="16" t="s">
        <v>79</v>
      </c>
      <c r="W983" s="17" t="str">
        <f>VLOOKUP(RiskRegister[[#This Row],[Residual Likelihood Level]],'Rating factors'!$F$16:$G$21,2,FALSE)</f>
        <v>--- Error ---</v>
      </c>
      <c r="X983" s="17" t="str">
        <f ca="1">IFERROR(VLOOKUP(RiskRegister[[#This Row],[Residual Risk Rating]],'Rating factors'!$F$30:$G$44,2,FALSE),"-- Error --")</f>
        <v>-- Error --</v>
      </c>
      <c r="Y983" s="17" t="str">
        <f ca="1">IFERROR(RiskRegister[[#This Row],[Residual Impact Rating]]*RiskRegister[[#This Row],[Residual Likelihood Rating]],"-- Error --")</f>
        <v>-- Error --</v>
      </c>
      <c r="Z983" s="16" t="s">
        <v>100</v>
      </c>
      <c r="AB983" s="39"/>
      <c r="AD983" s="20"/>
    </row>
    <row r="984" spans="1:30" s="16" customFormat="1" hidden="1" x14ac:dyDescent="0.25">
      <c r="A984" s="16">
        <v>981</v>
      </c>
      <c r="G984" s="16" t="s">
        <v>77</v>
      </c>
      <c r="I984" s="16" t="s">
        <v>75</v>
      </c>
      <c r="L984" s="105" t="s">
        <v>99</v>
      </c>
      <c r="M984" s="17" t="str">
        <f>VLOOKUP(RiskRegister[[#This Row],[Inherent Impact LevelL3:L1020D1007L3:L1019]],'Rating factors'!$F$4:$G$9,2,FALSE)</f>
        <v>--- Error ---</v>
      </c>
      <c r="N984" s="16" t="s">
        <v>79</v>
      </c>
      <c r="O984" s="17" t="str">
        <f>VLOOKUP(RiskRegister[[#This Row],[Inherent Likelihood Level]],'Rating factors'!$F$16:$G$21,2,FALSE)</f>
        <v>--- Error ---</v>
      </c>
      <c r="P984" s="17" t="str">
        <f>IFERROR(VLOOKUP(RiskRegister[[#This Row],[Inherent Risk Rating]],'Rating factors'!$F$30:$G$44,2,FALSE),"-- Error --")</f>
        <v>-- Error --</v>
      </c>
      <c r="Q984" s="17" t="str">
        <f>IFERROR(RiskRegister[[#This Row],[Inherent Impact Rating]]*RiskRegister[[#This Row],[Inherent Likelihood Rating]],"-- Error --")</f>
        <v>-- Error --</v>
      </c>
      <c r="R984" s="16" t="s">
        <v>98</v>
      </c>
      <c r="T984" s="16" t="s">
        <v>99</v>
      </c>
      <c r="U984" s="17" t="e" cm="1">
        <f t="array" aca="1" ref="U984" ca="1">+U984:Y1019VLOOKUP(RiskRegister[[#This Row],[Residual Impact Level]],'Rating factors'!$F$4:$G$9,2,FALSE)</f>
        <v>#NAME?</v>
      </c>
      <c r="V984" s="16" t="s">
        <v>79</v>
      </c>
      <c r="W984" s="17" t="str">
        <f>VLOOKUP(RiskRegister[[#This Row],[Residual Likelihood Level]],'Rating factors'!$F$16:$G$21,2,FALSE)</f>
        <v>--- Error ---</v>
      </c>
      <c r="X984" s="17" t="str">
        <f ca="1">IFERROR(VLOOKUP(RiskRegister[[#This Row],[Residual Risk Rating]],'Rating factors'!$F$30:$G$44,2,FALSE),"-- Error --")</f>
        <v>-- Error --</v>
      </c>
      <c r="Y984" s="17" t="str">
        <f ca="1">IFERROR(RiskRegister[[#This Row],[Residual Impact Rating]]*RiskRegister[[#This Row],[Residual Likelihood Rating]],"-- Error --")</f>
        <v>-- Error --</v>
      </c>
      <c r="Z984" s="16" t="s">
        <v>100</v>
      </c>
      <c r="AB984" s="39"/>
      <c r="AD984" s="20"/>
    </row>
    <row r="985" spans="1:30" s="16" customFormat="1" hidden="1" x14ac:dyDescent="0.25">
      <c r="A985" s="16">
        <v>982</v>
      </c>
      <c r="G985" s="16" t="s">
        <v>77</v>
      </c>
      <c r="I985" s="16" t="s">
        <v>75</v>
      </c>
      <c r="L985" s="105" t="s">
        <v>99</v>
      </c>
      <c r="M985" s="17" t="str">
        <f>VLOOKUP(RiskRegister[[#This Row],[Inherent Impact LevelL3:L1020D1007L3:L1019]],'Rating factors'!$F$4:$G$9,2,FALSE)</f>
        <v>--- Error ---</v>
      </c>
      <c r="N985" s="16" t="s">
        <v>79</v>
      </c>
      <c r="O985" s="17" t="str">
        <f>VLOOKUP(RiskRegister[[#This Row],[Inherent Likelihood Level]],'Rating factors'!$F$16:$G$21,2,FALSE)</f>
        <v>--- Error ---</v>
      </c>
      <c r="P985" s="17" t="str">
        <f>IFERROR(VLOOKUP(RiskRegister[[#This Row],[Inherent Risk Rating]],'Rating factors'!$F$30:$G$44,2,FALSE),"-- Error --")</f>
        <v>-- Error --</v>
      </c>
      <c r="Q985" s="17" t="str">
        <f>IFERROR(RiskRegister[[#This Row],[Inherent Impact Rating]]*RiskRegister[[#This Row],[Inherent Likelihood Rating]],"-- Error --")</f>
        <v>-- Error --</v>
      </c>
      <c r="R985" s="16" t="s">
        <v>98</v>
      </c>
      <c r="T985" s="16" t="s">
        <v>99</v>
      </c>
      <c r="U985" s="17" t="e" cm="1">
        <f t="array" aca="1" ref="U985" ca="1">+U985:Y1019VLOOKUP(RiskRegister[[#This Row],[Residual Impact Level]],'Rating factors'!$F$4:$G$9,2,FALSE)</f>
        <v>#NAME?</v>
      </c>
      <c r="V985" s="16" t="s">
        <v>79</v>
      </c>
      <c r="W985" s="17" t="str">
        <f>VLOOKUP(RiskRegister[[#This Row],[Residual Likelihood Level]],'Rating factors'!$F$16:$G$21,2,FALSE)</f>
        <v>--- Error ---</v>
      </c>
      <c r="X985" s="17" t="str">
        <f ca="1">IFERROR(VLOOKUP(RiskRegister[[#This Row],[Residual Risk Rating]],'Rating factors'!$F$30:$G$44,2,FALSE),"-- Error --")</f>
        <v>-- Error --</v>
      </c>
      <c r="Y985" s="17" t="str">
        <f ca="1">IFERROR(RiskRegister[[#This Row],[Residual Impact Rating]]*RiskRegister[[#This Row],[Residual Likelihood Rating]],"-- Error --")</f>
        <v>-- Error --</v>
      </c>
      <c r="Z985" s="16" t="s">
        <v>100</v>
      </c>
      <c r="AB985" s="39"/>
      <c r="AD985" s="20"/>
    </row>
    <row r="986" spans="1:30" s="16" customFormat="1" hidden="1" x14ac:dyDescent="0.25">
      <c r="A986" s="16">
        <v>983</v>
      </c>
      <c r="G986" s="16" t="s">
        <v>77</v>
      </c>
      <c r="I986" s="16" t="s">
        <v>75</v>
      </c>
      <c r="L986" s="105" t="s">
        <v>99</v>
      </c>
      <c r="M986" s="17" t="str">
        <f>VLOOKUP(RiskRegister[[#This Row],[Inherent Impact LevelL3:L1020D1007L3:L1019]],'Rating factors'!$F$4:$G$9,2,FALSE)</f>
        <v>--- Error ---</v>
      </c>
      <c r="N986" s="16" t="s">
        <v>79</v>
      </c>
      <c r="O986" s="17" t="str">
        <f>VLOOKUP(RiskRegister[[#This Row],[Inherent Likelihood Level]],'Rating factors'!$F$16:$G$21,2,FALSE)</f>
        <v>--- Error ---</v>
      </c>
      <c r="P986" s="17" t="str">
        <f>IFERROR(VLOOKUP(RiskRegister[[#This Row],[Inherent Risk Rating]],'Rating factors'!$F$30:$G$44,2,FALSE),"-- Error --")</f>
        <v>-- Error --</v>
      </c>
      <c r="Q986" s="17" t="str">
        <f>IFERROR(RiskRegister[[#This Row],[Inherent Impact Rating]]*RiskRegister[[#This Row],[Inherent Likelihood Rating]],"-- Error --")</f>
        <v>-- Error --</v>
      </c>
      <c r="R986" s="16" t="s">
        <v>98</v>
      </c>
      <c r="T986" s="16" t="s">
        <v>99</v>
      </c>
      <c r="U986" s="17" t="e" cm="1">
        <f t="array" aca="1" ref="U986" ca="1">+U986:Y1019VLOOKUP(RiskRegister[[#This Row],[Residual Impact Level]],'Rating factors'!$F$4:$G$9,2,FALSE)</f>
        <v>#NAME?</v>
      </c>
      <c r="V986" s="16" t="s">
        <v>79</v>
      </c>
      <c r="W986" s="17" t="str">
        <f>VLOOKUP(RiskRegister[[#This Row],[Residual Likelihood Level]],'Rating factors'!$F$16:$G$21,2,FALSE)</f>
        <v>--- Error ---</v>
      </c>
      <c r="X986" s="17" t="str">
        <f ca="1">IFERROR(VLOOKUP(RiskRegister[[#This Row],[Residual Risk Rating]],'Rating factors'!$F$30:$G$44,2,FALSE),"-- Error --")</f>
        <v>-- Error --</v>
      </c>
      <c r="Y986" s="17" t="str">
        <f ca="1">IFERROR(RiskRegister[[#This Row],[Residual Impact Rating]]*RiskRegister[[#This Row],[Residual Likelihood Rating]],"-- Error --")</f>
        <v>-- Error --</v>
      </c>
      <c r="Z986" s="16" t="s">
        <v>100</v>
      </c>
      <c r="AB986" s="39"/>
      <c r="AD986" s="20"/>
    </row>
    <row r="987" spans="1:30" s="16" customFormat="1" hidden="1" x14ac:dyDescent="0.25">
      <c r="A987" s="16">
        <v>984</v>
      </c>
      <c r="G987" s="16" t="s">
        <v>77</v>
      </c>
      <c r="I987" s="16" t="s">
        <v>75</v>
      </c>
      <c r="L987" s="105" t="s">
        <v>99</v>
      </c>
      <c r="M987" s="17" t="str">
        <f>VLOOKUP(RiskRegister[[#This Row],[Inherent Impact LevelL3:L1020D1007L3:L1019]],'Rating factors'!$F$4:$G$9,2,FALSE)</f>
        <v>--- Error ---</v>
      </c>
      <c r="N987" s="16" t="s">
        <v>79</v>
      </c>
      <c r="O987" s="17" t="str">
        <f>VLOOKUP(RiskRegister[[#This Row],[Inherent Likelihood Level]],'Rating factors'!$F$16:$G$21,2,FALSE)</f>
        <v>--- Error ---</v>
      </c>
      <c r="P987" s="17" t="str">
        <f>IFERROR(VLOOKUP(RiskRegister[[#This Row],[Inherent Risk Rating]],'Rating factors'!$F$30:$G$44,2,FALSE),"-- Error --")</f>
        <v>-- Error --</v>
      </c>
      <c r="Q987" s="17" t="str">
        <f>IFERROR(RiskRegister[[#This Row],[Inherent Impact Rating]]*RiskRegister[[#This Row],[Inherent Likelihood Rating]],"-- Error --")</f>
        <v>-- Error --</v>
      </c>
      <c r="R987" s="16" t="s">
        <v>98</v>
      </c>
      <c r="T987" s="16" t="s">
        <v>99</v>
      </c>
      <c r="U987" s="17" t="e" cm="1">
        <f t="array" aca="1" ref="U987" ca="1">+U987:Y1019VLOOKUP(RiskRegister[[#This Row],[Residual Impact Level]],'Rating factors'!$F$4:$G$9,2,FALSE)</f>
        <v>#NAME?</v>
      </c>
      <c r="V987" s="16" t="s">
        <v>79</v>
      </c>
      <c r="W987" s="17" t="str">
        <f>VLOOKUP(RiskRegister[[#This Row],[Residual Likelihood Level]],'Rating factors'!$F$16:$G$21,2,FALSE)</f>
        <v>--- Error ---</v>
      </c>
      <c r="X987" s="17" t="str">
        <f ca="1">IFERROR(VLOOKUP(RiskRegister[[#This Row],[Residual Risk Rating]],'Rating factors'!$F$30:$G$44,2,FALSE),"-- Error --")</f>
        <v>-- Error --</v>
      </c>
      <c r="Y987" s="17" t="str">
        <f ca="1">IFERROR(RiskRegister[[#This Row],[Residual Impact Rating]]*RiskRegister[[#This Row],[Residual Likelihood Rating]],"-- Error --")</f>
        <v>-- Error --</v>
      </c>
      <c r="Z987" s="16" t="s">
        <v>100</v>
      </c>
      <c r="AB987" s="39"/>
      <c r="AD987" s="20"/>
    </row>
    <row r="988" spans="1:30" s="16" customFormat="1" hidden="1" x14ac:dyDescent="0.25">
      <c r="A988" s="16">
        <v>985</v>
      </c>
      <c r="G988" s="16" t="s">
        <v>77</v>
      </c>
      <c r="I988" s="16" t="s">
        <v>75</v>
      </c>
      <c r="L988" s="105" t="s">
        <v>99</v>
      </c>
      <c r="M988" s="17" t="str">
        <f>VLOOKUP(RiskRegister[[#This Row],[Inherent Impact LevelL3:L1020D1007L3:L1019]],'Rating factors'!$F$4:$G$9,2,FALSE)</f>
        <v>--- Error ---</v>
      </c>
      <c r="N988" s="16" t="s">
        <v>79</v>
      </c>
      <c r="O988" s="17" t="str">
        <f>VLOOKUP(RiskRegister[[#This Row],[Inherent Likelihood Level]],'Rating factors'!$F$16:$G$21,2,FALSE)</f>
        <v>--- Error ---</v>
      </c>
      <c r="P988" s="17" t="str">
        <f>IFERROR(VLOOKUP(RiskRegister[[#This Row],[Inherent Risk Rating]],'Rating factors'!$F$30:$G$44,2,FALSE),"-- Error --")</f>
        <v>-- Error --</v>
      </c>
      <c r="Q988" s="17" t="str">
        <f>IFERROR(RiskRegister[[#This Row],[Inherent Impact Rating]]*RiskRegister[[#This Row],[Inherent Likelihood Rating]],"-- Error --")</f>
        <v>-- Error --</v>
      </c>
      <c r="R988" s="16" t="s">
        <v>98</v>
      </c>
      <c r="T988" s="16" t="s">
        <v>99</v>
      </c>
      <c r="U988" s="17" t="e" cm="1">
        <f t="array" aca="1" ref="U988" ca="1">+U988:Y1019VLOOKUP(RiskRegister[[#This Row],[Residual Impact Level]],'Rating factors'!$F$4:$G$9,2,FALSE)</f>
        <v>#NAME?</v>
      </c>
      <c r="V988" s="16" t="s">
        <v>79</v>
      </c>
      <c r="W988" s="17" t="str">
        <f>VLOOKUP(RiskRegister[[#This Row],[Residual Likelihood Level]],'Rating factors'!$F$16:$G$21,2,FALSE)</f>
        <v>--- Error ---</v>
      </c>
      <c r="X988" s="17" t="str">
        <f ca="1">IFERROR(VLOOKUP(RiskRegister[[#This Row],[Residual Risk Rating]],'Rating factors'!$F$30:$G$44,2,FALSE),"-- Error --")</f>
        <v>-- Error --</v>
      </c>
      <c r="Y988" s="17" t="str">
        <f ca="1">IFERROR(RiskRegister[[#This Row],[Residual Impact Rating]]*RiskRegister[[#This Row],[Residual Likelihood Rating]],"-- Error --")</f>
        <v>-- Error --</v>
      </c>
      <c r="Z988" s="16" t="s">
        <v>100</v>
      </c>
      <c r="AB988" s="39"/>
      <c r="AD988" s="20"/>
    </row>
    <row r="989" spans="1:30" s="16" customFormat="1" hidden="1" x14ac:dyDescent="0.25">
      <c r="A989" s="16">
        <v>986</v>
      </c>
      <c r="G989" s="16" t="s">
        <v>77</v>
      </c>
      <c r="I989" s="16" t="s">
        <v>75</v>
      </c>
      <c r="L989" s="105" t="s">
        <v>99</v>
      </c>
      <c r="M989" s="17" t="str">
        <f>VLOOKUP(RiskRegister[[#This Row],[Inherent Impact LevelL3:L1020D1007L3:L1019]],'Rating factors'!$F$4:$G$9,2,FALSE)</f>
        <v>--- Error ---</v>
      </c>
      <c r="N989" s="16" t="s">
        <v>79</v>
      </c>
      <c r="O989" s="17" t="str">
        <f>VLOOKUP(RiskRegister[[#This Row],[Inherent Likelihood Level]],'Rating factors'!$F$16:$G$21,2,FALSE)</f>
        <v>--- Error ---</v>
      </c>
      <c r="P989" s="17" t="str">
        <f>IFERROR(VLOOKUP(RiskRegister[[#This Row],[Inherent Risk Rating]],'Rating factors'!$F$30:$G$44,2,FALSE),"-- Error --")</f>
        <v>-- Error --</v>
      </c>
      <c r="Q989" s="17" t="str">
        <f>IFERROR(RiskRegister[[#This Row],[Inherent Impact Rating]]*RiskRegister[[#This Row],[Inherent Likelihood Rating]],"-- Error --")</f>
        <v>-- Error --</v>
      </c>
      <c r="R989" s="16" t="s">
        <v>98</v>
      </c>
      <c r="T989" s="16" t="s">
        <v>99</v>
      </c>
      <c r="U989" s="17" t="e" cm="1">
        <f t="array" aca="1" ref="U989" ca="1">+U989:Y1019VLOOKUP(RiskRegister[[#This Row],[Residual Impact Level]],'Rating factors'!$F$4:$G$9,2,FALSE)</f>
        <v>#NAME?</v>
      </c>
      <c r="V989" s="16" t="s">
        <v>79</v>
      </c>
      <c r="W989" s="17" t="str">
        <f>VLOOKUP(RiskRegister[[#This Row],[Residual Likelihood Level]],'Rating factors'!$F$16:$G$21,2,FALSE)</f>
        <v>--- Error ---</v>
      </c>
      <c r="X989" s="17" t="str">
        <f ca="1">IFERROR(VLOOKUP(RiskRegister[[#This Row],[Residual Risk Rating]],'Rating factors'!$F$30:$G$44,2,FALSE),"-- Error --")</f>
        <v>-- Error --</v>
      </c>
      <c r="Y989" s="17" t="str">
        <f ca="1">IFERROR(RiskRegister[[#This Row],[Residual Impact Rating]]*RiskRegister[[#This Row],[Residual Likelihood Rating]],"-- Error --")</f>
        <v>-- Error --</v>
      </c>
      <c r="Z989" s="16" t="s">
        <v>100</v>
      </c>
      <c r="AB989" s="39"/>
      <c r="AD989" s="20"/>
    </row>
    <row r="990" spans="1:30" s="16" customFormat="1" hidden="1" x14ac:dyDescent="0.25">
      <c r="A990" s="16">
        <v>987</v>
      </c>
      <c r="G990" s="16" t="s">
        <v>77</v>
      </c>
      <c r="I990" s="16" t="s">
        <v>75</v>
      </c>
      <c r="L990" s="105" t="s">
        <v>99</v>
      </c>
      <c r="M990" s="17" t="str">
        <f>VLOOKUP(RiskRegister[[#This Row],[Inherent Impact LevelL3:L1020D1007L3:L1019]],'Rating factors'!$F$4:$G$9,2,FALSE)</f>
        <v>--- Error ---</v>
      </c>
      <c r="N990" s="16" t="s">
        <v>79</v>
      </c>
      <c r="O990" s="17" t="str">
        <f>VLOOKUP(RiskRegister[[#This Row],[Inherent Likelihood Level]],'Rating factors'!$F$16:$G$21,2,FALSE)</f>
        <v>--- Error ---</v>
      </c>
      <c r="P990" s="17" t="str">
        <f>IFERROR(VLOOKUP(RiskRegister[[#This Row],[Inherent Risk Rating]],'Rating factors'!$F$30:$G$44,2,FALSE),"-- Error --")</f>
        <v>-- Error --</v>
      </c>
      <c r="Q990" s="17" t="str">
        <f>IFERROR(RiskRegister[[#This Row],[Inherent Impact Rating]]*RiskRegister[[#This Row],[Inherent Likelihood Rating]],"-- Error --")</f>
        <v>-- Error --</v>
      </c>
      <c r="R990" s="16" t="s">
        <v>98</v>
      </c>
      <c r="T990" s="16" t="s">
        <v>99</v>
      </c>
      <c r="U990" s="17" t="e" cm="1">
        <f t="array" aca="1" ref="U990" ca="1">+U990:Y1019VLOOKUP(RiskRegister[[#This Row],[Residual Impact Level]],'Rating factors'!$F$4:$G$9,2,FALSE)</f>
        <v>#NAME?</v>
      </c>
      <c r="V990" s="16" t="s">
        <v>79</v>
      </c>
      <c r="W990" s="17" t="str">
        <f>VLOOKUP(RiskRegister[[#This Row],[Residual Likelihood Level]],'Rating factors'!$F$16:$G$21,2,FALSE)</f>
        <v>--- Error ---</v>
      </c>
      <c r="X990" s="17" t="str">
        <f ca="1">IFERROR(VLOOKUP(RiskRegister[[#This Row],[Residual Risk Rating]],'Rating factors'!$F$30:$G$44,2,FALSE),"-- Error --")</f>
        <v>-- Error --</v>
      </c>
      <c r="Y990" s="17" t="str">
        <f ca="1">IFERROR(RiskRegister[[#This Row],[Residual Impact Rating]]*RiskRegister[[#This Row],[Residual Likelihood Rating]],"-- Error --")</f>
        <v>-- Error --</v>
      </c>
      <c r="Z990" s="16" t="s">
        <v>100</v>
      </c>
      <c r="AB990" s="39"/>
      <c r="AD990" s="20"/>
    </row>
    <row r="991" spans="1:30" s="16" customFormat="1" hidden="1" x14ac:dyDescent="0.25">
      <c r="A991" s="16">
        <v>988</v>
      </c>
      <c r="G991" s="16" t="s">
        <v>77</v>
      </c>
      <c r="I991" s="16" t="s">
        <v>75</v>
      </c>
      <c r="L991" s="105" t="s">
        <v>99</v>
      </c>
      <c r="M991" s="17" t="str">
        <f>VLOOKUP(RiskRegister[[#This Row],[Inherent Impact LevelL3:L1020D1007L3:L1019]],'Rating factors'!$F$4:$G$9,2,FALSE)</f>
        <v>--- Error ---</v>
      </c>
      <c r="N991" s="16" t="s">
        <v>79</v>
      </c>
      <c r="O991" s="17" t="str">
        <f>VLOOKUP(RiskRegister[[#This Row],[Inherent Likelihood Level]],'Rating factors'!$F$16:$G$21,2,FALSE)</f>
        <v>--- Error ---</v>
      </c>
      <c r="P991" s="17" t="str">
        <f>IFERROR(VLOOKUP(RiskRegister[[#This Row],[Inherent Risk Rating]],'Rating factors'!$F$30:$G$44,2,FALSE),"-- Error --")</f>
        <v>-- Error --</v>
      </c>
      <c r="Q991" s="17" t="str">
        <f>IFERROR(RiskRegister[[#This Row],[Inherent Impact Rating]]*RiskRegister[[#This Row],[Inherent Likelihood Rating]],"-- Error --")</f>
        <v>-- Error --</v>
      </c>
      <c r="R991" s="16" t="s">
        <v>98</v>
      </c>
      <c r="T991" s="16" t="s">
        <v>99</v>
      </c>
      <c r="U991" s="17" t="e" cm="1">
        <f t="array" aca="1" ref="U991" ca="1">+U991:Y1019VLOOKUP(RiskRegister[[#This Row],[Residual Impact Level]],'Rating factors'!$F$4:$G$9,2,FALSE)</f>
        <v>#NAME?</v>
      </c>
      <c r="V991" s="16" t="s">
        <v>79</v>
      </c>
      <c r="W991" s="17" t="str">
        <f>VLOOKUP(RiskRegister[[#This Row],[Residual Likelihood Level]],'Rating factors'!$F$16:$G$21,2,FALSE)</f>
        <v>--- Error ---</v>
      </c>
      <c r="X991" s="17" t="str">
        <f ca="1">IFERROR(VLOOKUP(RiskRegister[[#This Row],[Residual Risk Rating]],'Rating factors'!$F$30:$G$44,2,FALSE),"-- Error --")</f>
        <v>-- Error --</v>
      </c>
      <c r="Y991" s="17" t="str">
        <f ca="1">IFERROR(RiskRegister[[#This Row],[Residual Impact Rating]]*RiskRegister[[#This Row],[Residual Likelihood Rating]],"-- Error --")</f>
        <v>-- Error --</v>
      </c>
      <c r="Z991" s="16" t="s">
        <v>100</v>
      </c>
      <c r="AB991" s="39"/>
      <c r="AD991" s="20"/>
    </row>
    <row r="992" spans="1:30" s="16" customFormat="1" hidden="1" x14ac:dyDescent="0.25">
      <c r="A992" s="16">
        <v>989</v>
      </c>
      <c r="G992" s="16" t="s">
        <v>77</v>
      </c>
      <c r="I992" s="16" t="s">
        <v>75</v>
      </c>
      <c r="L992" s="105" t="s">
        <v>99</v>
      </c>
      <c r="M992" s="17" t="str">
        <f>VLOOKUP(RiskRegister[[#This Row],[Inherent Impact LevelL3:L1020D1007L3:L1019]],'Rating factors'!$F$4:$G$9,2,FALSE)</f>
        <v>--- Error ---</v>
      </c>
      <c r="N992" s="16" t="s">
        <v>79</v>
      </c>
      <c r="O992" s="17" t="str">
        <f>VLOOKUP(RiskRegister[[#This Row],[Inherent Likelihood Level]],'Rating factors'!$F$16:$G$21,2,FALSE)</f>
        <v>--- Error ---</v>
      </c>
      <c r="P992" s="17" t="str">
        <f>IFERROR(VLOOKUP(RiskRegister[[#This Row],[Inherent Risk Rating]],'Rating factors'!$F$30:$G$44,2,FALSE),"-- Error --")</f>
        <v>-- Error --</v>
      </c>
      <c r="Q992" s="17" t="str">
        <f>IFERROR(RiskRegister[[#This Row],[Inherent Impact Rating]]*RiskRegister[[#This Row],[Inherent Likelihood Rating]],"-- Error --")</f>
        <v>-- Error --</v>
      </c>
      <c r="R992" s="16" t="s">
        <v>98</v>
      </c>
      <c r="T992" s="16" t="s">
        <v>99</v>
      </c>
      <c r="U992" s="17" t="e" cm="1">
        <f t="array" aca="1" ref="U992" ca="1">+U992:Y1019VLOOKUP(RiskRegister[[#This Row],[Residual Impact Level]],'Rating factors'!$F$4:$G$9,2,FALSE)</f>
        <v>#NAME?</v>
      </c>
      <c r="V992" s="16" t="s">
        <v>79</v>
      </c>
      <c r="W992" s="17" t="str">
        <f>VLOOKUP(RiskRegister[[#This Row],[Residual Likelihood Level]],'Rating factors'!$F$16:$G$21,2,FALSE)</f>
        <v>--- Error ---</v>
      </c>
      <c r="X992" s="17" t="str">
        <f ca="1">IFERROR(VLOOKUP(RiskRegister[[#This Row],[Residual Risk Rating]],'Rating factors'!$F$30:$G$44,2,FALSE),"-- Error --")</f>
        <v>-- Error --</v>
      </c>
      <c r="Y992" s="17" t="str">
        <f ca="1">IFERROR(RiskRegister[[#This Row],[Residual Impact Rating]]*RiskRegister[[#This Row],[Residual Likelihood Rating]],"-- Error --")</f>
        <v>-- Error --</v>
      </c>
      <c r="Z992" s="16" t="s">
        <v>100</v>
      </c>
      <c r="AB992" s="39"/>
      <c r="AD992" s="20"/>
    </row>
    <row r="993" spans="1:31" s="16" customFormat="1" hidden="1" x14ac:dyDescent="0.25">
      <c r="A993" s="16">
        <v>990</v>
      </c>
      <c r="G993" s="16" t="s">
        <v>77</v>
      </c>
      <c r="I993" s="16" t="s">
        <v>75</v>
      </c>
      <c r="L993" s="105" t="s">
        <v>99</v>
      </c>
      <c r="M993" s="17" t="str">
        <f>VLOOKUP(RiskRegister[[#This Row],[Inherent Impact LevelL3:L1020D1007L3:L1019]],'Rating factors'!$F$4:$G$9,2,FALSE)</f>
        <v>--- Error ---</v>
      </c>
      <c r="N993" s="16" t="s">
        <v>79</v>
      </c>
      <c r="O993" s="17" t="str">
        <f>VLOOKUP(RiskRegister[[#This Row],[Inherent Likelihood Level]],'Rating factors'!$F$16:$G$21,2,FALSE)</f>
        <v>--- Error ---</v>
      </c>
      <c r="P993" s="17" t="str">
        <f>IFERROR(VLOOKUP(RiskRegister[[#This Row],[Inherent Risk Rating]],'Rating factors'!$F$30:$G$44,2,FALSE),"-- Error --")</f>
        <v>-- Error --</v>
      </c>
      <c r="Q993" s="17" t="str">
        <f>IFERROR(RiskRegister[[#This Row],[Inherent Impact Rating]]*RiskRegister[[#This Row],[Inherent Likelihood Rating]],"-- Error --")</f>
        <v>-- Error --</v>
      </c>
      <c r="R993" s="16" t="s">
        <v>98</v>
      </c>
      <c r="T993" s="16" t="s">
        <v>99</v>
      </c>
      <c r="U993" s="17" t="e" cm="1">
        <f t="array" aca="1" ref="U993" ca="1">+U993:Y1019VLOOKUP(RiskRegister[[#This Row],[Residual Impact Level]],'Rating factors'!$F$4:$G$9,2,FALSE)</f>
        <v>#NAME?</v>
      </c>
      <c r="V993" s="16" t="s">
        <v>79</v>
      </c>
      <c r="W993" s="17" t="str">
        <f>VLOOKUP(RiskRegister[[#This Row],[Residual Likelihood Level]],'Rating factors'!$F$16:$G$21,2,FALSE)</f>
        <v>--- Error ---</v>
      </c>
      <c r="X993" s="17" t="str">
        <f ca="1">IFERROR(VLOOKUP(RiskRegister[[#This Row],[Residual Risk Rating]],'Rating factors'!$F$30:$G$44,2,FALSE),"-- Error --")</f>
        <v>-- Error --</v>
      </c>
      <c r="Y993" s="17" t="str">
        <f ca="1">IFERROR(RiskRegister[[#This Row],[Residual Impact Rating]]*RiskRegister[[#This Row],[Residual Likelihood Rating]],"-- Error --")</f>
        <v>-- Error --</v>
      </c>
      <c r="Z993" s="16" t="s">
        <v>100</v>
      </c>
      <c r="AB993" s="39"/>
      <c r="AD993" s="20"/>
    </row>
    <row r="994" spans="1:31" s="16" customFormat="1" hidden="1" x14ac:dyDescent="0.25">
      <c r="A994" s="16">
        <v>991</v>
      </c>
      <c r="G994" s="16" t="s">
        <v>77</v>
      </c>
      <c r="I994" s="16" t="s">
        <v>75</v>
      </c>
      <c r="L994" s="105" t="s">
        <v>99</v>
      </c>
      <c r="M994" s="17" t="str">
        <f>VLOOKUP(RiskRegister[[#This Row],[Inherent Impact LevelL3:L1020D1007L3:L1019]],'Rating factors'!$F$4:$G$9,2,FALSE)</f>
        <v>--- Error ---</v>
      </c>
      <c r="N994" s="16" t="s">
        <v>79</v>
      </c>
      <c r="O994" s="17" t="str">
        <f>VLOOKUP(RiskRegister[[#This Row],[Inherent Likelihood Level]],'Rating factors'!$F$16:$G$21,2,FALSE)</f>
        <v>--- Error ---</v>
      </c>
      <c r="P994" s="17" t="str">
        <f>IFERROR(VLOOKUP(RiskRegister[[#This Row],[Inherent Risk Rating]],'Rating factors'!$F$30:$G$44,2,FALSE),"-- Error --")</f>
        <v>-- Error --</v>
      </c>
      <c r="Q994" s="17" t="str">
        <f>IFERROR(RiskRegister[[#This Row],[Inherent Impact Rating]]*RiskRegister[[#This Row],[Inherent Likelihood Rating]],"-- Error --")</f>
        <v>-- Error --</v>
      </c>
      <c r="R994" s="16" t="s">
        <v>98</v>
      </c>
      <c r="T994" s="16" t="s">
        <v>99</v>
      </c>
      <c r="U994" s="17" t="e" cm="1">
        <f t="array" aca="1" ref="U994" ca="1">+U994:Y1019VLOOKUP(RiskRegister[[#This Row],[Residual Impact Level]],'Rating factors'!$F$4:$G$9,2,FALSE)</f>
        <v>#NAME?</v>
      </c>
      <c r="V994" s="16" t="s">
        <v>79</v>
      </c>
      <c r="W994" s="17" t="str">
        <f>VLOOKUP(RiskRegister[[#This Row],[Residual Likelihood Level]],'Rating factors'!$F$16:$G$21,2,FALSE)</f>
        <v>--- Error ---</v>
      </c>
      <c r="X994" s="17" t="str">
        <f ca="1">IFERROR(VLOOKUP(RiskRegister[[#This Row],[Residual Risk Rating]],'Rating factors'!$F$30:$G$44,2,FALSE),"-- Error --")</f>
        <v>-- Error --</v>
      </c>
      <c r="Y994" s="17" t="str">
        <f ca="1">IFERROR(RiskRegister[[#This Row],[Residual Impact Rating]]*RiskRegister[[#This Row],[Residual Likelihood Rating]],"-- Error --")</f>
        <v>-- Error --</v>
      </c>
      <c r="Z994" s="16" t="s">
        <v>100</v>
      </c>
      <c r="AB994" s="39"/>
      <c r="AD994" s="20"/>
    </row>
    <row r="995" spans="1:31" s="16" customFormat="1" hidden="1" x14ac:dyDescent="0.25">
      <c r="A995" s="16">
        <v>992</v>
      </c>
      <c r="G995" s="16" t="s">
        <v>77</v>
      </c>
      <c r="I995" s="16" t="s">
        <v>75</v>
      </c>
      <c r="L995" s="105" t="s">
        <v>99</v>
      </c>
      <c r="M995" s="17" t="str">
        <f>VLOOKUP(RiskRegister[[#This Row],[Inherent Impact LevelL3:L1020D1007L3:L1019]],'Rating factors'!$F$4:$G$9,2,FALSE)</f>
        <v>--- Error ---</v>
      </c>
      <c r="N995" s="16" t="s">
        <v>79</v>
      </c>
      <c r="O995" s="17" t="str">
        <f>VLOOKUP(RiskRegister[[#This Row],[Inherent Likelihood Level]],'Rating factors'!$F$16:$G$21,2,FALSE)</f>
        <v>--- Error ---</v>
      </c>
      <c r="P995" s="17" t="str">
        <f>IFERROR(VLOOKUP(RiskRegister[[#This Row],[Inherent Risk Rating]],'Rating factors'!$F$30:$G$44,2,FALSE),"-- Error --")</f>
        <v>-- Error --</v>
      </c>
      <c r="Q995" s="17" t="str">
        <f>IFERROR(RiskRegister[[#This Row],[Inherent Impact Rating]]*RiskRegister[[#This Row],[Inherent Likelihood Rating]],"-- Error --")</f>
        <v>-- Error --</v>
      </c>
      <c r="R995" s="16" t="s">
        <v>98</v>
      </c>
      <c r="T995" s="16" t="s">
        <v>99</v>
      </c>
      <c r="U995" s="17" t="e" cm="1">
        <f t="array" aca="1" ref="U995" ca="1">+U995:Y1019VLOOKUP(RiskRegister[[#This Row],[Residual Impact Level]],'Rating factors'!$F$4:$G$9,2,FALSE)</f>
        <v>#NAME?</v>
      </c>
      <c r="V995" s="16" t="s">
        <v>79</v>
      </c>
      <c r="W995" s="17" t="str">
        <f>VLOOKUP(RiskRegister[[#This Row],[Residual Likelihood Level]],'Rating factors'!$F$16:$G$21,2,FALSE)</f>
        <v>--- Error ---</v>
      </c>
      <c r="X995" s="17" t="str">
        <f ca="1">IFERROR(VLOOKUP(RiskRegister[[#This Row],[Residual Risk Rating]],'Rating factors'!$F$30:$G$44,2,FALSE),"-- Error --")</f>
        <v>-- Error --</v>
      </c>
      <c r="Y995" s="17" t="str">
        <f ca="1">IFERROR(RiskRegister[[#This Row],[Residual Impact Rating]]*RiskRegister[[#This Row],[Residual Likelihood Rating]],"-- Error --")</f>
        <v>-- Error --</v>
      </c>
      <c r="Z995" s="16" t="s">
        <v>100</v>
      </c>
      <c r="AB995" s="39"/>
      <c r="AD995" s="20"/>
    </row>
    <row r="996" spans="1:31" s="16" customFormat="1" hidden="1" x14ac:dyDescent="0.25">
      <c r="A996" s="16">
        <v>993</v>
      </c>
      <c r="G996" s="16" t="s">
        <v>77</v>
      </c>
      <c r="I996" s="16" t="s">
        <v>75</v>
      </c>
      <c r="L996" s="105" t="s">
        <v>99</v>
      </c>
      <c r="M996" s="17" t="str">
        <f>VLOOKUP(RiskRegister[[#This Row],[Inherent Impact LevelL3:L1020D1007L3:L1019]],'Rating factors'!$F$4:$G$9,2,FALSE)</f>
        <v>--- Error ---</v>
      </c>
      <c r="N996" s="16" t="s">
        <v>79</v>
      </c>
      <c r="O996" s="17" t="str">
        <f>VLOOKUP(RiskRegister[[#This Row],[Inherent Likelihood Level]],'Rating factors'!$F$16:$G$21,2,FALSE)</f>
        <v>--- Error ---</v>
      </c>
      <c r="P996" s="17" t="str">
        <f>IFERROR(VLOOKUP(RiskRegister[[#This Row],[Inherent Risk Rating]],'Rating factors'!$F$30:$G$44,2,FALSE),"-- Error --")</f>
        <v>-- Error --</v>
      </c>
      <c r="Q996" s="17" t="str">
        <f>IFERROR(RiskRegister[[#This Row],[Inherent Impact Rating]]*RiskRegister[[#This Row],[Inherent Likelihood Rating]],"-- Error --")</f>
        <v>-- Error --</v>
      </c>
      <c r="R996" s="16" t="s">
        <v>98</v>
      </c>
      <c r="T996" s="16" t="s">
        <v>99</v>
      </c>
      <c r="U996" s="17" t="e" cm="1">
        <f t="array" aca="1" ref="U996" ca="1">+U996:Y1019VLOOKUP(RiskRegister[[#This Row],[Residual Impact Level]],'Rating factors'!$F$4:$G$9,2,FALSE)</f>
        <v>#NAME?</v>
      </c>
      <c r="V996" s="16" t="s">
        <v>79</v>
      </c>
      <c r="W996" s="17" t="str">
        <f>VLOOKUP(RiskRegister[[#This Row],[Residual Likelihood Level]],'Rating factors'!$F$16:$G$21,2,FALSE)</f>
        <v>--- Error ---</v>
      </c>
      <c r="X996" s="17" t="str">
        <f ca="1">IFERROR(VLOOKUP(RiskRegister[[#This Row],[Residual Risk Rating]],'Rating factors'!$F$30:$G$44,2,FALSE),"-- Error --")</f>
        <v>-- Error --</v>
      </c>
      <c r="Y996" s="17" t="str">
        <f ca="1">IFERROR(RiskRegister[[#This Row],[Residual Impact Rating]]*RiskRegister[[#This Row],[Residual Likelihood Rating]],"-- Error --")</f>
        <v>-- Error --</v>
      </c>
      <c r="Z996" s="16" t="s">
        <v>100</v>
      </c>
      <c r="AB996" s="39"/>
      <c r="AD996" s="20"/>
    </row>
    <row r="997" spans="1:31" s="16" customFormat="1" hidden="1" x14ac:dyDescent="0.25">
      <c r="A997" s="16">
        <v>994</v>
      </c>
      <c r="G997" s="16" t="s">
        <v>77</v>
      </c>
      <c r="I997" s="16" t="s">
        <v>75</v>
      </c>
      <c r="L997" s="105" t="s">
        <v>99</v>
      </c>
      <c r="M997" s="17" t="str">
        <f>VLOOKUP(RiskRegister[[#This Row],[Inherent Impact LevelL3:L1020D1007L3:L1019]],'Rating factors'!$F$4:$G$9,2,FALSE)</f>
        <v>--- Error ---</v>
      </c>
      <c r="N997" s="16" t="s">
        <v>79</v>
      </c>
      <c r="O997" s="17" t="str">
        <f>VLOOKUP(RiskRegister[[#This Row],[Inherent Likelihood Level]],'Rating factors'!$F$16:$G$21,2,FALSE)</f>
        <v>--- Error ---</v>
      </c>
      <c r="P997" s="17" t="str">
        <f>IFERROR(VLOOKUP(RiskRegister[[#This Row],[Inherent Risk Rating]],'Rating factors'!$F$30:$G$44,2,FALSE),"-- Error --")</f>
        <v>-- Error --</v>
      </c>
      <c r="Q997" s="17" t="str">
        <f>IFERROR(RiskRegister[[#This Row],[Inherent Impact Rating]]*RiskRegister[[#This Row],[Inherent Likelihood Rating]],"-- Error --")</f>
        <v>-- Error --</v>
      </c>
      <c r="R997" s="16" t="s">
        <v>98</v>
      </c>
      <c r="T997" s="16" t="s">
        <v>99</v>
      </c>
      <c r="U997" s="17" t="e" cm="1">
        <f t="array" aca="1" ref="U997" ca="1">+U997:Y1019VLOOKUP(RiskRegister[[#This Row],[Residual Impact Level]],'Rating factors'!$F$4:$G$9,2,FALSE)</f>
        <v>#NAME?</v>
      </c>
      <c r="V997" s="16" t="s">
        <v>79</v>
      </c>
      <c r="W997" s="17" t="str">
        <f>VLOOKUP(RiskRegister[[#This Row],[Residual Likelihood Level]],'Rating factors'!$F$16:$G$21,2,FALSE)</f>
        <v>--- Error ---</v>
      </c>
      <c r="X997" s="17" t="str">
        <f ca="1">IFERROR(VLOOKUP(RiskRegister[[#This Row],[Residual Risk Rating]],'Rating factors'!$F$30:$G$44,2,FALSE),"-- Error --")</f>
        <v>-- Error --</v>
      </c>
      <c r="Y997" s="17" t="str">
        <f ca="1">IFERROR(RiskRegister[[#This Row],[Residual Impact Rating]]*RiskRegister[[#This Row],[Residual Likelihood Rating]],"-- Error --")</f>
        <v>-- Error --</v>
      </c>
      <c r="Z997" s="16" t="s">
        <v>100</v>
      </c>
      <c r="AB997" s="39"/>
      <c r="AD997" s="20"/>
    </row>
    <row r="998" spans="1:31" s="16" customFormat="1" hidden="1" x14ac:dyDescent="0.25">
      <c r="A998" s="16">
        <v>995</v>
      </c>
      <c r="G998" s="16" t="s">
        <v>77</v>
      </c>
      <c r="I998" s="16" t="s">
        <v>75</v>
      </c>
      <c r="L998" s="105" t="s">
        <v>99</v>
      </c>
      <c r="M998" s="17" t="str">
        <f>VLOOKUP(RiskRegister[[#This Row],[Inherent Impact LevelL3:L1020D1007L3:L1019]],'Rating factors'!$F$4:$G$9,2,FALSE)</f>
        <v>--- Error ---</v>
      </c>
      <c r="N998" s="16" t="s">
        <v>79</v>
      </c>
      <c r="O998" s="17" t="str">
        <f>VLOOKUP(RiskRegister[[#This Row],[Inherent Likelihood Level]],'Rating factors'!$F$16:$G$21,2,FALSE)</f>
        <v>--- Error ---</v>
      </c>
      <c r="P998" s="17" t="str">
        <f>IFERROR(VLOOKUP(RiskRegister[[#This Row],[Inherent Risk Rating]],'Rating factors'!$F$30:$G$44,2,FALSE),"-- Error --")</f>
        <v>-- Error --</v>
      </c>
      <c r="Q998" s="17" t="str">
        <f>IFERROR(RiskRegister[[#This Row],[Inherent Impact Rating]]*RiskRegister[[#This Row],[Inherent Likelihood Rating]],"-- Error --")</f>
        <v>-- Error --</v>
      </c>
      <c r="R998" s="16" t="s">
        <v>98</v>
      </c>
      <c r="T998" s="16" t="s">
        <v>99</v>
      </c>
      <c r="U998" s="17" t="e" cm="1">
        <f t="array" aca="1" ref="U998" ca="1">+U998:Y1019VLOOKUP(RiskRegister[[#This Row],[Residual Impact Level]],'Rating factors'!$F$4:$G$9,2,FALSE)</f>
        <v>#NAME?</v>
      </c>
      <c r="V998" s="16" t="s">
        <v>79</v>
      </c>
      <c r="W998" s="17" t="str">
        <f>VLOOKUP(RiskRegister[[#This Row],[Residual Likelihood Level]],'Rating factors'!$F$16:$G$21,2,FALSE)</f>
        <v>--- Error ---</v>
      </c>
      <c r="X998" s="17" t="str">
        <f ca="1">IFERROR(VLOOKUP(RiskRegister[[#This Row],[Residual Risk Rating]],'Rating factors'!$F$30:$G$44,2,FALSE),"-- Error --")</f>
        <v>-- Error --</v>
      </c>
      <c r="Y998" s="17" t="str">
        <f ca="1">IFERROR(RiskRegister[[#This Row],[Residual Impact Rating]]*RiskRegister[[#This Row],[Residual Likelihood Rating]],"-- Error --")</f>
        <v>-- Error --</v>
      </c>
      <c r="Z998" s="16" t="s">
        <v>100</v>
      </c>
      <c r="AB998" s="39"/>
      <c r="AD998" s="20"/>
    </row>
    <row r="999" spans="1:31" s="16" customFormat="1" hidden="1" x14ac:dyDescent="0.25">
      <c r="A999" s="16">
        <v>996</v>
      </c>
      <c r="G999" s="16" t="s">
        <v>77</v>
      </c>
      <c r="I999" s="16" t="s">
        <v>75</v>
      </c>
      <c r="L999" s="105" t="s">
        <v>99</v>
      </c>
      <c r="M999" s="17" t="str">
        <f>VLOOKUP(RiskRegister[[#This Row],[Inherent Impact LevelL3:L1020D1007L3:L1019]],'Rating factors'!$F$4:$G$9,2,FALSE)</f>
        <v>--- Error ---</v>
      </c>
      <c r="N999" s="16" t="s">
        <v>79</v>
      </c>
      <c r="O999" s="17" t="str">
        <f>VLOOKUP(RiskRegister[[#This Row],[Inherent Likelihood Level]],'Rating factors'!$F$16:$G$21,2,FALSE)</f>
        <v>--- Error ---</v>
      </c>
      <c r="P999" s="17" t="str">
        <f>IFERROR(VLOOKUP(RiskRegister[[#This Row],[Inherent Risk Rating]],'Rating factors'!$F$30:$G$44,2,FALSE),"-- Error --")</f>
        <v>-- Error --</v>
      </c>
      <c r="Q999" s="17" t="str">
        <f>IFERROR(RiskRegister[[#This Row],[Inherent Impact Rating]]*RiskRegister[[#This Row],[Inherent Likelihood Rating]],"-- Error --")</f>
        <v>-- Error --</v>
      </c>
      <c r="R999" s="16" t="s">
        <v>98</v>
      </c>
      <c r="T999" s="16" t="s">
        <v>99</v>
      </c>
      <c r="U999" s="17" t="e" cm="1">
        <f t="array" aca="1" ref="U999" ca="1">+U999:Y1019VLOOKUP(RiskRegister[[#This Row],[Residual Impact Level]],'Rating factors'!$F$4:$G$9,2,FALSE)</f>
        <v>#NAME?</v>
      </c>
      <c r="V999" s="16" t="s">
        <v>79</v>
      </c>
      <c r="W999" s="17" t="str">
        <f>VLOOKUP(RiskRegister[[#This Row],[Residual Likelihood Level]],'Rating factors'!$F$16:$G$21,2,FALSE)</f>
        <v>--- Error ---</v>
      </c>
      <c r="X999" s="17" t="str">
        <f ca="1">IFERROR(VLOOKUP(RiskRegister[[#This Row],[Residual Risk Rating]],'Rating factors'!$F$30:$G$44,2,FALSE),"-- Error --")</f>
        <v>-- Error --</v>
      </c>
      <c r="Y999" s="17" t="str">
        <f ca="1">IFERROR(RiskRegister[[#This Row],[Residual Impact Rating]]*RiskRegister[[#This Row],[Residual Likelihood Rating]],"-- Error --")</f>
        <v>-- Error --</v>
      </c>
      <c r="Z999" s="16" t="s">
        <v>100</v>
      </c>
      <c r="AB999" s="39"/>
      <c r="AD999" s="20"/>
    </row>
    <row r="1000" spans="1:31" s="16" customFormat="1" hidden="1" x14ac:dyDescent="0.25">
      <c r="A1000" s="16">
        <v>997</v>
      </c>
      <c r="G1000" s="16" t="s">
        <v>77</v>
      </c>
      <c r="I1000" s="16" t="s">
        <v>75</v>
      </c>
      <c r="L1000" s="105" t="s">
        <v>99</v>
      </c>
      <c r="M1000" s="17" t="str">
        <f>VLOOKUP(RiskRegister[[#This Row],[Inherent Impact LevelL3:L1020D1007L3:L1019]],'Rating factors'!$F$4:$G$9,2,FALSE)</f>
        <v>--- Error ---</v>
      </c>
      <c r="N1000" s="16" t="s">
        <v>79</v>
      </c>
      <c r="O1000" s="17" t="str">
        <f>VLOOKUP(RiskRegister[[#This Row],[Inherent Likelihood Level]],'Rating factors'!$F$16:$G$21,2,FALSE)</f>
        <v>--- Error ---</v>
      </c>
      <c r="P1000" s="17" t="str">
        <f>IFERROR(VLOOKUP(RiskRegister[[#This Row],[Inherent Risk Rating]],'Rating factors'!$F$30:$G$44,2,FALSE),"-- Error --")</f>
        <v>-- Error --</v>
      </c>
      <c r="Q1000" s="17" t="str">
        <f>IFERROR(RiskRegister[[#This Row],[Inherent Impact Rating]]*RiskRegister[[#This Row],[Inherent Likelihood Rating]],"-- Error --")</f>
        <v>-- Error --</v>
      </c>
      <c r="R1000" s="16" t="s">
        <v>98</v>
      </c>
      <c r="T1000" s="16" t="s">
        <v>99</v>
      </c>
      <c r="U1000" s="17" t="e" cm="1">
        <f t="array" aca="1" ref="U1000" ca="1">+U1000:Y1019VLOOKUP(RiskRegister[[#This Row],[Residual Impact Level]],'Rating factors'!$F$4:$G$9,2,FALSE)</f>
        <v>#NAME?</v>
      </c>
      <c r="V1000" s="16" t="s">
        <v>79</v>
      </c>
      <c r="W1000" s="17" t="str">
        <f>VLOOKUP(RiskRegister[[#This Row],[Residual Likelihood Level]],'Rating factors'!$F$16:$G$21,2,FALSE)</f>
        <v>--- Error ---</v>
      </c>
      <c r="X1000" s="17" t="str">
        <f ca="1">IFERROR(VLOOKUP(RiskRegister[[#This Row],[Residual Risk Rating]],'Rating factors'!$F$30:$G$44,2,FALSE),"-- Error --")</f>
        <v>-- Error --</v>
      </c>
      <c r="Y1000" s="17" t="str">
        <f ca="1">IFERROR(RiskRegister[[#This Row],[Residual Impact Rating]]*RiskRegister[[#This Row],[Residual Likelihood Rating]],"-- Error --")</f>
        <v>-- Error --</v>
      </c>
      <c r="Z1000" s="16" t="s">
        <v>100</v>
      </c>
      <c r="AB1000" s="39"/>
      <c r="AD1000" s="20"/>
    </row>
    <row r="1001" spans="1:31" s="16" customFormat="1" hidden="1" x14ac:dyDescent="0.25">
      <c r="A1001" s="16">
        <v>998</v>
      </c>
      <c r="G1001" s="16" t="s">
        <v>77</v>
      </c>
      <c r="I1001" s="16" t="s">
        <v>75</v>
      </c>
      <c r="L1001" s="105" t="s">
        <v>99</v>
      </c>
      <c r="M1001" s="17" t="str">
        <f>VLOOKUP(RiskRegister[[#This Row],[Inherent Impact LevelL3:L1020D1007L3:L1019]],'Rating factors'!$F$4:$G$9,2,FALSE)</f>
        <v>--- Error ---</v>
      </c>
      <c r="N1001" s="16" t="s">
        <v>79</v>
      </c>
      <c r="O1001" s="17" t="str">
        <f>VLOOKUP(RiskRegister[[#This Row],[Inherent Likelihood Level]],'Rating factors'!$F$16:$G$21,2,FALSE)</f>
        <v>--- Error ---</v>
      </c>
      <c r="P1001" s="17" t="str">
        <f>IFERROR(VLOOKUP(RiskRegister[[#This Row],[Inherent Risk Rating]],'Rating factors'!$F$30:$G$44,2,FALSE),"-- Error --")</f>
        <v>-- Error --</v>
      </c>
      <c r="Q1001" s="17" t="str">
        <f>IFERROR(RiskRegister[[#This Row],[Inherent Impact Rating]]*RiskRegister[[#This Row],[Inherent Likelihood Rating]],"-- Error --")</f>
        <v>-- Error --</v>
      </c>
      <c r="R1001" s="16" t="s">
        <v>98</v>
      </c>
      <c r="T1001" s="16" t="s">
        <v>99</v>
      </c>
      <c r="U1001" s="17" t="e" cm="1">
        <f t="array" aca="1" ref="U1001" ca="1">+U1001:Y1019VLOOKUP(RiskRegister[[#This Row],[Residual Impact Level]],'Rating factors'!$F$4:$G$9,2,FALSE)</f>
        <v>#NAME?</v>
      </c>
      <c r="V1001" s="16" t="s">
        <v>79</v>
      </c>
      <c r="W1001" s="17" t="str">
        <f>VLOOKUP(RiskRegister[[#This Row],[Residual Likelihood Level]],'Rating factors'!$F$16:$G$21,2,FALSE)</f>
        <v>--- Error ---</v>
      </c>
      <c r="X1001" s="17" t="str">
        <f ca="1">IFERROR(VLOOKUP(RiskRegister[[#This Row],[Residual Risk Rating]],'Rating factors'!$F$30:$G$44,2,FALSE),"-- Error --")</f>
        <v>-- Error --</v>
      </c>
      <c r="Y1001" s="17" t="str">
        <f ca="1">IFERROR(RiskRegister[[#This Row],[Residual Impact Rating]]*RiskRegister[[#This Row],[Residual Likelihood Rating]],"-- Error --")</f>
        <v>-- Error --</v>
      </c>
      <c r="Z1001" s="16" t="s">
        <v>100</v>
      </c>
      <c r="AB1001" s="39"/>
      <c r="AD1001" s="20"/>
    </row>
    <row r="1002" spans="1:31" s="16" customFormat="1" hidden="1" x14ac:dyDescent="0.25">
      <c r="A1002" s="16">
        <v>999</v>
      </c>
      <c r="G1002" s="16" t="s">
        <v>77</v>
      </c>
      <c r="I1002" s="16" t="s">
        <v>75</v>
      </c>
      <c r="L1002" s="105" t="s">
        <v>99</v>
      </c>
      <c r="M1002" s="17" t="str">
        <f>VLOOKUP(RiskRegister[[#This Row],[Inherent Impact LevelL3:L1020D1007L3:L1019]],'Rating factors'!$F$4:$G$9,2,FALSE)</f>
        <v>--- Error ---</v>
      </c>
      <c r="N1002" s="16" t="s">
        <v>79</v>
      </c>
      <c r="O1002" s="17" t="str">
        <f>VLOOKUP(RiskRegister[[#This Row],[Inherent Likelihood Level]],'Rating factors'!$F$16:$G$21,2,FALSE)</f>
        <v>--- Error ---</v>
      </c>
      <c r="P1002" s="17" t="str">
        <f>IFERROR(VLOOKUP(RiskRegister[[#This Row],[Inherent Risk Rating]],'Rating factors'!$F$30:$G$44,2,FALSE),"-- Error --")</f>
        <v>-- Error --</v>
      </c>
      <c r="Q1002" s="17" t="str">
        <f>IFERROR(RiskRegister[[#This Row],[Inherent Impact Rating]]*RiskRegister[[#This Row],[Inherent Likelihood Rating]],"-- Error --")</f>
        <v>-- Error --</v>
      </c>
      <c r="R1002" s="16" t="s">
        <v>98</v>
      </c>
      <c r="T1002" s="16" t="s">
        <v>99</v>
      </c>
      <c r="U1002" s="17" t="e" cm="1">
        <f t="array" aca="1" ref="U1002" ca="1">+U1002:Y1019VLOOKUP(RiskRegister[[#This Row],[Residual Impact Level]],'Rating factors'!$F$4:$G$9,2,FALSE)</f>
        <v>#NAME?</v>
      </c>
      <c r="V1002" s="16" t="s">
        <v>79</v>
      </c>
      <c r="W1002" s="17" t="str">
        <f>VLOOKUP(RiskRegister[[#This Row],[Residual Likelihood Level]],'Rating factors'!$F$16:$G$21,2,FALSE)</f>
        <v>--- Error ---</v>
      </c>
      <c r="X1002" s="17" t="str">
        <f ca="1">IFERROR(VLOOKUP(RiskRegister[[#This Row],[Residual Risk Rating]],'Rating factors'!$F$30:$G$44,2,FALSE),"-- Error --")</f>
        <v>-- Error --</v>
      </c>
      <c r="Y1002" s="17" t="str">
        <f ca="1">IFERROR(RiskRegister[[#This Row],[Residual Impact Rating]]*RiskRegister[[#This Row],[Residual Likelihood Rating]],"-- Error --")</f>
        <v>-- Error --</v>
      </c>
      <c r="Z1002" s="16" t="s">
        <v>100</v>
      </c>
      <c r="AB1002" s="39"/>
      <c r="AD1002" s="20"/>
    </row>
    <row r="1003" spans="1:31" s="16" customFormat="1" hidden="1" x14ac:dyDescent="0.25">
      <c r="A1003" s="16">
        <v>1000</v>
      </c>
      <c r="G1003" s="16" t="s">
        <v>77</v>
      </c>
      <c r="I1003" s="16" t="s">
        <v>75</v>
      </c>
      <c r="L1003" s="105" t="s">
        <v>99</v>
      </c>
      <c r="M1003" s="17" t="str">
        <f>VLOOKUP(RiskRegister[[#This Row],[Inherent Impact LevelL3:L1020D1007L3:L1019]],'Rating factors'!$F$4:$G$9,2,FALSE)</f>
        <v>--- Error ---</v>
      </c>
      <c r="N1003" s="16" t="s">
        <v>79</v>
      </c>
      <c r="O1003" s="17" t="str">
        <f>VLOOKUP(RiskRegister[[#This Row],[Inherent Likelihood Level]],'Rating factors'!$F$16:$G$21,2,FALSE)</f>
        <v>--- Error ---</v>
      </c>
      <c r="P1003" s="17" t="str">
        <f>IFERROR(VLOOKUP(RiskRegister[[#This Row],[Inherent Risk Rating]],'Rating factors'!$F$30:$G$44,2,FALSE),"-- Error --")</f>
        <v>-- Error --</v>
      </c>
      <c r="Q1003" s="17" t="str">
        <f>IFERROR(RiskRegister[[#This Row],[Inherent Impact Rating]]*RiskRegister[[#This Row],[Inherent Likelihood Rating]],"-- Error --")</f>
        <v>-- Error --</v>
      </c>
      <c r="R1003" s="16" t="s">
        <v>98</v>
      </c>
      <c r="T1003" s="16" t="s">
        <v>99</v>
      </c>
      <c r="U1003" s="17" t="e" cm="1">
        <f t="array" aca="1" ref="U1003" ca="1">+U1003:Y1019VLOOKUP(RiskRegister[[#This Row],[Residual Impact Level]],'Rating factors'!$F$4:$G$9,2,FALSE)</f>
        <v>#NAME?</v>
      </c>
      <c r="V1003" s="16" t="s">
        <v>79</v>
      </c>
      <c r="W1003" s="17" t="str">
        <f>VLOOKUP(RiskRegister[[#This Row],[Residual Likelihood Level]],'Rating factors'!$F$16:$G$21,2,FALSE)</f>
        <v>--- Error ---</v>
      </c>
      <c r="X1003" s="17" t="str">
        <f ca="1">IFERROR(VLOOKUP(RiskRegister[[#This Row],[Residual Risk Rating]],'Rating factors'!$F$30:$G$44,2,FALSE),"-- Error --")</f>
        <v>-- Error --</v>
      </c>
      <c r="Y1003" s="17" t="str">
        <f ca="1">IFERROR(RiskRegister[[#This Row],[Residual Impact Rating]]*RiskRegister[[#This Row],[Residual Likelihood Rating]],"-- Error --")</f>
        <v>-- Error --</v>
      </c>
      <c r="Z1003" s="16" t="s">
        <v>100</v>
      </c>
      <c r="AB1003" s="39"/>
      <c r="AD1003" s="20"/>
    </row>
    <row r="1004" spans="1:31" ht="90" x14ac:dyDescent="0.25">
      <c r="A1004" s="89">
        <v>1</v>
      </c>
      <c r="B1004" s="89" t="s">
        <v>233</v>
      </c>
      <c r="C1004" s="92" t="s">
        <v>290</v>
      </c>
      <c r="D1004" s="92" t="s">
        <v>289</v>
      </c>
      <c r="E1004" s="92" t="s">
        <v>288</v>
      </c>
      <c r="F1004" s="90">
        <v>3</v>
      </c>
      <c r="G1004" s="90">
        <v>4</v>
      </c>
      <c r="H1004" s="90">
        <v>12</v>
      </c>
      <c r="I1004" s="90" t="s">
        <v>8</v>
      </c>
      <c r="J1004" s="90" t="s">
        <v>261</v>
      </c>
      <c r="K1004" s="97" t="s">
        <v>291</v>
      </c>
      <c r="L1004" s="85"/>
      <c r="M1004" s="101"/>
      <c r="N1004" s="89"/>
      <c r="O1004" s="90"/>
      <c r="P1004" s="17" t="s">
        <v>8</v>
      </c>
      <c r="Q1004" s="90">
        <v>12</v>
      </c>
      <c r="R1004" s="86" t="s">
        <v>19</v>
      </c>
      <c r="S1004" s="92" t="s">
        <v>292</v>
      </c>
      <c r="T1004" s="90" t="s">
        <v>91</v>
      </c>
      <c r="U1004" s="90">
        <v>2</v>
      </c>
      <c r="V1004" s="90" t="s">
        <v>7</v>
      </c>
      <c r="W1004" s="90">
        <f>VLOOKUP(RiskRegister[[#This Row],[Residual Likelihood Level]],'Rating factors'!$F$16:$G$21,2,FALSE)</f>
        <v>1</v>
      </c>
      <c r="X1004" s="90" t="str">
        <f>IFERROR(VLOOKUP(RiskRegister[[#This Row],[Residual Risk Rating]],'Rating factors'!$F$30:$G$44,2,FALSE),"-- Error --")</f>
        <v>Low</v>
      </c>
      <c r="Y1004" s="90">
        <f>IFERROR(RiskRegister[[#This Row],[Residual Impact Rating]]*RiskRegister[[#This Row],[Residual Likelihood Rating]],"-- Error --")</f>
        <v>2</v>
      </c>
      <c r="Z1004" s="90" t="s">
        <v>14</v>
      </c>
      <c r="AA1004" s="89"/>
      <c r="AB1004" s="91">
        <v>46233</v>
      </c>
      <c r="AC1004" s="89"/>
      <c r="AD1004" s="92"/>
      <c r="AE1004" s="89"/>
    </row>
    <row r="1005" spans="1:31" ht="30" x14ac:dyDescent="0.25">
      <c r="A1005" s="89">
        <v>2</v>
      </c>
      <c r="B1005" s="92" t="s">
        <v>237</v>
      </c>
      <c r="C1005" s="92" t="s">
        <v>270</v>
      </c>
      <c r="D1005" s="89" t="s">
        <v>250</v>
      </c>
      <c r="E1005" s="92" t="s">
        <v>251</v>
      </c>
      <c r="F1005" s="90">
        <v>2</v>
      </c>
      <c r="G1005" s="90">
        <v>4</v>
      </c>
      <c r="H1005" s="90">
        <v>8</v>
      </c>
      <c r="I1005" s="90" t="s">
        <v>9</v>
      </c>
      <c r="J1005" s="90" t="s">
        <v>261</v>
      </c>
      <c r="K1005" s="97" t="s">
        <v>271</v>
      </c>
      <c r="L1005" s="85"/>
      <c r="M1005" s="101"/>
      <c r="N1005" s="89"/>
      <c r="O1005" s="90"/>
      <c r="P1005" s="17" t="s">
        <v>9</v>
      </c>
      <c r="Q1005" s="90">
        <v>8</v>
      </c>
      <c r="R1005" s="86" t="s">
        <v>12</v>
      </c>
      <c r="S1005" s="89"/>
      <c r="T1005" s="90"/>
      <c r="U1005" s="90"/>
      <c r="V1005" s="90"/>
      <c r="W1005" s="90"/>
      <c r="X1005" s="90"/>
      <c r="Y1005" s="90"/>
      <c r="Z1005" s="90" t="s">
        <v>15</v>
      </c>
      <c r="AA1005" s="89"/>
      <c r="AB1005" s="91">
        <v>46233</v>
      </c>
      <c r="AC1005" s="89"/>
      <c r="AD1005" s="92"/>
      <c r="AE1005" s="89"/>
    </row>
    <row r="1006" spans="1:31" ht="60" x14ac:dyDescent="0.25">
      <c r="A1006" s="89">
        <v>3</v>
      </c>
      <c r="B1006" s="89" t="s">
        <v>238</v>
      </c>
      <c r="C1006" s="92" t="s">
        <v>294</v>
      </c>
      <c r="D1006" s="92" t="s">
        <v>295</v>
      </c>
      <c r="E1006" s="92" t="s">
        <v>293</v>
      </c>
      <c r="F1006" s="90">
        <v>3</v>
      </c>
      <c r="G1006" s="90">
        <v>5</v>
      </c>
      <c r="H1006" s="90">
        <v>15</v>
      </c>
      <c r="I1006" s="90" t="s">
        <v>92</v>
      </c>
      <c r="J1006" s="95" t="s">
        <v>247</v>
      </c>
      <c r="K1006" s="97" t="s">
        <v>279</v>
      </c>
      <c r="L1006" s="85"/>
      <c r="M1006" s="101"/>
      <c r="N1006" s="89"/>
      <c r="O1006" s="90"/>
      <c r="P1006" s="17" t="s">
        <v>92</v>
      </c>
      <c r="Q1006" s="90">
        <v>15</v>
      </c>
      <c r="R1006" s="86" t="s">
        <v>19</v>
      </c>
      <c r="S1006" s="92" t="s">
        <v>296</v>
      </c>
      <c r="T1006" s="90" t="s">
        <v>4</v>
      </c>
      <c r="U1006" s="90">
        <v>3</v>
      </c>
      <c r="V1006" s="90" t="s">
        <v>6</v>
      </c>
      <c r="W1006" s="90">
        <v>2</v>
      </c>
      <c r="X1006" s="90" t="s">
        <v>9</v>
      </c>
      <c r="Y1006" s="90">
        <v>6</v>
      </c>
      <c r="Z1006" s="90" t="s">
        <v>14</v>
      </c>
      <c r="AA1006" s="89"/>
      <c r="AB1006" s="91">
        <v>46233</v>
      </c>
      <c r="AC1006" s="89"/>
      <c r="AD1006" s="92"/>
      <c r="AE1006" s="89"/>
    </row>
    <row r="1007" spans="1:31" ht="90" x14ac:dyDescent="0.25">
      <c r="A1007" s="89">
        <v>4</v>
      </c>
      <c r="B1007" s="16" t="s">
        <v>189</v>
      </c>
      <c r="C1007" s="89" t="s">
        <v>258</v>
      </c>
      <c r="D1007" s="92" t="s">
        <v>298</v>
      </c>
      <c r="E1007" s="92" t="s">
        <v>299</v>
      </c>
      <c r="F1007" s="90">
        <v>3</v>
      </c>
      <c r="G1007" s="90">
        <v>3</v>
      </c>
      <c r="H1007" s="90">
        <v>9</v>
      </c>
      <c r="I1007" s="90" t="s">
        <v>9</v>
      </c>
      <c r="J1007" s="90" t="s">
        <v>262</v>
      </c>
      <c r="K1007" s="97" t="s">
        <v>272</v>
      </c>
      <c r="L1007" s="85"/>
      <c r="M1007" s="101"/>
      <c r="N1007" s="89"/>
      <c r="O1007" s="90"/>
      <c r="P1007" s="17" t="s">
        <v>9</v>
      </c>
      <c r="Q1007" s="90">
        <v>9</v>
      </c>
      <c r="R1007" s="86" t="s">
        <v>12</v>
      </c>
      <c r="S1007" s="92" t="s">
        <v>300</v>
      </c>
      <c r="T1007" s="90" t="s">
        <v>91</v>
      </c>
      <c r="U1007" s="90">
        <v>1</v>
      </c>
      <c r="V1007" s="90" t="s">
        <v>6</v>
      </c>
      <c r="W1007" s="90">
        <v>2</v>
      </c>
      <c r="X1007" s="90" t="s">
        <v>10</v>
      </c>
      <c r="Y1007" s="90">
        <v>2</v>
      </c>
      <c r="Z1007" s="90" t="s">
        <v>15</v>
      </c>
      <c r="AA1007" s="89"/>
      <c r="AB1007" s="91">
        <v>46233</v>
      </c>
      <c r="AC1007" s="89"/>
      <c r="AD1007" s="92"/>
      <c r="AE1007" s="89"/>
    </row>
    <row r="1008" spans="1:31" ht="105" x14ac:dyDescent="0.25">
      <c r="A1008" s="89">
        <v>5</v>
      </c>
      <c r="B1008" s="16" t="s">
        <v>188</v>
      </c>
      <c r="C1008" s="92" t="s">
        <v>306</v>
      </c>
      <c r="D1008" s="92" t="s">
        <v>301</v>
      </c>
      <c r="E1008" s="92" t="s">
        <v>302</v>
      </c>
      <c r="F1008" s="90">
        <v>3</v>
      </c>
      <c r="G1008" s="90">
        <v>4</v>
      </c>
      <c r="H1008" s="90">
        <v>12</v>
      </c>
      <c r="I1008" s="90" t="s">
        <v>8</v>
      </c>
      <c r="J1008" s="90" t="s">
        <v>264</v>
      </c>
      <c r="K1008" s="97" t="s">
        <v>287</v>
      </c>
      <c r="L1008" s="85"/>
      <c r="M1008" s="101"/>
      <c r="N1008" s="89"/>
      <c r="O1008" s="90"/>
      <c r="P1008" s="17" t="s">
        <v>311</v>
      </c>
      <c r="Q1008" s="90">
        <v>12</v>
      </c>
      <c r="R1008" s="86" t="s">
        <v>19</v>
      </c>
      <c r="S1008" s="92" t="s">
        <v>305</v>
      </c>
      <c r="T1008" s="90" t="s">
        <v>4</v>
      </c>
      <c r="U1008" s="90">
        <v>3</v>
      </c>
      <c r="V1008" s="90" t="s">
        <v>6</v>
      </c>
      <c r="W1008" s="90">
        <v>2</v>
      </c>
      <c r="X1008" s="90" t="s">
        <v>9</v>
      </c>
      <c r="Y1008" s="90">
        <v>6</v>
      </c>
      <c r="Z1008" s="90" t="s">
        <v>14</v>
      </c>
      <c r="AA1008" s="89"/>
      <c r="AB1008" s="91">
        <v>46233</v>
      </c>
      <c r="AC1008" s="89"/>
      <c r="AD1008" s="92"/>
      <c r="AE1008" s="89"/>
    </row>
    <row r="1009" spans="1:31" ht="60" x14ac:dyDescent="0.25">
      <c r="A1009" s="89">
        <v>6</v>
      </c>
      <c r="B1009" s="89" t="s">
        <v>239</v>
      </c>
      <c r="C1009" s="92" t="s">
        <v>309</v>
      </c>
      <c r="D1009" s="92" t="s">
        <v>307</v>
      </c>
      <c r="E1009" s="92" t="s">
        <v>308</v>
      </c>
      <c r="F1009" s="90">
        <v>4</v>
      </c>
      <c r="G1009" s="90">
        <v>5</v>
      </c>
      <c r="H1009" s="90">
        <v>20</v>
      </c>
      <c r="I1009" s="90" t="s">
        <v>92</v>
      </c>
      <c r="J1009" s="90" t="s">
        <v>263</v>
      </c>
      <c r="K1009" s="97" t="s">
        <v>280</v>
      </c>
      <c r="L1009" s="85"/>
      <c r="M1009" s="101"/>
      <c r="N1009" s="89"/>
      <c r="O1009" s="90"/>
      <c r="P1009" s="17" t="s">
        <v>312</v>
      </c>
      <c r="Q1009" s="90">
        <v>20</v>
      </c>
      <c r="R1009" s="86" t="s">
        <v>19</v>
      </c>
      <c r="S1009" s="92" t="s">
        <v>310</v>
      </c>
      <c r="T1009" s="90" t="s">
        <v>248</v>
      </c>
      <c r="U1009" s="90">
        <v>5</v>
      </c>
      <c r="V1009" s="90" t="s">
        <v>7</v>
      </c>
      <c r="W1009" s="90">
        <v>1</v>
      </c>
      <c r="X1009" s="90" t="s">
        <v>9</v>
      </c>
      <c r="Y1009" s="90">
        <v>5</v>
      </c>
      <c r="Z1009" s="90" t="s">
        <v>14</v>
      </c>
      <c r="AA1009" s="89"/>
      <c r="AB1009" s="91">
        <v>46233</v>
      </c>
      <c r="AC1009" s="89"/>
      <c r="AD1009" s="92"/>
      <c r="AE1009" s="89"/>
    </row>
    <row r="1010" spans="1:31" ht="45" x14ac:dyDescent="0.25">
      <c r="A1010" s="89">
        <v>7</v>
      </c>
      <c r="B1010" s="89" t="s">
        <v>200</v>
      </c>
      <c r="C1010" s="92" t="s">
        <v>259</v>
      </c>
      <c r="D1010" s="92" t="s">
        <v>260</v>
      </c>
      <c r="E1010" s="92" t="s">
        <v>313</v>
      </c>
      <c r="F1010" s="90">
        <v>3</v>
      </c>
      <c r="G1010" s="90">
        <v>5</v>
      </c>
      <c r="H1010" s="90">
        <v>15</v>
      </c>
      <c r="I1010" s="90" t="s">
        <v>92</v>
      </c>
      <c r="J1010" s="90" t="s">
        <v>265</v>
      </c>
      <c r="K1010" s="97" t="s">
        <v>277</v>
      </c>
      <c r="L1010" s="85"/>
      <c r="M1010" s="101"/>
      <c r="N1010" s="89"/>
      <c r="O1010" s="90"/>
      <c r="P1010" s="17" t="s">
        <v>92</v>
      </c>
      <c r="Q1010" s="90">
        <v>15</v>
      </c>
      <c r="R1010" s="86" t="s">
        <v>19</v>
      </c>
      <c r="S1010" s="92" t="s">
        <v>314</v>
      </c>
      <c r="T1010" s="90" t="s">
        <v>4</v>
      </c>
      <c r="U1010" s="90">
        <v>3</v>
      </c>
      <c r="V1010" s="90" t="s">
        <v>7</v>
      </c>
      <c r="W1010" s="90">
        <v>1</v>
      </c>
      <c r="X1010" s="90" t="s">
        <v>10</v>
      </c>
      <c r="Y1010" s="90">
        <v>3</v>
      </c>
      <c r="Z1010" s="90" t="s">
        <v>14</v>
      </c>
      <c r="AA1010" s="89"/>
      <c r="AB1010" s="91">
        <v>46233</v>
      </c>
      <c r="AC1010" s="89"/>
      <c r="AD1010" s="92"/>
      <c r="AE1010" s="89"/>
    </row>
    <row r="1011" spans="1:31" ht="60" x14ac:dyDescent="0.25">
      <c r="A1011" s="89">
        <v>8</v>
      </c>
      <c r="B1011" s="92" t="s">
        <v>252</v>
      </c>
      <c r="C1011" s="92" t="s">
        <v>318</v>
      </c>
      <c r="D1011" s="92" t="s">
        <v>315</v>
      </c>
      <c r="E1011" s="92" t="s">
        <v>316</v>
      </c>
      <c r="F1011" s="90">
        <v>4</v>
      </c>
      <c r="G1011" s="90">
        <v>5</v>
      </c>
      <c r="H1011" s="90">
        <v>20</v>
      </c>
      <c r="I1011" s="90" t="s">
        <v>92</v>
      </c>
      <c r="J1011" s="90" t="s">
        <v>261</v>
      </c>
      <c r="K1011" s="97" t="s">
        <v>281</v>
      </c>
      <c r="L1011" s="85"/>
      <c r="M1011" s="101"/>
      <c r="N1011" s="89"/>
      <c r="O1011" s="90"/>
      <c r="P1011" s="17" t="s">
        <v>92</v>
      </c>
      <c r="Q1011" s="90">
        <v>20</v>
      </c>
      <c r="R1011" s="86" t="s">
        <v>19</v>
      </c>
      <c r="S1011" s="92" t="s">
        <v>317</v>
      </c>
      <c r="T1011" s="90" t="s">
        <v>4</v>
      </c>
      <c r="U1011" s="90">
        <v>3</v>
      </c>
      <c r="V1011" s="90" t="s">
        <v>7</v>
      </c>
      <c r="W1011" s="90">
        <v>1</v>
      </c>
      <c r="X1011" s="90" t="s">
        <v>10</v>
      </c>
      <c r="Y1011" s="90">
        <v>3</v>
      </c>
      <c r="Z1011" s="90" t="s">
        <v>14</v>
      </c>
      <c r="AA1011" s="89"/>
      <c r="AB1011" s="91">
        <v>46233</v>
      </c>
      <c r="AC1011" s="89"/>
      <c r="AD1011" s="92"/>
      <c r="AE1011" s="89"/>
    </row>
    <row r="1012" spans="1:31" ht="60" x14ac:dyDescent="0.25">
      <c r="A1012" s="89">
        <v>9</v>
      </c>
      <c r="B1012" s="89" t="s">
        <v>240</v>
      </c>
      <c r="C1012" s="92" t="s">
        <v>319</v>
      </c>
      <c r="D1012" s="89" t="s">
        <v>320</v>
      </c>
      <c r="E1012" s="92" t="s">
        <v>321</v>
      </c>
      <c r="F1012" s="90">
        <v>3</v>
      </c>
      <c r="G1012" s="90">
        <v>5</v>
      </c>
      <c r="H1012" s="90">
        <v>15</v>
      </c>
      <c r="I1012" s="90" t="s">
        <v>92</v>
      </c>
      <c r="J1012" s="90" t="s">
        <v>261</v>
      </c>
      <c r="K1012" s="97" t="s">
        <v>275</v>
      </c>
      <c r="L1012" s="85"/>
      <c r="M1012" s="101"/>
      <c r="N1012" s="89"/>
      <c r="O1012" s="90"/>
      <c r="P1012" s="17" t="s">
        <v>322</v>
      </c>
      <c r="Q1012" s="90">
        <v>15</v>
      </c>
      <c r="R1012" s="86" t="s">
        <v>19</v>
      </c>
      <c r="S1012" s="92" t="s">
        <v>323</v>
      </c>
      <c r="T1012" s="90" t="s">
        <v>303</v>
      </c>
      <c r="U1012" s="90">
        <v>3</v>
      </c>
      <c r="V1012" s="90" t="s">
        <v>6</v>
      </c>
      <c r="W1012" s="90">
        <v>2</v>
      </c>
      <c r="X1012" s="90" t="s">
        <v>9</v>
      </c>
      <c r="Y1012" s="90">
        <v>6</v>
      </c>
      <c r="Z1012" s="90" t="s">
        <v>14</v>
      </c>
      <c r="AA1012" s="89"/>
      <c r="AB1012" s="91">
        <v>46254</v>
      </c>
      <c r="AC1012" s="89"/>
      <c r="AD1012" s="92"/>
      <c r="AE1012" s="89"/>
    </row>
    <row r="1013" spans="1:31" ht="60" x14ac:dyDescent="0.25">
      <c r="A1013" s="89">
        <v>10</v>
      </c>
      <c r="B1013" s="89" t="s">
        <v>241</v>
      </c>
      <c r="C1013" s="89" t="s">
        <v>254</v>
      </c>
      <c r="D1013" s="89" t="s">
        <v>253</v>
      </c>
      <c r="E1013" s="92" t="s">
        <v>324</v>
      </c>
      <c r="F1013" s="90">
        <v>3</v>
      </c>
      <c r="G1013" s="90">
        <v>4</v>
      </c>
      <c r="H1013" s="90">
        <v>12</v>
      </c>
      <c r="I1013" s="90" t="s">
        <v>311</v>
      </c>
      <c r="J1013" s="90" t="s">
        <v>266</v>
      </c>
      <c r="K1013" s="97" t="s">
        <v>273</v>
      </c>
      <c r="L1013" s="85"/>
      <c r="M1013" s="101"/>
      <c r="N1013" s="89"/>
      <c r="O1013" s="90"/>
      <c r="P1013" s="17" t="s">
        <v>311</v>
      </c>
      <c r="Q1013" s="90">
        <v>12</v>
      </c>
      <c r="R1013" s="86" t="s">
        <v>19</v>
      </c>
      <c r="S1013" s="92" t="s">
        <v>325</v>
      </c>
      <c r="T1013" s="90" t="s">
        <v>4</v>
      </c>
      <c r="U1013" s="90">
        <v>3</v>
      </c>
      <c r="V1013" s="90" t="s">
        <v>7</v>
      </c>
      <c r="W1013" s="90">
        <v>1</v>
      </c>
      <c r="X1013" s="90" t="s">
        <v>10</v>
      </c>
      <c r="Y1013" s="90">
        <v>3</v>
      </c>
      <c r="Z1013" s="90" t="s">
        <v>14</v>
      </c>
      <c r="AA1013" s="89"/>
      <c r="AB1013" s="91">
        <v>46285</v>
      </c>
      <c r="AC1013" s="89"/>
      <c r="AD1013" s="92"/>
      <c r="AE1013" s="89"/>
    </row>
    <row r="1014" spans="1:31" ht="75" x14ac:dyDescent="0.25">
      <c r="A1014" s="85">
        <v>11</v>
      </c>
      <c r="B1014" s="89" t="s">
        <v>242</v>
      </c>
      <c r="C1014" s="88" t="s">
        <v>255</v>
      </c>
      <c r="D1014" s="88" t="s">
        <v>326</v>
      </c>
      <c r="E1014" s="88" t="s">
        <v>327</v>
      </c>
      <c r="F1014" s="86">
        <v>3</v>
      </c>
      <c r="G1014" s="86">
        <v>4</v>
      </c>
      <c r="H1014" s="86">
        <v>12</v>
      </c>
      <c r="I1014" s="86" t="s">
        <v>8</v>
      </c>
      <c r="J1014" s="86" t="s">
        <v>261</v>
      </c>
      <c r="K1014" s="98" t="s">
        <v>276</v>
      </c>
      <c r="L1014" s="85"/>
      <c r="M1014" s="102"/>
      <c r="N1014" s="85"/>
      <c r="O1014" s="86"/>
      <c r="P1014" s="17" t="s">
        <v>8</v>
      </c>
      <c r="Q1014" s="86">
        <v>12</v>
      </c>
      <c r="R1014" s="86" t="s">
        <v>19</v>
      </c>
      <c r="S1014" s="88" t="s">
        <v>328</v>
      </c>
      <c r="T1014" s="86" t="s">
        <v>10</v>
      </c>
      <c r="U1014" s="86">
        <v>2</v>
      </c>
      <c r="V1014" s="86" t="s">
        <v>7</v>
      </c>
      <c r="W1014" s="86">
        <v>1</v>
      </c>
      <c r="X1014" s="86" t="s">
        <v>10</v>
      </c>
      <c r="Y1014" s="86">
        <v>2</v>
      </c>
      <c r="Z1014" s="90" t="s">
        <v>14</v>
      </c>
      <c r="AA1014" s="85"/>
      <c r="AB1014" s="87">
        <v>46254</v>
      </c>
      <c r="AC1014" s="85"/>
      <c r="AD1014" s="88"/>
      <c r="AE1014" s="85"/>
    </row>
    <row r="1015" spans="1:31" ht="75" x14ac:dyDescent="0.25">
      <c r="A1015" s="85">
        <v>12</v>
      </c>
      <c r="B1015" s="89" t="s">
        <v>243</v>
      </c>
      <c r="C1015" s="88" t="s">
        <v>329</v>
      </c>
      <c r="D1015" s="88" t="s">
        <v>256</v>
      </c>
      <c r="E1015" s="88" t="s">
        <v>330</v>
      </c>
      <c r="F1015" s="86">
        <v>2</v>
      </c>
      <c r="G1015" s="86">
        <v>4</v>
      </c>
      <c r="H1015" s="86">
        <v>8</v>
      </c>
      <c r="I1015" s="86" t="s">
        <v>9</v>
      </c>
      <c r="J1015" s="86" t="s">
        <v>267</v>
      </c>
      <c r="K1015" s="98" t="s">
        <v>282</v>
      </c>
      <c r="L1015" s="85"/>
      <c r="M1015" s="102"/>
      <c r="N1015" s="85"/>
      <c r="O1015" s="86"/>
      <c r="P1015" s="17" t="s">
        <v>9</v>
      </c>
      <c r="Q1015" s="86">
        <v>8</v>
      </c>
      <c r="R1015" s="86" t="s">
        <v>12</v>
      </c>
      <c r="S1015" s="88" t="s">
        <v>331</v>
      </c>
      <c r="T1015" s="86" t="s">
        <v>285</v>
      </c>
      <c r="U1015" s="86">
        <v>2</v>
      </c>
      <c r="V1015" s="86" t="s">
        <v>7</v>
      </c>
      <c r="W1015" s="86">
        <v>1</v>
      </c>
      <c r="X1015" s="86" t="s">
        <v>285</v>
      </c>
      <c r="Y1015" s="86">
        <v>2</v>
      </c>
      <c r="Z1015" s="90" t="s">
        <v>15</v>
      </c>
      <c r="AA1015" s="85"/>
      <c r="AB1015" s="87">
        <v>46315</v>
      </c>
      <c r="AC1015" s="85"/>
      <c r="AD1015" s="88"/>
      <c r="AE1015" s="85"/>
    </row>
    <row r="1016" spans="1:31" ht="75" x14ac:dyDescent="0.25">
      <c r="A1016" s="89">
        <v>13</v>
      </c>
      <c r="B1016" s="89" t="s">
        <v>244</v>
      </c>
      <c r="C1016" s="92" t="s">
        <v>257</v>
      </c>
      <c r="D1016" s="92" t="s">
        <v>332</v>
      </c>
      <c r="E1016" s="92" t="s">
        <v>333</v>
      </c>
      <c r="F1016" s="90">
        <v>4</v>
      </c>
      <c r="G1016" s="90">
        <v>5</v>
      </c>
      <c r="H1016" s="90">
        <v>20</v>
      </c>
      <c r="I1016" s="90" t="s">
        <v>92</v>
      </c>
      <c r="J1016" s="90" t="s">
        <v>261</v>
      </c>
      <c r="K1016" s="97" t="s">
        <v>278</v>
      </c>
      <c r="L1016" s="85"/>
      <c r="M1016" s="101"/>
      <c r="N1016" s="89"/>
      <c r="O1016" s="90"/>
      <c r="P1016" s="17" t="s">
        <v>286</v>
      </c>
      <c r="Q1016" s="90">
        <v>20</v>
      </c>
      <c r="R1016" s="86" t="s">
        <v>19</v>
      </c>
      <c r="S1016" s="92" t="s">
        <v>334</v>
      </c>
      <c r="T1016" s="90" t="s">
        <v>248</v>
      </c>
      <c r="U1016" s="90">
        <v>5</v>
      </c>
      <c r="V1016" s="90" t="s">
        <v>7</v>
      </c>
      <c r="W1016" s="90">
        <v>1</v>
      </c>
      <c r="X1016" s="90" t="s">
        <v>9</v>
      </c>
      <c r="Y1016" s="90">
        <v>5</v>
      </c>
      <c r="Z1016" s="90" t="s">
        <v>14</v>
      </c>
      <c r="AA1016" s="89"/>
      <c r="AB1016" s="91">
        <v>46285</v>
      </c>
      <c r="AC1016" s="89"/>
      <c r="AD1016" s="92"/>
      <c r="AE1016" s="89"/>
    </row>
    <row r="1017" spans="1:31" ht="75" x14ac:dyDescent="0.25">
      <c r="A1017" s="89">
        <v>14</v>
      </c>
      <c r="B1017" s="89" t="s">
        <v>198</v>
      </c>
      <c r="C1017" s="92" t="s">
        <v>336</v>
      </c>
      <c r="D1017" s="92" t="s">
        <v>335</v>
      </c>
      <c r="E1017" s="92" t="s">
        <v>337</v>
      </c>
      <c r="F1017" s="90">
        <v>3</v>
      </c>
      <c r="G1017" s="90">
        <v>4</v>
      </c>
      <c r="H1017" s="90">
        <v>12</v>
      </c>
      <c r="I1017" s="90" t="s">
        <v>304</v>
      </c>
      <c r="J1017" s="90" t="s">
        <v>267</v>
      </c>
      <c r="K1017" s="97" t="s">
        <v>274</v>
      </c>
      <c r="L1017" s="85"/>
      <c r="M1017" s="101"/>
      <c r="N1017" s="89"/>
      <c r="O1017" s="90"/>
      <c r="P1017" s="17" t="s">
        <v>8</v>
      </c>
      <c r="Q1017" s="90">
        <v>12</v>
      </c>
      <c r="R1017" s="86" t="s">
        <v>19</v>
      </c>
      <c r="S1017" s="92" t="s">
        <v>338</v>
      </c>
      <c r="T1017" s="90" t="s">
        <v>4</v>
      </c>
      <c r="U1017" s="90">
        <v>3</v>
      </c>
      <c r="V1017" s="90" t="s">
        <v>6</v>
      </c>
      <c r="W1017" s="90">
        <v>2</v>
      </c>
      <c r="X1017" s="90" t="s">
        <v>9</v>
      </c>
      <c r="Y1017" s="90">
        <v>6</v>
      </c>
      <c r="Z1017" s="90" t="s">
        <v>14</v>
      </c>
      <c r="AA1017" s="89"/>
      <c r="AB1017" s="91">
        <v>46315</v>
      </c>
      <c r="AC1017" s="89"/>
      <c r="AD1017" s="92"/>
      <c r="AE1017" s="89"/>
    </row>
    <row r="1018" spans="1:31" x14ac:dyDescent="0.25">
      <c r="A1018" s="89">
        <v>15</v>
      </c>
      <c r="B1018" s="16"/>
      <c r="C1018" s="89"/>
      <c r="D1018" s="89"/>
      <c r="E1018" s="89"/>
      <c r="F1018" s="90"/>
      <c r="G1018" s="90"/>
      <c r="H1018" s="90"/>
      <c r="I1018" s="89"/>
      <c r="J1018" s="90"/>
      <c r="K1018" s="99"/>
      <c r="L1018" s="85"/>
      <c r="M1018" s="101"/>
      <c r="N1018" s="89"/>
      <c r="O1018" s="90"/>
      <c r="P1018" s="90"/>
      <c r="Q1018" s="90"/>
      <c r="R1018" s="89"/>
      <c r="S1018" s="89"/>
      <c r="T1018" s="90"/>
      <c r="U1018" s="90"/>
      <c r="V1018" s="90"/>
      <c r="W1018" s="90"/>
      <c r="X1018" s="90"/>
      <c r="Y1018" s="90"/>
      <c r="Z1018" s="89"/>
      <c r="AA1018" s="89"/>
      <c r="AB1018" s="91"/>
      <c r="AC1018" s="89"/>
      <c r="AD1018" s="92"/>
      <c r="AE1018" s="89"/>
    </row>
    <row r="1019" spans="1:31" x14ac:dyDescent="0.25">
      <c r="A1019" s="89">
        <v>16</v>
      </c>
      <c r="B1019" s="89"/>
      <c r="C1019" s="89"/>
      <c r="D1019" s="89"/>
      <c r="E1019" s="89"/>
      <c r="F1019" s="90"/>
      <c r="G1019" s="90"/>
      <c r="H1019" s="90"/>
      <c r="I1019" s="89"/>
      <c r="J1019" s="90"/>
      <c r="K1019" s="99"/>
      <c r="L1019" s="85"/>
      <c r="M1019" s="101"/>
      <c r="N1019" s="89"/>
      <c r="O1019" s="90"/>
      <c r="P1019" s="90"/>
      <c r="Q1019" s="90"/>
      <c r="R1019" s="89"/>
      <c r="S1019" s="89"/>
      <c r="T1019" s="89"/>
      <c r="U1019" s="90"/>
      <c r="V1019" s="90"/>
      <c r="W1019" s="90"/>
      <c r="X1019" s="90"/>
      <c r="Y1019" s="90"/>
      <c r="Z1019" s="89"/>
      <c r="AA1019" s="89"/>
      <c r="AB1019" s="91"/>
      <c r="AC1019" s="89"/>
      <c r="AD1019" s="92"/>
      <c r="AE1019" s="89"/>
    </row>
    <row r="1020" spans="1:31" x14ac:dyDescent="0.25">
      <c r="A1020" s="89">
        <v>17</v>
      </c>
      <c r="B1020" s="89"/>
      <c r="C1020" s="89"/>
      <c r="D1020" s="89"/>
      <c r="E1020" s="89"/>
      <c r="F1020" s="90"/>
      <c r="G1020" s="90"/>
      <c r="H1020" s="90"/>
      <c r="I1020" s="89"/>
      <c r="J1020" s="90"/>
      <c r="K1020" s="99"/>
      <c r="L1020" s="85"/>
      <c r="M1020" s="101"/>
      <c r="N1020" s="89"/>
      <c r="O1020" s="90"/>
      <c r="P1020" s="90"/>
      <c r="Q1020" s="90"/>
      <c r="R1020" s="89"/>
      <c r="S1020" s="89"/>
      <c r="T1020" s="89"/>
      <c r="U1020" s="90"/>
      <c r="V1020" s="89"/>
      <c r="W1020" s="90"/>
      <c r="X1020" s="90"/>
      <c r="Y1020" s="90"/>
      <c r="Z1020" s="89"/>
      <c r="AA1020" s="89"/>
      <c r="AB1020" s="91"/>
      <c r="AC1020" s="89"/>
      <c r="AD1020" s="92"/>
      <c r="AE1020" s="89"/>
    </row>
    <row r="1021" spans="1:31" x14ac:dyDescent="0.25">
      <c r="A1021" s="32"/>
      <c r="B1021" s="32"/>
      <c r="C1021" s="32"/>
      <c r="D1021" s="32"/>
      <c r="E1021" s="32"/>
      <c r="F1021" s="32"/>
      <c r="G1021" s="32"/>
      <c r="H1021" s="32"/>
      <c r="I1021" s="32"/>
      <c r="J1021" s="32"/>
      <c r="K1021" s="80"/>
      <c r="L1021" s="32"/>
      <c r="M1021" s="103"/>
      <c r="N1021" s="32"/>
      <c r="O1021" s="82"/>
      <c r="P1021" s="82"/>
      <c r="Q1021" s="82"/>
      <c r="R1021" s="32"/>
      <c r="S1021" s="32"/>
      <c r="T1021" s="32"/>
      <c r="U1021" s="32"/>
      <c r="V1021" s="32"/>
      <c r="W1021" s="32"/>
      <c r="X1021" s="32"/>
      <c r="Y1021" s="32"/>
      <c r="Z1021" s="32"/>
      <c r="AA1021" s="32"/>
      <c r="AB1021" s="32"/>
      <c r="AC1021" s="32"/>
      <c r="AD1021" s="84"/>
      <c r="AE1021" s="32"/>
    </row>
    <row r="1022" spans="1:31" x14ac:dyDescent="0.25">
      <c r="A1022" s="32"/>
      <c r="B1022" s="32"/>
      <c r="C1022" s="32"/>
      <c r="D1022" s="32"/>
      <c r="E1022" s="32"/>
      <c r="F1022" s="32"/>
      <c r="G1022" s="32"/>
      <c r="H1022" s="32"/>
      <c r="I1022" s="32"/>
      <c r="J1022" s="32"/>
      <c r="K1022" s="80"/>
      <c r="L1022" s="32"/>
      <c r="M1022" s="103"/>
      <c r="N1022" s="32"/>
      <c r="O1022" s="82"/>
      <c r="P1022" s="82"/>
      <c r="Q1022" s="82"/>
      <c r="R1022" s="32"/>
      <c r="S1022" s="32"/>
      <c r="T1022" s="32"/>
      <c r="U1022" s="32"/>
      <c r="V1022" s="32"/>
      <c r="W1022" s="32"/>
      <c r="X1022" s="32"/>
      <c r="Y1022" s="32"/>
      <c r="Z1022" s="32"/>
      <c r="AA1022" s="32"/>
      <c r="AB1022" s="32"/>
      <c r="AC1022" s="32"/>
      <c r="AD1022" s="84"/>
      <c r="AE1022" s="32"/>
    </row>
    <row r="1023" spans="1:31" x14ac:dyDescent="0.25">
      <c r="A1023" s="32"/>
      <c r="B1023" s="32"/>
      <c r="C1023" s="32"/>
      <c r="D1023" s="32"/>
      <c r="E1023" s="32"/>
      <c r="F1023" s="32"/>
      <c r="G1023" s="32"/>
      <c r="H1023" s="32"/>
      <c r="I1023" s="32"/>
      <c r="J1023" s="32"/>
      <c r="K1023" s="80"/>
      <c r="L1023" s="32"/>
      <c r="M1023" s="103"/>
      <c r="N1023" s="32"/>
      <c r="O1023" s="82"/>
      <c r="P1023" s="82"/>
      <c r="Q1023" s="82"/>
      <c r="R1023" s="32"/>
      <c r="S1023" s="32"/>
      <c r="T1023" s="32"/>
      <c r="U1023" s="32"/>
      <c r="V1023" s="32"/>
      <c r="W1023" s="32"/>
      <c r="X1023" s="32"/>
      <c r="Y1023" s="32"/>
      <c r="Z1023" s="32"/>
      <c r="AA1023" s="32"/>
      <c r="AB1023" s="32"/>
      <c r="AC1023" s="32"/>
      <c r="AD1023" s="84"/>
      <c r="AE1023" s="32"/>
    </row>
    <row r="1024" spans="1:31" x14ac:dyDescent="0.25">
      <c r="A1024" s="32"/>
      <c r="B1024" s="32"/>
      <c r="C1024" s="32"/>
      <c r="D1024" s="32"/>
      <c r="E1024" s="32"/>
      <c r="F1024" s="32"/>
      <c r="G1024" s="32"/>
      <c r="H1024" s="32"/>
      <c r="I1024" s="32"/>
      <c r="J1024" s="32"/>
      <c r="K1024" s="80"/>
      <c r="L1024" s="32"/>
      <c r="M1024" s="103"/>
      <c r="N1024" s="32"/>
      <c r="O1024" s="82"/>
      <c r="P1024" s="82"/>
      <c r="Q1024" s="82"/>
      <c r="R1024" s="32"/>
      <c r="S1024" s="32"/>
      <c r="T1024" s="32"/>
      <c r="U1024" s="32"/>
      <c r="V1024" s="32"/>
      <c r="W1024" s="32"/>
      <c r="X1024" s="32"/>
      <c r="Y1024" s="32"/>
      <c r="Z1024" s="32"/>
      <c r="AA1024" s="32"/>
      <c r="AB1024" s="32"/>
      <c r="AC1024" s="32"/>
      <c r="AD1024" s="84"/>
      <c r="AE1024" s="32"/>
    </row>
    <row r="1025" spans="1:31" x14ac:dyDescent="0.25">
      <c r="A1025" s="32"/>
      <c r="B1025" s="32"/>
      <c r="C1025" s="32"/>
      <c r="D1025" s="32"/>
      <c r="E1025" s="32"/>
      <c r="F1025" s="32"/>
      <c r="G1025" s="32"/>
      <c r="H1025" s="32"/>
      <c r="I1025" s="32"/>
      <c r="J1025" s="32"/>
      <c r="K1025" s="80"/>
      <c r="L1025" s="32"/>
      <c r="M1025" s="103"/>
      <c r="N1025" s="32"/>
      <c r="O1025" s="82"/>
      <c r="P1025" s="82"/>
      <c r="Q1025" s="82"/>
      <c r="R1025" s="32"/>
      <c r="S1025" s="32"/>
      <c r="T1025" s="32"/>
      <c r="U1025" s="32"/>
      <c r="V1025" s="32"/>
      <c r="W1025" s="32"/>
      <c r="X1025" s="32"/>
      <c r="Y1025" s="32"/>
      <c r="Z1025" s="32"/>
      <c r="AA1025" s="32"/>
      <c r="AB1025" s="32"/>
      <c r="AC1025" s="32"/>
      <c r="AD1025" s="84"/>
      <c r="AE1025" s="32"/>
    </row>
    <row r="1026" spans="1:31" x14ac:dyDescent="0.25">
      <c r="A1026" s="32"/>
      <c r="B1026" s="32"/>
      <c r="C1026" s="32"/>
      <c r="D1026" s="32"/>
      <c r="E1026" s="32"/>
      <c r="F1026" s="32"/>
      <c r="G1026" s="32"/>
      <c r="H1026" s="32"/>
      <c r="I1026" s="32"/>
      <c r="J1026" s="32"/>
      <c r="K1026" s="80"/>
      <c r="L1026" s="32"/>
      <c r="M1026" s="103"/>
      <c r="N1026" s="32"/>
      <c r="O1026" s="82"/>
      <c r="P1026" s="82"/>
      <c r="Q1026" s="82"/>
      <c r="R1026" s="32"/>
      <c r="S1026" s="32"/>
      <c r="T1026" s="32"/>
      <c r="U1026" s="32"/>
      <c r="V1026" s="32"/>
      <c r="W1026" s="32"/>
      <c r="X1026" s="32"/>
      <c r="Y1026" s="32"/>
      <c r="Z1026" s="32"/>
      <c r="AA1026" s="32"/>
      <c r="AB1026" s="32"/>
      <c r="AC1026" s="32"/>
      <c r="AD1026" s="84"/>
      <c r="AE1026" s="32"/>
    </row>
    <row r="1027" spans="1:31" x14ac:dyDescent="0.25">
      <c r="A1027" s="32"/>
      <c r="B1027" s="32"/>
      <c r="C1027" s="32"/>
      <c r="D1027" s="32"/>
      <c r="E1027" s="32"/>
      <c r="F1027" s="32"/>
      <c r="G1027" s="32"/>
      <c r="H1027" s="32"/>
      <c r="I1027" s="32"/>
      <c r="J1027" s="32"/>
      <c r="K1027" s="80"/>
      <c r="L1027" s="32"/>
      <c r="M1027" s="103"/>
      <c r="N1027" s="32"/>
      <c r="O1027" s="82"/>
      <c r="P1027" s="82"/>
      <c r="Q1027" s="82"/>
      <c r="R1027" s="32"/>
      <c r="S1027" s="32"/>
      <c r="T1027" s="32"/>
      <c r="U1027" s="32"/>
      <c r="V1027" s="32"/>
      <c r="W1027" s="32"/>
      <c r="X1027" s="32"/>
      <c r="Y1027" s="32"/>
      <c r="Z1027" s="32"/>
      <c r="AA1027" s="32"/>
      <c r="AB1027" s="32"/>
      <c r="AC1027" s="32"/>
      <c r="AD1027" s="84"/>
      <c r="AE1027" s="32"/>
    </row>
    <row r="1028" spans="1:31" x14ac:dyDescent="0.25">
      <c r="A1028" s="32"/>
      <c r="B1028" s="32"/>
      <c r="C1028" s="32"/>
      <c r="D1028" s="32"/>
      <c r="E1028" s="32"/>
      <c r="F1028" s="32"/>
      <c r="G1028" s="32"/>
      <c r="H1028" s="32"/>
      <c r="I1028" s="32"/>
      <c r="J1028" s="32"/>
      <c r="K1028" s="80"/>
      <c r="L1028" s="32"/>
      <c r="M1028" s="103"/>
      <c r="N1028" s="32"/>
      <c r="O1028" s="82"/>
      <c r="P1028" s="82"/>
      <c r="Q1028" s="82"/>
      <c r="R1028" s="32"/>
      <c r="S1028" s="32"/>
      <c r="T1028" s="32"/>
      <c r="U1028" s="32"/>
      <c r="V1028" s="32"/>
      <c r="W1028" s="32"/>
      <c r="X1028" s="32"/>
      <c r="Y1028" s="32"/>
      <c r="Z1028" s="32"/>
      <c r="AA1028" s="32"/>
      <c r="AB1028" s="32"/>
      <c r="AC1028" s="32"/>
      <c r="AD1028" s="84"/>
      <c r="AE1028" s="32"/>
    </row>
    <row r="1029" spans="1:31" x14ac:dyDescent="0.25">
      <c r="A1029" s="32"/>
      <c r="B1029" s="32"/>
      <c r="C1029" s="32"/>
      <c r="D1029" s="32"/>
      <c r="E1029" s="32"/>
      <c r="F1029" s="32"/>
      <c r="G1029" s="32"/>
      <c r="H1029" s="32"/>
      <c r="I1029" s="32"/>
      <c r="J1029" s="32"/>
      <c r="K1029" s="80"/>
      <c r="L1029" s="32"/>
      <c r="M1029" s="103"/>
      <c r="N1029" s="32"/>
      <c r="O1029" s="82"/>
      <c r="P1029" s="82"/>
      <c r="Q1029" s="82"/>
      <c r="R1029" s="32"/>
      <c r="S1029" s="32"/>
      <c r="T1029" s="32"/>
      <c r="U1029" s="32"/>
      <c r="V1029" s="32"/>
      <c r="W1029" s="32"/>
      <c r="X1029" s="32"/>
      <c r="Y1029" s="32"/>
      <c r="Z1029" s="32"/>
      <c r="AA1029" s="32"/>
      <c r="AB1029" s="32"/>
      <c r="AC1029" s="32"/>
      <c r="AD1029" s="84"/>
      <c r="AE1029" s="32"/>
    </row>
    <row r="1030" spans="1:31" x14ac:dyDescent="0.25">
      <c r="A1030" s="32"/>
      <c r="B1030" s="32"/>
      <c r="C1030" s="32"/>
      <c r="D1030" s="32"/>
      <c r="E1030" s="32"/>
      <c r="F1030" s="32"/>
      <c r="G1030" s="32"/>
      <c r="H1030" s="32"/>
      <c r="I1030" s="32"/>
      <c r="J1030" s="32"/>
      <c r="K1030" s="80"/>
      <c r="L1030" s="32"/>
      <c r="M1030" s="103"/>
      <c r="N1030" s="32"/>
      <c r="O1030" s="82"/>
      <c r="P1030" s="82"/>
      <c r="Q1030" s="82"/>
      <c r="R1030" s="32"/>
      <c r="S1030" s="32"/>
      <c r="T1030" s="32"/>
      <c r="U1030" s="32"/>
      <c r="V1030" s="32"/>
      <c r="W1030" s="32"/>
      <c r="X1030" s="32"/>
      <c r="Y1030" s="32"/>
      <c r="Z1030" s="32"/>
      <c r="AA1030" s="32"/>
      <c r="AB1030" s="32"/>
      <c r="AC1030" s="32"/>
      <c r="AD1030" s="84"/>
      <c r="AE1030" s="32"/>
    </row>
    <row r="1031" spans="1:31" x14ac:dyDescent="0.25">
      <c r="A1031" s="32"/>
      <c r="B1031" s="32"/>
      <c r="C1031" s="32"/>
      <c r="D1031" s="32"/>
      <c r="E1031" s="32"/>
      <c r="F1031" s="32"/>
      <c r="G1031" s="32"/>
      <c r="H1031" s="32"/>
      <c r="I1031" s="32"/>
      <c r="J1031" s="32"/>
      <c r="K1031" s="80"/>
      <c r="L1031" s="32"/>
      <c r="M1031" s="103"/>
      <c r="N1031" s="32"/>
      <c r="O1031" s="82"/>
      <c r="P1031" s="82"/>
      <c r="Q1031" s="82"/>
      <c r="R1031" s="32"/>
      <c r="S1031" s="32"/>
      <c r="T1031" s="32"/>
      <c r="U1031" s="32"/>
      <c r="V1031" s="32"/>
      <c r="W1031" s="32"/>
      <c r="X1031" s="32"/>
      <c r="Y1031" s="32"/>
      <c r="Z1031" s="32"/>
      <c r="AA1031" s="32"/>
      <c r="AB1031" s="32"/>
      <c r="AC1031" s="32"/>
      <c r="AD1031" s="84"/>
      <c r="AE1031" s="32"/>
    </row>
    <row r="1032" spans="1:31" x14ac:dyDescent="0.25">
      <c r="A1032" s="32"/>
      <c r="B1032" s="32"/>
      <c r="C1032" s="32"/>
      <c r="D1032" s="32"/>
      <c r="E1032" s="32"/>
      <c r="F1032" s="32"/>
      <c r="G1032" s="32"/>
      <c r="H1032" s="32"/>
      <c r="I1032" s="32"/>
      <c r="J1032" s="32"/>
      <c r="K1032" s="80"/>
      <c r="L1032" s="32"/>
      <c r="M1032" s="103"/>
      <c r="N1032" s="32"/>
      <c r="O1032" s="82"/>
      <c r="P1032" s="82"/>
      <c r="Q1032" s="82"/>
      <c r="R1032" s="32"/>
      <c r="S1032" s="32"/>
      <c r="T1032" s="32"/>
      <c r="U1032" s="32"/>
      <c r="V1032" s="32"/>
      <c r="W1032" s="32"/>
      <c r="X1032" s="32"/>
      <c r="Y1032" s="32"/>
      <c r="Z1032" s="32"/>
      <c r="AA1032" s="32"/>
      <c r="AB1032" s="32"/>
      <c r="AC1032" s="32"/>
      <c r="AD1032" s="84"/>
      <c r="AE1032" s="32"/>
    </row>
    <row r="1033" spans="1:31" x14ac:dyDescent="0.25">
      <c r="A1033" s="32"/>
      <c r="B1033" s="32"/>
      <c r="C1033" s="32"/>
      <c r="D1033" s="32"/>
      <c r="E1033" s="32"/>
      <c r="F1033" s="32"/>
      <c r="G1033" s="32"/>
      <c r="H1033" s="32"/>
      <c r="I1033" s="32"/>
      <c r="J1033" s="32"/>
      <c r="K1033" s="80"/>
      <c r="L1033" s="32"/>
      <c r="M1033" s="103"/>
      <c r="N1033" s="32"/>
      <c r="O1033" s="82"/>
      <c r="P1033" s="82"/>
      <c r="Q1033" s="82"/>
      <c r="R1033" s="32"/>
      <c r="S1033" s="32"/>
      <c r="T1033" s="32"/>
      <c r="U1033" s="32"/>
      <c r="V1033" s="32"/>
      <c r="W1033" s="32"/>
      <c r="X1033" s="32"/>
      <c r="Y1033" s="32"/>
      <c r="Z1033" s="32"/>
      <c r="AA1033" s="32"/>
      <c r="AB1033" s="32"/>
      <c r="AC1033" s="32"/>
      <c r="AD1033" s="84"/>
      <c r="AE1033" s="32"/>
    </row>
    <row r="1034" spans="1:31" x14ac:dyDescent="0.25">
      <c r="A1034" s="32"/>
      <c r="B1034" s="32"/>
      <c r="C1034" s="32"/>
      <c r="D1034" s="32"/>
      <c r="E1034" s="32"/>
      <c r="F1034" s="32"/>
      <c r="G1034" s="32"/>
      <c r="H1034" s="32"/>
      <c r="I1034" s="32"/>
      <c r="J1034" s="32"/>
      <c r="K1034" s="80"/>
      <c r="L1034" s="32"/>
      <c r="M1034" s="103"/>
      <c r="N1034" s="32"/>
      <c r="O1034" s="82"/>
      <c r="P1034" s="82"/>
      <c r="Q1034" s="82"/>
      <c r="R1034" s="32"/>
      <c r="S1034" s="32"/>
      <c r="T1034" s="32"/>
      <c r="U1034" s="32"/>
      <c r="V1034" s="32"/>
      <c r="W1034" s="32"/>
      <c r="X1034" s="32"/>
      <c r="Y1034" s="32"/>
      <c r="Z1034" s="32"/>
      <c r="AA1034" s="32"/>
      <c r="AB1034" s="32"/>
      <c r="AC1034" s="32"/>
      <c r="AD1034" s="84"/>
      <c r="AE1034" s="32"/>
    </row>
    <row r="1035" spans="1:31" x14ac:dyDescent="0.25">
      <c r="A1035" s="32"/>
      <c r="B1035" s="32"/>
      <c r="C1035" s="32"/>
      <c r="D1035" s="32"/>
      <c r="E1035" s="32"/>
      <c r="F1035" s="32"/>
      <c r="G1035" s="32"/>
      <c r="H1035" s="32"/>
      <c r="I1035" s="32"/>
      <c r="J1035" s="32"/>
      <c r="K1035" s="80"/>
      <c r="L1035" s="32"/>
      <c r="M1035" s="103"/>
      <c r="N1035" s="32"/>
      <c r="O1035" s="82"/>
      <c r="P1035" s="82"/>
      <c r="Q1035" s="82"/>
      <c r="R1035" s="32"/>
      <c r="S1035" s="32"/>
      <c r="T1035" s="32"/>
      <c r="U1035" s="32"/>
      <c r="V1035" s="32"/>
      <c r="W1035" s="32"/>
      <c r="X1035" s="32"/>
      <c r="Y1035" s="32"/>
      <c r="Z1035" s="32"/>
      <c r="AA1035" s="32"/>
      <c r="AB1035" s="32"/>
      <c r="AC1035" s="32"/>
      <c r="AD1035" s="84"/>
      <c r="AE1035" s="32"/>
    </row>
    <row r="1036" spans="1:31" x14ac:dyDescent="0.25">
      <c r="A1036" s="32"/>
      <c r="B1036" s="32"/>
      <c r="C1036" s="32"/>
      <c r="D1036" s="32"/>
      <c r="E1036" s="32"/>
      <c r="F1036" s="32"/>
      <c r="G1036" s="32"/>
      <c r="H1036" s="32"/>
      <c r="I1036" s="32"/>
      <c r="J1036" s="32"/>
      <c r="K1036" s="80"/>
      <c r="L1036" s="32"/>
      <c r="M1036" s="103"/>
      <c r="N1036" s="32"/>
      <c r="O1036" s="82"/>
      <c r="P1036" s="82"/>
      <c r="Q1036" s="82"/>
      <c r="R1036" s="32"/>
      <c r="S1036" s="32"/>
      <c r="T1036" s="32"/>
      <c r="U1036" s="32"/>
      <c r="V1036" s="32"/>
      <c r="W1036" s="32"/>
      <c r="X1036" s="32"/>
      <c r="Y1036" s="32"/>
      <c r="Z1036" s="32"/>
      <c r="AA1036" s="32"/>
      <c r="AB1036" s="32"/>
      <c r="AC1036" s="32"/>
      <c r="AD1036" s="84"/>
      <c r="AE1036" s="32"/>
    </row>
    <row r="1037" spans="1:31" x14ac:dyDescent="0.25">
      <c r="A1037" s="32"/>
      <c r="B1037" s="32"/>
      <c r="C1037" s="32"/>
      <c r="D1037" s="32"/>
      <c r="E1037" s="32"/>
      <c r="F1037" s="32"/>
      <c r="G1037" s="32"/>
      <c r="H1037" s="32"/>
      <c r="I1037" s="32"/>
      <c r="J1037" s="32"/>
      <c r="K1037" s="80"/>
      <c r="L1037" s="32"/>
      <c r="M1037" s="103"/>
      <c r="N1037" s="32"/>
      <c r="O1037" s="82"/>
      <c r="P1037" s="82"/>
      <c r="Q1037" s="82"/>
      <c r="R1037" s="32"/>
      <c r="S1037" s="32"/>
      <c r="T1037" s="32"/>
      <c r="U1037" s="32"/>
      <c r="V1037" s="32"/>
      <c r="W1037" s="32"/>
      <c r="X1037" s="32"/>
      <c r="Y1037" s="32"/>
      <c r="Z1037" s="32"/>
      <c r="AA1037" s="32"/>
      <c r="AB1037" s="32"/>
      <c r="AC1037" s="32"/>
      <c r="AD1037" s="84"/>
      <c r="AE1037" s="32"/>
    </row>
    <row r="1038" spans="1:31" x14ac:dyDescent="0.25">
      <c r="A1038" s="32"/>
      <c r="B1038" s="32"/>
      <c r="C1038" s="32"/>
      <c r="D1038" s="32"/>
      <c r="E1038" s="32"/>
      <c r="F1038" s="32"/>
      <c r="G1038" s="32"/>
      <c r="H1038" s="32"/>
      <c r="I1038" s="32"/>
      <c r="J1038" s="32"/>
      <c r="K1038" s="80"/>
      <c r="L1038" s="32"/>
      <c r="M1038" s="103"/>
      <c r="N1038" s="32"/>
      <c r="O1038" s="82"/>
      <c r="P1038" s="82"/>
      <c r="Q1038" s="82"/>
      <c r="R1038" s="32"/>
      <c r="S1038" s="32"/>
      <c r="T1038" s="32"/>
      <c r="U1038" s="32"/>
      <c r="V1038" s="32"/>
      <c r="W1038" s="32"/>
      <c r="X1038" s="32"/>
      <c r="Y1038" s="32"/>
      <c r="Z1038" s="32"/>
      <c r="AA1038" s="32"/>
      <c r="AB1038" s="32"/>
      <c r="AC1038" s="32"/>
      <c r="AD1038" s="84"/>
      <c r="AE1038" s="32"/>
    </row>
    <row r="1039" spans="1:31" x14ac:dyDescent="0.25">
      <c r="A1039" s="32"/>
      <c r="B1039" s="32"/>
      <c r="C1039" s="32"/>
      <c r="D1039" s="32"/>
      <c r="E1039" s="32"/>
      <c r="F1039" s="32"/>
      <c r="G1039" s="32"/>
      <c r="H1039" s="32"/>
      <c r="I1039" s="32"/>
      <c r="J1039" s="32"/>
      <c r="K1039" s="80"/>
      <c r="L1039" s="32"/>
      <c r="M1039" s="103"/>
      <c r="N1039" s="32"/>
      <c r="O1039" s="82"/>
      <c r="P1039" s="82"/>
      <c r="Q1039" s="82"/>
      <c r="R1039" s="32"/>
      <c r="S1039" s="32"/>
      <c r="T1039" s="32"/>
      <c r="U1039" s="32"/>
      <c r="V1039" s="32"/>
      <c r="W1039" s="32"/>
      <c r="X1039" s="32"/>
      <c r="Y1039" s="32"/>
      <c r="Z1039" s="32"/>
      <c r="AA1039" s="32"/>
      <c r="AB1039" s="32"/>
      <c r="AC1039" s="32"/>
      <c r="AD1039" s="84"/>
      <c r="AE1039" s="32"/>
    </row>
    <row r="1040" spans="1:31" x14ac:dyDescent="0.25">
      <c r="A1040" s="32"/>
      <c r="B1040" s="32"/>
      <c r="C1040" s="32"/>
      <c r="D1040" s="32"/>
      <c r="E1040" s="32"/>
      <c r="F1040" s="32"/>
      <c r="G1040" s="32"/>
      <c r="H1040" s="32"/>
      <c r="I1040" s="32"/>
      <c r="J1040" s="32"/>
      <c r="K1040" s="80"/>
      <c r="L1040" s="32"/>
      <c r="M1040" s="103"/>
      <c r="N1040" s="32"/>
      <c r="O1040" s="82"/>
      <c r="P1040" s="82"/>
      <c r="Q1040" s="82"/>
      <c r="R1040" s="32"/>
      <c r="S1040" s="32"/>
      <c r="T1040" s="32"/>
      <c r="U1040" s="32"/>
      <c r="V1040" s="32"/>
      <c r="W1040" s="32"/>
      <c r="X1040" s="32"/>
      <c r="Y1040" s="32"/>
      <c r="Z1040" s="32"/>
      <c r="AA1040" s="32"/>
      <c r="AB1040" s="32"/>
      <c r="AC1040" s="32"/>
      <c r="AD1040" s="84"/>
      <c r="AE1040" s="32"/>
    </row>
    <row r="1041" spans="1:31" x14ac:dyDescent="0.25">
      <c r="A1041" s="32"/>
      <c r="B1041" s="32"/>
      <c r="C1041" s="32"/>
      <c r="D1041" s="32"/>
      <c r="E1041" s="32"/>
      <c r="F1041" s="32"/>
      <c r="G1041" s="32"/>
      <c r="H1041" s="32"/>
      <c r="I1041" s="32"/>
      <c r="J1041" s="32"/>
      <c r="K1041" s="32"/>
      <c r="L1041" s="81"/>
      <c r="M1041" s="82"/>
      <c r="N1041" s="32"/>
      <c r="O1041" s="82"/>
      <c r="P1041" s="82"/>
      <c r="Q1041" s="82"/>
      <c r="R1041" s="32"/>
      <c r="S1041" s="32"/>
      <c r="T1041" s="32"/>
      <c r="U1041" s="32"/>
      <c r="V1041" s="32"/>
      <c r="W1041" s="32"/>
      <c r="X1041" s="32"/>
      <c r="Y1041" s="32"/>
      <c r="Z1041" s="32"/>
      <c r="AA1041" s="32"/>
      <c r="AB1041" s="32"/>
      <c r="AC1041" s="32"/>
      <c r="AD1041" s="84"/>
      <c r="AE1041" s="32"/>
    </row>
    <row r="1042" spans="1:31" x14ac:dyDescent="0.25">
      <c r="A1042" s="32"/>
      <c r="B1042" s="32"/>
      <c r="C1042" s="32"/>
      <c r="D1042" s="32"/>
      <c r="E1042" s="32"/>
      <c r="F1042" s="32"/>
      <c r="G1042" s="32"/>
      <c r="H1042" s="32"/>
      <c r="I1042" s="32"/>
      <c r="J1042" s="32"/>
      <c r="K1042" s="32"/>
      <c r="L1042" s="32"/>
      <c r="M1042" s="82"/>
      <c r="N1042" s="32"/>
      <c r="O1042" s="82"/>
      <c r="P1042" s="82"/>
      <c r="Q1042" s="82"/>
      <c r="R1042" s="32"/>
      <c r="S1042" s="32"/>
      <c r="T1042" s="32"/>
      <c r="U1042" s="32"/>
      <c r="V1042" s="32"/>
      <c r="W1042" s="32"/>
      <c r="X1042" s="32"/>
      <c r="Y1042" s="32"/>
      <c r="Z1042" s="32"/>
      <c r="AA1042" s="32"/>
      <c r="AB1042" s="32"/>
      <c r="AC1042" s="32"/>
      <c r="AD1042" s="84"/>
      <c r="AE1042" s="32"/>
    </row>
    <row r="1043" spans="1:31" x14ac:dyDescent="0.25">
      <c r="A1043" s="32"/>
      <c r="B1043" s="32"/>
      <c r="C1043" s="32"/>
      <c r="D1043" s="32"/>
      <c r="E1043" s="32"/>
      <c r="F1043" s="32"/>
      <c r="G1043" s="32"/>
      <c r="H1043" s="32"/>
      <c r="I1043" s="32"/>
      <c r="J1043" s="32"/>
      <c r="K1043" s="32"/>
      <c r="L1043" s="32"/>
      <c r="M1043" s="82"/>
      <c r="N1043" s="32"/>
      <c r="O1043" s="82"/>
      <c r="P1043" s="82"/>
      <c r="Q1043" s="82"/>
      <c r="R1043" s="32"/>
      <c r="S1043" s="32"/>
      <c r="T1043" s="32"/>
      <c r="U1043" s="32"/>
      <c r="V1043" s="32"/>
      <c r="W1043" s="32"/>
      <c r="X1043" s="32"/>
      <c r="Y1043" s="32"/>
      <c r="Z1043" s="32"/>
      <c r="AA1043" s="32"/>
      <c r="AB1043" s="32"/>
      <c r="AC1043" s="32"/>
      <c r="AD1043" s="84"/>
      <c r="AE1043" s="32"/>
    </row>
    <row r="1044" spans="1:31" x14ac:dyDescent="0.25">
      <c r="A1044" s="32"/>
      <c r="B1044" s="32"/>
      <c r="C1044" s="32"/>
      <c r="D1044" s="32"/>
      <c r="E1044" s="32"/>
      <c r="F1044" s="32"/>
      <c r="G1044" s="32"/>
      <c r="H1044" s="32"/>
      <c r="I1044" s="32"/>
      <c r="J1044" s="32"/>
      <c r="K1044" s="32"/>
      <c r="L1044" s="32"/>
      <c r="M1044" s="82"/>
      <c r="N1044" s="32"/>
      <c r="O1044" s="82"/>
      <c r="P1044" s="82"/>
      <c r="Q1044" s="82"/>
      <c r="R1044" s="32"/>
      <c r="S1044" s="32"/>
      <c r="T1044" s="32"/>
      <c r="U1044" s="32"/>
      <c r="V1044" s="32"/>
      <c r="W1044" s="32"/>
      <c r="X1044" s="32"/>
      <c r="Y1044" s="32"/>
      <c r="Z1044" s="32"/>
      <c r="AA1044" s="32"/>
      <c r="AB1044" s="32"/>
      <c r="AC1044" s="32"/>
      <c r="AD1044" s="84"/>
      <c r="AE1044" s="32"/>
    </row>
    <row r="1045" spans="1:31" x14ac:dyDescent="0.25">
      <c r="A1045" s="32"/>
      <c r="B1045" s="32"/>
      <c r="C1045" s="32"/>
      <c r="D1045" s="32"/>
      <c r="E1045" s="32"/>
      <c r="F1045" s="32"/>
      <c r="G1045" s="32"/>
      <c r="H1045" s="32"/>
      <c r="I1045" s="32"/>
      <c r="J1045" s="32"/>
      <c r="K1045" s="32"/>
      <c r="L1045" s="32"/>
      <c r="M1045" s="82"/>
      <c r="N1045" s="32"/>
      <c r="O1045" s="82"/>
      <c r="P1045" s="82"/>
      <c r="Q1045" s="82"/>
      <c r="R1045" s="32"/>
      <c r="S1045" s="32"/>
      <c r="T1045" s="32"/>
      <c r="U1045" s="32"/>
      <c r="V1045" s="32"/>
      <c r="W1045" s="32"/>
      <c r="X1045" s="32"/>
      <c r="Y1045" s="32"/>
      <c r="Z1045" s="32"/>
      <c r="AA1045" s="32"/>
      <c r="AB1045" s="32"/>
      <c r="AC1045" s="32"/>
      <c r="AD1045" s="84"/>
      <c r="AE1045" s="32"/>
    </row>
    <row r="1046" spans="1:31" x14ac:dyDescent="0.25">
      <c r="A1046" s="32"/>
      <c r="B1046" s="32"/>
      <c r="C1046" s="32"/>
      <c r="D1046" s="32"/>
      <c r="E1046" s="32"/>
      <c r="F1046" s="32"/>
      <c r="G1046" s="32"/>
      <c r="H1046" s="32"/>
      <c r="I1046" s="32"/>
      <c r="J1046" s="32"/>
      <c r="K1046" s="32"/>
      <c r="L1046" s="32"/>
      <c r="M1046" s="82"/>
      <c r="N1046" s="32"/>
      <c r="O1046" s="82"/>
      <c r="P1046" s="82"/>
      <c r="Q1046" s="82"/>
      <c r="R1046" s="32"/>
      <c r="S1046" s="32"/>
      <c r="T1046" s="32"/>
      <c r="U1046" s="32"/>
      <c r="V1046" s="32"/>
      <c r="W1046" s="32"/>
      <c r="X1046" s="32"/>
      <c r="Y1046" s="32"/>
      <c r="Z1046" s="32"/>
      <c r="AA1046" s="32"/>
      <c r="AB1046" s="32"/>
      <c r="AC1046" s="32"/>
      <c r="AD1046" s="84"/>
      <c r="AE1046" s="32"/>
    </row>
    <row r="1047" spans="1:31" x14ac:dyDescent="0.25">
      <c r="A1047" s="32"/>
      <c r="B1047" s="32"/>
      <c r="C1047" s="32"/>
      <c r="D1047" s="32"/>
      <c r="E1047" s="32"/>
      <c r="F1047" s="32"/>
      <c r="G1047" s="32"/>
      <c r="H1047" s="32"/>
      <c r="I1047" s="32"/>
      <c r="J1047" s="32"/>
      <c r="K1047" s="32"/>
      <c r="L1047" s="32"/>
      <c r="M1047" s="82"/>
      <c r="N1047" s="32"/>
      <c r="O1047" s="82"/>
      <c r="P1047" s="82"/>
      <c r="Q1047" s="82"/>
      <c r="R1047" s="32"/>
      <c r="S1047" s="32"/>
      <c r="T1047" s="32"/>
      <c r="U1047" s="32"/>
      <c r="V1047" s="32"/>
      <c r="W1047" s="32"/>
      <c r="X1047" s="32"/>
      <c r="Y1047" s="32"/>
      <c r="Z1047" s="32"/>
      <c r="AA1047" s="32"/>
      <c r="AB1047" s="32"/>
      <c r="AC1047" s="32"/>
      <c r="AD1047" s="84"/>
      <c r="AE1047" s="32"/>
    </row>
    <row r="1048" spans="1:31" x14ac:dyDescent="0.25">
      <c r="A1048" s="32"/>
      <c r="B1048" s="32"/>
      <c r="C1048" s="32"/>
      <c r="D1048" s="32"/>
      <c r="E1048" s="32"/>
      <c r="F1048" s="32"/>
      <c r="G1048" s="32"/>
      <c r="H1048" s="32"/>
      <c r="I1048" s="32"/>
      <c r="J1048" s="32"/>
      <c r="K1048" s="32"/>
      <c r="L1048" s="32"/>
      <c r="M1048" s="82"/>
      <c r="N1048" s="32"/>
      <c r="O1048" s="82"/>
      <c r="P1048" s="82"/>
      <c r="Q1048" s="82"/>
      <c r="R1048" s="32"/>
      <c r="S1048" s="32"/>
      <c r="T1048" s="32"/>
      <c r="U1048" s="32"/>
      <c r="V1048" s="32"/>
      <c r="W1048" s="32"/>
      <c r="X1048" s="32"/>
      <c r="Y1048" s="32"/>
      <c r="Z1048" s="32"/>
      <c r="AA1048" s="32"/>
      <c r="AB1048" s="32"/>
      <c r="AC1048" s="32"/>
      <c r="AD1048" s="84"/>
      <c r="AE1048" s="32"/>
    </row>
    <row r="1049" spans="1:31" x14ac:dyDescent="0.25">
      <c r="A1049" s="32"/>
      <c r="B1049" s="32"/>
      <c r="C1049" s="32"/>
      <c r="D1049" s="32"/>
      <c r="E1049" s="32"/>
      <c r="F1049" s="32"/>
      <c r="G1049" s="32"/>
      <c r="H1049" s="32"/>
      <c r="I1049" s="32"/>
      <c r="J1049" s="32"/>
      <c r="K1049" s="32"/>
      <c r="L1049" s="32"/>
      <c r="M1049" s="82"/>
      <c r="N1049" s="32"/>
      <c r="O1049" s="82"/>
      <c r="P1049" s="82"/>
      <c r="Q1049" s="82"/>
      <c r="R1049" s="32"/>
      <c r="S1049" s="32"/>
      <c r="T1049" s="32"/>
      <c r="U1049" s="32"/>
      <c r="V1049" s="32"/>
      <c r="W1049" s="32"/>
      <c r="X1049" s="32"/>
      <c r="Y1049" s="32"/>
      <c r="Z1049" s="32"/>
      <c r="AA1049" s="32"/>
      <c r="AB1049" s="32"/>
      <c r="AC1049" s="32"/>
      <c r="AD1049" s="84"/>
      <c r="AE1049" s="32"/>
    </row>
    <row r="1050" spans="1:31" x14ac:dyDescent="0.25">
      <c r="A1050" s="32"/>
      <c r="B1050" s="32"/>
      <c r="C1050" s="32"/>
      <c r="D1050" s="32"/>
      <c r="E1050" s="32"/>
      <c r="F1050" s="32"/>
      <c r="G1050" s="32"/>
      <c r="H1050" s="32"/>
      <c r="I1050" s="32"/>
      <c r="J1050" s="32"/>
      <c r="K1050" s="32"/>
      <c r="L1050" s="32"/>
      <c r="M1050" s="82"/>
      <c r="N1050" s="32"/>
      <c r="O1050" s="82"/>
      <c r="P1050" s="82"/>
      <c r="Q1050" s="82"/>
      <c r="R1050" s="32"/>
      <c r="S1050" s="32"/>
      <c r="T1050" s="32"/>
      <c r="U1050" s="32"/>
      <c r="V1050" s="32"/>
      <c r="W1050" s="32"/>
      <c r="X1050" s="32"/>
      <c r="Y1050" s="32"/>
      <c r="Z1050" s="32"/>
      <c r="AA1050" s="32"/>
      <c r="AB1050" s="32"/>
      <c r="AC1050" s="32"/>
      <c r="AD1050" s="84"/>
      <c r="AE1050" s="32"/>
    </row>
    <row r="1051" spans="1:31" x14ac:dyDescent="0.25">
      <c r="A1051" s="32"/>
      <c r="B1051" s="32"/>
      <c r="C1051" s="32"/>
      <c r="D1051" s="32"/>
      <c r="E1051" s="32"/>
      <c r="F1051" s="32"/>
      <c r="G1051" s="32"/>
      <c r="H1051" s="32"/>
      <c r="I1051" s="32"/>
      <c r="J1051" s="32"/>
      <c r="K1051" s="32"/>
      <c r="L1051" s="32"/>
      <c r="M1051" s="82"/>
      <c r="N1051" s="32"/>
      <c r="O1051" s="82"/>
      <c r="P1051" s="82"/>
      <c r="Q1051" s="82"/>
      <c r="R1051" s="32"/>
      <c r="S1051" s="32"/>
      <c r="T1051" s="32"/>
      <c r="U1051" s="32"/>
      <c r="V1051" s="32"/>
      <c r="W1051" s="32"/>
      <c r="X1051" s="32"/>
      <c r="Y1051" s="32"/>
      <c r="Z1051" s="32"/>
      <c r="AA1051" s="32"/>
      <c r="AB1051" s="32"/>
      <c r="AC1051" s="32"/>
      <c r="AD1051" s="84"/>
      <c r="AE1051" s="32"/>
    </row>
    <row r="1052" spans="1:31" x14ac:dyDescent="0.25">
      <c r="A1052" s="32"/>
      <c r="B1052" s="32"/>
      <c r="C1052" s="32"/>
      <c r="D1052" s="32"/>
      <c r="E1052" s="32"/>
      <c r="F1052" s="32"/>
      <c r="G1052" s="32"/>
      <c r="H1052" s="32"/>
      <c r="I1052" s="32"/>
      <c r="J1052" s="32"/>
      <c r="K1052" s="32"/>
      <c r="L1052" s="32"/>
      <c r="M1052" s="82"/>
      <c r="N1052" s="32"/>
      <c r="O1052" s="82"/>
      <c r="P1052" s="82"/>
      <c r="Q1052" s="82"/>
      <c r="R1052" s="32"/>
      <c r="S1052" s="32"/>
      <c r="T1052" s="32"/>
      <c r="U1052" s="32"/>
      <c r="V1052" s="32"/>
      <c r="W1052" s="32"/>
      <c r="X1052" s="32"/>
      <c r="Y1052" s="32"/>
      <c r="Z1052" s="32"/>
      <c r="AA1052" s="32"/>
      <c r="AB1052" s="32"/>
      <c r="AC1052" s="32"/>
      <c r="AD1052" s="84"/>
      <c r="AE1052" s="32"/>
    </row>
    <row r="1053" spans="1:31" x14ac:dyDescent="0.25">
      <c r="A1053" s="32"/>
      <c r="B1053" s="32"/>
      <c r="C1053" s="32"/>
      <c r="D1053" s="32"/>
      <c r="E1053" s="32"/>
      <c r="F1053" s="32"/>
      <c r="G1053" s="32"/>
      <c r="H1053" s="32"/>
      <c r="I1053" s="32"/>
      <c r="J1053" s="32"/>
      <c r="K1053" s="32"/>
      <c r="L1053" s="32"/>
      <c r="M1053" s="82"/>
      <c r="N1053" s="32"/>
      <c r="O1053" s="82"/>
      <c r="P1053" s="82"/>
      <c r="Q1053" s="82"/>
      <c r="R1053" s="32"/>
      <c r="S1053" s="32"/>
      <c r="T1053" s="32"/>
      <c r="U1053" s="32"/>
      <c r="V1053" s="32"/>
      <c r="W1053" s="32"/>
      <c r="X1053" s="32"/>
      <c r="Y1053" s="32"/>
      <c r="Z1053" s="32"/>
      <c r="AA1053" s="32"/>
      <c r="AB1053" s="32"/>
      <c r="AC1053" s="32"/>
      <c r="AD1053" s="84"/>
      <c r="AE1053" s="32"/>
    </row>
    <row r="1054" spans="1:31" x14ac:dyDescent="0.25">
      <c r="A1054" s="32"/>
      <c r="B1054" s="32"/>
      <c r="C1054" s="32"/>
      <c r="D1054" s="32"/>
      <c r="E1054" s="32"/>
      <c r="F1054" s="32"/>
      <c r="G1054" s="32"/>
      <c r="H1054" s="32"/>
      <c r="I1054" s="32"/>
      <c r="J1054" s="32"/>
      <c r="K1054" s="32"/>
      <c r="L1054" s="32"/>
      <c r="M1054" s="82"/>
      <c r="N1054" s="32"/>
      <c r="O1054" s="82"/>
      <c r="P1054" s="82"/>
      <c r="Q1054" s="82"/>
      <c r="R1054" s="32"/>
      <c r="S1054" s="32"/>
      <c r="T1054" s="32"/>
      <c r="U1054" s="32"/>
      <c r="V1054" s="32"/>
      <c r="W1054" s="32"/>
      <c r="X1054" s="32"/>
      <c r="Y1054" s="32"/>
      <c r="Z1054" s="32"/>
      <c r="AA1054" s="32"/>
      <c r="AB1054" s="32"/>
      <c r="AC1054" s="32"/>
      <c r="AD1054" s="84"/>
      <c r="AE1054" s="32"/>
    </row>
    <row r="1055" spans="1:31" x14ac:dyDescent="0.25">
      <c r="A1055" s="32"/>
      <c r="B1055" s="32"/>
      <c r="C1055" s="32"/>
      <c r="D1055" s="32"/>
      <c r="E1055" s="32"/>
      <c r="F1055" s="32"/>
      <c r="G1055" s="32"/>
      <c r="H1055" s="32"/>
      <c r="I1055" s="32"/>
      <c r="J1055" s="32"/>
      <c r="K1055" s="32"/>
      <c r="L1055" s="32"/>
      <c r="M1055" s="82"/>
      <c r="N1055" s="32"/>
      <c r="O1055" s="82"/>
      <c r="P1055" s="82"/>
      <c r="Q1055" s="82"/>
      <c r="R1055" s="32"/>
      <c r="S1055" s="32"/>
      <c r="T1055" s="32"/>
      <c r="U1055" s="32"/>
      <c r="V1055" s="32"/>
      <c r="W1055" s="32"/>
      <c r="X1055" s="32"/>
      <c r="Y1055" s="32"/>
      <c r="Z1055" s="32"/>
      <c r="AA1055" s="32"/>
      <c r="AB1055" s="32"/>
      <c r="AC1055" s="32"/>
      <c r="AD1055" s="84"/>
      <c r="AE1055" s="32"/>
    </row>
    <row r="1056" spans="1:31" x14ac:dyDescent="0.25">
      <c r="A1056" s="32"/>
      <c r="B1056" s="32"/>
      <c r="C1056" s="32"/>
      <c r="D1056" s="32"/>
      <c r="E1056" s="32"/>
      <c r="F1056" s="32"/>
      <c r="G1056" s="32"/>
      <c r="H1056" s="32"/>
      <c r="I1056" s="32"/>
      <c r="J1056" s="32"/>
      <c r="K1056" s="32"/>
      <c r="L1056" s="32"/>
      <c r="M1056" s="82"/>
      <c r="N1056" s="32"/>
      <c r="O1056" s="82"/>
      <c r="P1056" s="82"/>
      <c r="Q1056" s="82"/>
      <c r="R1056" s="32"/>
      <c r="S1056" s="32"/>
      <c r="T1056" s="32"/>
      <c r="U1056" s="32"/>
      <c r="V1056" s="32"/>
      <c r="W1056" s="32"/>
      <c r="X1056" s="32"/>
      <c r="Y1056" s="32"/>
      <c r="Z1056" s="32"/>
      <c r="AA1056" s="32"/>
      <c r="AB1056" s="32"/>
      <c r="AC1056" s="32"/>
      <c r="AD1056" s="84"/>
      <c r="AE1056" s="32"/>
    </row>
    <row r="1057" spans="1:31" x14ac:dyDescent="0.25">
      <c r="A1057" s="32"/>
      <c r="B1057" s="32"/>
      <c r="C1057" s="32"/>
      <c r="D1057" s="32"/>
      <c r="E1057" s="32"/>
      <c r="F1057" s="32"/>
      <c r="G1057" s="32"/>
      <c r="H1057" s="32"/>
      <c r="I1057" s="32"/>
      <c r="J1057" s="32"/>
      <c r="K1057" s="32"/>
      <c r="L1057" s="32"/>
      <c r="M1057" s="82"/>
      <c r="N1057" s="32"/>
      <c r="O1057" s="82"/>
      <c r="P1057" s="82"/>
      <c r="Q1057" s="82"/>
      <c r="R1057" s="32"/>
      <c r="S1057" s="32"/>
      <c r="T1057" s="32"/>
      <c r="U1057" s="32"/>
      <c r="V1057" s="32"/>
      <c r="W1057" s="32"/>
      <c r="X1057" s="32"/>
      <c r="Y1057" s="32"/>
      <c r="Z1057" s="32"/>
      <c r="AA1057" s="32"/>
      <c r="AB1057" s="32"/>
      <c r="AC1057" s="32"/>
      <c r="AD1057" s="84"/>
      <c r="AE1057" s="32"/>
    </row>
    <row r="1058" spans="1:31" x14ac:dyDescent="0.25">
      <c r="A1058" s="32"/>
      <c r="B1058" s="32"/>
      <c r="C1058" s="32"/>
      <c r="D1058" s="32"/>
      <c r="E1058" s="32"/>
      <c r="F1058" s="32"/>
      <c r="G1058" s="32"/>
      <c r="H1058" s="32"/>
      <c r="I1058" s="32"/>
      <c r="J1058" s="32"/>
      <c r="K1058" s="32"/>
      <c r="L1058" s="32"/>
      <c r="M1058" s="82"/>
      <c r="N1058" s="32"/>
      <c r="O1058" s="82"/>
      <c r="P1058" s="82"/>
      <c r="Q1058" s="82"/>
      <c r="R1058" s="32"/>
      <c r="S1058" s="32"/>
      <c r="T1058" s="32"/>
      <c r="U1058" s="32"/>
      <c r="V1058" s="32"/>
      <c r="W1058" s="32"/>
      <c r="X1058" s="32"/>
      <c r="Y1058" s="32"/>
      <c r="Z1058" s="32"/>
      <c r="AA1058" s="32"/>
      <c r="AB1058" s="32"/>
      <c r="AC1058" s="32"/>
      <c r="AD1058" s="84"/>
      <c r="AE1058" s="32"/>
    </row>
    <row r="1059" spans="1:31" x14ac:dyDescent="0.25">
      <c r="A1059" s="32"/>
      <c r="B1059" s="32"/>
      <c r="C1059" s="32"/>
      <c r="D1059" s="32"/>
      <c r="E1059" s="32"/>
      <c r="F1059" s="32"/>
      <c r="G1059" s="32"/>
      <c r="H1059" s="32"/>
      <c r="I1059" s="32"/>
      <c r="J1059" s="32"/>
      <c r="K1059" s="32"/>
      <c r="L1059" s="32"/>
      <c r="M1059" s="82"/>
      <c r="N1059" s="32"/>
      <c r="O1059" s="82"/>
      <c r="P1059" s="82"/>
      <c r="Q1059" s="82"/>
      <c r="R1059" s="32"/>
      <c r="S1059" s="32"/>
      <c r="T1059" s="32"/>
      <c r="U1059" s="32"/>
      <c r="V1059" s="32"/>
      <c r="W1059" s="32"/>
      <c r="X1059" s="32"/>
      <c r="Y1059" s="32"/>
      <c r="Z1059" s="32"/>
      <c r="AA1059" s="32"/>
      <c r="AB1059" s="32"/>
      <c r="AC1059" s="32"/>
      <c r="AD1059" s="84"/>
      <c r="AE1059" s="32"/>
    </row>
    <row r="1060" spans="1:31" x14ac:dyDescent="0.25">
      <c r="A1060" s="32"/>
      <c r="B1060" s="32"/>
      <c r="C1060" s="32"/>
      <c r="D1060" s="32"/>
      <c r="E1060" s="32"/>
      <c r="F1060" s="32"/>
      <c r="G1060" s="32"/>
      <c r="H1060" s="32"/>
      <c r="I1060" s="32"/>
      <c r="J1060" s="32"/>
      <c r="K1060" s="32"/>
      <c r="L1060" s="32"/>
      <c r="M1060" s="82"/>
      <c r="N1060" s="32"/>
      <c r="O1060" s="82"/>
      <c r="P1060" s="82"/>
      <c r="Q1060" s="82"/>
      <c r="R1060" s="32"/>
      <c r="S1060" s="32"/>
      <c r="T1060" s="32"/>
      <c r="U1060" s="32"/>
      <c r="V1060" s="32"/>
      <c r="W1060" s="32"/>
      <c r="X1060" s="32"/>
      <c r="Y1060" s="32"/>
      <c r="Z1060" s="32"/>
      <c r="AA1060" s="32"/>
      <c r="AB1060" s="32"/>
      <c r="AC1060" s="32"/>
      <c r="AD1060" s="84"/>
      <c r="AE1060" s="32"/>
    </row>
    <row r="1061" spans="1:31" x14ac:dyDescent="0.25">
      <c r="A1061" s="32"/>
      <c r="B1061" s="32"/>
      <c r="C1061" s="32"/>
      <c r="D1061" s="32"/>
      <c r="E1061" s="32"/>
      <c r="F1061" s="32"/>
      <c r="G1061" s="32"/>
      <c r="H1061" s="32"/>
      <c r="I1061" s="32"/>
      <c r="J1061" s="32"/>
      <c r="K1061" s="32"/>
      <c r="L1061" s="32"/>
      <c r="M1061" s="82"/>
      <c r="N1061" s="32"/>
      <c r="O1061" s="82"/>
      <c r="P1061" s="82"/>
      <c r="Q1061" s="82"/>
      <c r="R1061" s="32"/>
      <c r="S1061" s="32"/>
      <c r="T1061" s="32"/>
      <c r="U1061" s="32"/>
      <c r="V1061" s="32"/>
      <c r="W1061" s="32"/>
      <c r="X1061" s="32"/>
      <c r="Y1061" s="32"/>
      <c r="Z1061" s="32"/>
      <c r="AA1061" s="32"/>
      <c r="AB1061" s="32"/>
      <c r="AC1061" s="32"/>
      <c r="AD1061" s="84"/>
      <c r="AE1061" s="32"/>
    </row>
    <row r="1062" spans="1:31" x14ac:dyDescent="0.25">
      <c r="A1062" s="32"/>
      <c r="B1062" s="32"/>
      <c r="C1062" s="32"/>
      <c r="D1062" s="32"/>
      <c r="E1062" s="32"/>
      <c r="F1062" s="32"/>
      <c r="G1062" s="32"/>
      <c r="H1062" s="32"/>
      <c r="I1062" s="32"/>
      <c r="J1062" s="32"/>
      <c r="K1062" s="32"/>
      <c r="L1062" s="32"/>
      <c r="M1062" s="82"/>
      <c r="N1062" s="32"/>
      <c r="O1062" s="82"/>
      <c r="P1062" s="82"/>
      <c r="Q1062" s="82"/>
      <c r="R1062" s="32"/>
      <c r="S1062" s="32"/>
      <c r="T1062" s="32"/>
      <c r="U1062" s="32"/>
      <c r="V1062" s="32"/>
      <c r="W1062" s="32"/>
      <c r="X1062" s="32"/>
      <c r="Y1062" s="32"/>
      <c r="Z1062" s="32"/>
      <c r="AA1062" s="32"/>
      <c r="AB1062" s="32"/>
      <c r="AC1062" s="32"/>
      <c r="AD1062" s="84"/>
      <c r="AE1062" s="32"/>
    </row>
    <row r="1063" spans="1:31" x14ac:dyDescent="0.25">
      <c r="A1063" s="32"/>
      <c r="B1063" s="32"/>
      <c r="C1063" s="32"/>
      <c r="D1063" s="32"/>
      <c r="E1063" s="32"/>
      <c r="F1063" s="32"/>
      <c r="G1063" s="32"/>
      <c r="H1063" s="32"/>
      <c r="I1063" s="32"/>
      <c r="J1063" s="32"/>
      <c r="K1063" s="32"/>
      <c r="L1063" s="32"/>
      <c r="M1063" s="82"/>
      <c r="N1063" s="32"/>
      <c r="O1063" s="82"/>
      <c r="P1063" s="82"/>
      <c r="Q1063" s="82"/>
      <c r="R1063" s="32"/>
      <c r="S1063" s="32"/>
      <c r="T1063" s="32"/>
      <c r="U1063" s="32"/>
      <c r="V1063" s="32"/>
      <c r="W1063" s="32"/>
      <c r="X1063" s="32"/>
      <c r="Y1063" s="32"/>
      <c r="Z1063" s="32"/>
      <c r="AA1063" s="32"/>
      <c r="AB1063" s="32"/>
      <c r="AC1063" s="32"/>
      <c r="AD1063" s="84"/>
      <c r="AE1063" s="32"/>
    </row>
    <row r="1064" spans="1:31" x14ac:dyDescent="0.25">
      <c r="A1064" s="32"/>
      <c r="B1064" s="32"/>
      <c r="C1064" s="32"/>
      <c r="D1064" s="32"/>
      <c r="E1064" s="32"/>
      <c r="F1064" s="32"/>
      <c r="G1064" s="32"/>
      <c r="H1064" s="32"/>
      <c r="I1064" s="32"/>
      <c r="J1064" s="32"/>
      <c r="K1064" s="32"/>
      <c r="L1064" s="32"/>
      <c r="M1064" s="82"/>
      <c r="N1064" s="32"/>
      <c r="O1064" s="82"/>
      <c r="P1064" s="82"/>
      <c r="Q1064" s="82"/>
      <c r="R1064" s="32"/>
      <c r="S1064" s="32"/>
      <c r="T1064" s="32"/>
      <c r="U1064" s="32"/>
      <c r="V1064" s="32"/>
      <c r="W1064" s="32"/>
      <c r="X1064" s="32"/>
      <c r="Y1064" s="32"/>
      <c r="Z1064" s="32"/>
      <c r="AA1064" s="32"/>
      <c r="AB1064" s="32"/>
      <c r="AC1064" s="32"/>
      <c r="AD1064" s="84"/>
      <c r="AE1064" s="32"/>
    </row>
    <row r="1065" spans="1:31" x14ac:dyDescent="0.25">
      <c r="A1065" s="32"/>
      <c r="B1065" s="32"/>
      <c r="C1065" s="32"/>
      <c r="D1065" s="32"/>
      <c r="E1065" s="32"/>
      <c r="F1065" s="32"/>
      <c r="G1065" s="32"/>
      <c r="H1065" s="32"/>
      <c r="I1065" s="32"/>
      <c r="J1065" s="32"/>
      <c r="K1065" s="32"/>
      <c r="L1065" s="32"/>
      <c r="M1065" s="82"/>
      <c r="N1065" s="32"/>
      <c r="O1065" s="82"/>
      <c r="P1065" s="82"/>
      <c r="Q1065" s="82"/>
      <c r="R1065" s="32"/>
      <c r="S1065" s="32"/>
      <c r="T1065" s="32"/>
      <c r="U1065" s="32"/>
      <c r="V1065" s="32"/>
      <c r="W1065" s="32"/>
      <c r="X1065" s="32"/>
      <c r="Y1065" s="32"/>
      <c r="Z1065" s="32"/>
      <c r="AA1065" s="32"/>
      <c r="AB1065" s="32"/>
      <c r="AC1065" s="32"/>
      <c r="AD1065" s="84"/>
      <c r="AE1065" s="32"/>
    </row>
    <row r="1066" spans="1:31" x14ac:dyDescent="0.25">
      <c r="A1066" s="32"/>
      <c r="B1066" s="32"/>
      <c r="C1066" s="32"/>
      <c r="D1066" s="32"/>
      <c r="E1066" s="32"/>
      <c r="F1066" s="32"/>
      <c r="G1066" s="32"/>
      <c r="H1066" s="32"/>
      <c r="I1066" s="32"/>
      <c r="J1066" s="32"/>
      <c r="K1066" s="32"/>
      <c r="L1066" s="32"/>
      <c r="M1066" s="82"/>
      <c r="N1066" s="32"/>
      <c r="O1066" s="82"/>
      <c r="P1066" s="82"/>
      <c r="Q1066" s="82"/>
      <c r="R1066" s="32"/>
      <c r="S1066" s="32"/>
      <c r="T1066" s="32"/>
      <c r="U1066" s="32"/>
      <c r="V1066" s="32"/>
      <c r="W1066" s="32"/>
      <c r="X1066" s="32"/>
      <c r="Y1066" s="32"/>
      <c r="Z1066" s="32"/>
      <c r="AA1066" s="32"/>
      <c r="AB1066" s="32"/>
      <c r="AC1066" s="32"/>
      <c r="AD1066" s="84"/>
      <c r="AE1066" s="32"/>
    </row>
    <row r="1067" spans="1:31" x14ac:dyDescent="0.25">
      <c r="A1067" s="32"/>
      <c r="B1067" s="32"/>
      <c r="C1067" s="32"/>
      <c r="D1067" s="32"/>
      <c r="E1067" s="32"/>
      <c r="F1067" s="32"/>
      <c r="G1067" s="32"/>
      <c r="H1067" s="32"/>
      <c r="I1067" s="32"/>
      <c r="J1067" s="32"/>
      <c r="K1067" s="32"/>
      <c r="L1067" s="32"/>
      <c r="M1067" s="82"/>
      <c r="N1067" s="32"/>
      <c r="O1067" s="82"/>
      <c r="P1067" s="82"/>
      <c r="Q1067" s="82"/>
      <c r="R1067" s="32"/>
      <c r="S1067" s="32"/>
      <c r="T1067" s="32"/>
      <c r="U1067" s="32"/>
      <c r="V1067" s="32"/>
      <c r="W1067" s="32"/>
      <c r="X1067" s="32"/>
      <c r="Y1067" s="32"/>
      <c r="Z1067" s="32"/>
      <c r="AA1067" s="32"/>
      <c r="AB1067" s="32"/>
      <c r="AC1067" s="32"/>
      <c r="AD1067" s="84"/>
      <c r="AE1067" s="32"/>
    </row>
    <row r="1068" spans="1:31" x14ac:dyDescent="0.25">
      <c r="A1068" s="32"/>
      <c r="B1068" s="32"/>
      <c r="C1068" s="32"/>
      <c r="D1068" s="32"/>
      <c r="E1068" s="32"/>
      <c r="F1068" s="32"/>
      <c r="G1068" s="32"/>
      <c r="H1068" s="32"/>
      <c r="I1068" s="32"/>
      <c r="J1068" s="32"/>
      <c r="K1068" s="32"/>
      <c r="L1068" s="32"/>
      <c r="M1068" s="82"/>
      <c r="N1068" s="32"/>
      <c r="O1068" s="82"/>
      <c r="P1068" s="82"/>
      <c r="Q1068" s="82"/>
      <c r="R1068" s="32"/>
      <c r="S1068" s="32"/>
      <c r="T1068" s="32"/>
      <c r="U1068" s="32"/>
      <c r="V1068" s="32"/>
      <c r="W1068" s="32"/>
      <c r="X1068" s="32"/>
      <c r="Y1068" s="32"/>
      <c r="Z1068" s="32"/>
      <c r="AA1068" s="32"/>
      <c r="AB1068" s="32"/>
      <c r="AC1068" s="32"/>
      <c r="AD1068" s="84"/>
      <c r="AE1068" s="32"/>
    </row>
    <row r="1069" spans="1:31" x14ac:dyDescent="0.25">
      <c r="A1069" s="32"/>
      <c r="B1069" s="32"/>
      <c r="C1069" s="32"/>
      <c r="D1069" s="32"/>
      <c r="E1069" s="32"/>
      <c r="F1069" s="32"/>
      <c r="G1069" s="32"/>
      <c r="H1069" s="32"/>
      <c r="I1069" s="32"/>
      <c r="J1069" s="32"/>
      <c r="K1069" s="32"/>
      <c r="L1069" s="32"/>
      <c r="M1069" s="82"/>
      <c r="N1069" s="32"/>
      <c r="O1069" s="82"/>
      <c r="P1069" s="82"/>
      <c r="Q1069" s="82"/>
      <c r="R1069" s="32"/>
      <c r="S1069" s="32"/>
      <c r="T1069" s="32"/>
      <c r="U1069" s="32"/>
      <c r="V1069" s="32"/>
      <c r="W1069" s="32"/>
      <c r="X1069" s="32"/>
      <c r="Y1069" s="32"/>
      <c r="Z1069" s="32"/>
      <c r="AA1069" s="32"/>
      <c r="AB1069" s="32"/>
      <c r="AC1069" s="32"/>
      <c r="AD1069" s="84"/>
      <c r="AE1069" s="32"/>
    </row>
    <row r="1070" spans="1:31" x14ac:dyDescent="0.25">
      <c r="A1070" s="32"/>
      <c r="B1070" s="32"/>
      <c r="C1070" s="32"/>
      <c r="D1070" s="32"/>
      <c r="E1070" s="32"/>
      <c r="F1070" s="32"/>
      <c r="G1070" s="32"/>
      <c r="H1070" s="32"/>
      <c r="I1070" s="32"/>
      <c r="J1070" s="32"/>
      <c r="K1070" s="32"/>
      <c r="L1070" s="32"/>
      <c r="M1070" s="82"/>
      <c r="N1070" s="32"/>
      <c r="O1070" s="82"/>
      <c r="P1070" s="82"/>
      <c r="Q1070" s="82"/>
      <c r="R1070" s="32"/>
      <c r="S1070" s="32"/>
      <c r="T1070" s="32"/>
      <c r="U1070" s="32"/>
      <c r="V1070" s="32"/>
      <c r="W1070" s="32"/>
      <c r="X1070" s="32"/>
      <c r="Y1070" s="32"/>
      <c r="Z1070" s="32"/>
      <c r="AA1070" s="32"/>
      <c r="AB1070" s="32"/>
      <c r="AC1070" s="32"/>
      <c r="AD1070" s="84"/>
      <c r="AE1070" s="32"/>
    </row>
    <row r="1071" spans="1:31" x14ac:dyDescent="0.25">
      <c r="A1071" s="32"/>
      <c r="B1071" s="32"/>
      <c r="C1071" s="32"/>
      <c r="D1071" s="32"/>
      <c r="E1071" s="32"/>
      <c r="F1071" s="32"/>
      <c r="G1071" s="32"/>
      <c r="H1071" s="32"/>
      <c r="I1071" s="32"/>
      <c r="J1071" s="32"/>
      <c r="K1071" s="32"/>
      <c r="L1071" s="32"/>
      <c r="M1071" s="82"/>
      <c r="N1071" s="32"/>
      <c r="O1071" s="82"/>
      <c r="P1071" s="82"/>
      <c r="Q1071" s="82"/>
      <c r="R1071" s="32"/>
      <c r="S1071" s="32"/>
      <c r="T1071" s="32"/>
      <c r="U1071" s="32"/>
      <c r="V1071" s="32"/>
      <c r="W1071" s="32"/>
      <c r="X1071" s="32"/>
      <c r="Y1071" s="32"/>
      <c r="Z1071" s="32"/>
      <c r="AA1071" s="32"/>
      <c r="AB1071" s="32"/>
      <c r="AC1071" s="32"/>
      <c r="AD1071" s="84"/>
      <c r="AE1071" s="32"/>
    </row>
    <row r="1072" spans="1:31" x14ac:dyDescent="0.25">
      <c r="A1072" s="32"/>
      <c r="B1072" s="32"/>
      <c r="C1072" s="32"/>
      <c r="D1072" s="32"/>
      <c r="E1072" s="32"/>
      <c r="F1072" s="32"/>
      <c r="G1072" s="32"/>
      <c r="H1072" s="32"/>
      <c r="I1072" s="32"/>
      <c r="J1072" s="32"/>
      <c r="K1072" s="32"/>
      <c r="L1072" s="32"/>
      <c r="M1072" s="82"/>
      <c r="N1072" s="32"/>
      <c r="O1072" s="82"/>
      <c r="P1072" s="82"/>
      <c r="Q1072" s="82"/>
      <c r="R1072" s="32"/>
      <c r="S1072" s="32"/>
      <c r="T1072" s="32"/>
      <c r="U1072" s="32"/>
      <c r="V1072" s="32"/>
      <c r="W1072" s="32"/>
      <c r="X1072" s="32"/>
      <c r="Y1072" s="32"/>
      <c r="Z1072" s="32"/>
      <c r="AA1072" s="32"/>
      <c r="AB1072" s="32"/>
      <c r="AC1072" s="32"/>
      <c r="AD1072" s="84"/>
      <c r="AE1072" s="32"/>
    </row>
    <row r="1073" spans="1:31" x14ac:dyDescent="0.25">
      <c r="A1073" s="32"/>
      <c r="B1073" s="32"/>
      <c r="C1073" s="32"/>
      <c r="D1073" s="32"/>
      <c r="E1073" s="32"/>
      <c r="F1073" s="32"/>
      <c r="G1073" s="32"/>
      <c r="H1073" s="32"/>
      <c r="I1073" s="32"/>
      <c r="J1073" s="32"/>
      <c r="K1073" s="32"/>
      <c r="L1073" s="32"/>
      <c r="M1073" s="82"/>
      <c r="N1073" s="32"/>
      <c r="O1073" s="82"/>
      <c r="P1073" s="82"/>
      <c r="Q1073" s="82"/>
      <c r="R1073" s="32"/>
      <c r="S1073" s="32"/>
      <c r="T1073" s="32"/>
      <c r="U1073" s="32"/>
      <c r="V1073" s="32"/>
      <c r="W1073" s="32"/>
      <c r="X1073" s="32"/>
      <c r="Y1073" s="32"/>
      <c r="Z1073" s="32"/>
      <c r="AA1073" s="32"/>
      <c r="AB1073" s="32"/>
      <c r="AC1073" s="32"/>
      <c r="AD1073" s="84"/>
      <c r="AE1073" s="32"/>
    </row>
    <row r="1074" spans="1:31" x14ac:dyDescent="0.25">
      <c r="A1074" s="32"/>
      <c r="B1074" s="32"/>
      <c r="C1074" s="32"/>
      <c r="D1074" s="32"/>
      <c r="E1074" s="32"/>
      <c r="F1074" s="32"/>
      <c r="G1074" s="32"/>
      <c r="H1074" s="32"/>
      <c r="I1074" s="32"/>
      <c r="J1074" s="32"/>
      <c r="K1074" s="32"/>
      <c r="L1074" s="32"/>
      <c r="M1074" s="82"/>
      <c r="N1074" s="32"/>
      <c r="O1074" s="82"/>
      <c r="P1074" s="82"/>
      <c r="Q1074" s="82"/>
      <c r="R1074" s="32"/>
      <c r="S1074" s="32"/>
      <c r="T1074" s="32"/>
      <c r="U1074" s="32"/>
      <c r="V1074" s="32"/>
      <c r="W1074" s="32"/>
      <c r="X1074" s="32"/>
      <c r="Y1074" s="32"/>
      <c r="Z1074" s="32"/>
      <c r="AA1074" s="32"/>
      <c r="AB1074" s="32"/>
      <c r="AC1074" s="32"/>
      <c r="AD1074" s="84"/>
      <c r="AE1074" s="32"/>
    </row>
    <row r="1075" spans="1:31" x14ac:dyDescent="0.25">
      <c r="A1075" s="32"/>
      <c r="B1075" s="32"/>
      <c r="C1075" s="32"/>
      <c r="D1075" s="32"/>
      <c r="E1075" s="32"/>
      <c r="F1075" s="32"/>
      <c r="G1075" s="32"/>
      <c r="H1075" s="32"/>
      <c r="I1075" s="32"/>
      <c r="J1075" s="32"/>
      <c r="K1075" s="32"/>
      <c r="L1075" s="32"/>
      <c r="M1075" s="82"/>
      <c r="N1075" s="32"/>
      <c r="O1075" s="82"/>
      <c r="P1075" s="82"/>
      <c r="Q1075" s="82"/>
      <c r="R1075" s="32"/>
      <c r="S1075" s="32"/>
      <c r="T1075" s="32"/>
      <c r="U1075" s="32"/>
      <c r="V1075" s="32"/>
      <c r="W1075" s="32"/>
      <c r="X1075" s="32"/>
      <c r="Y1075" s="32"/>
      <c r="Z1075" s="32"/>
      <c r="AA1075" s="32"/>
      <c r="AB1075" s="32"/>
      <c r="AC1075" s="32"/>
      <c r="AD1075" s="84"/>
      <c r="AE1075" s="32"/>
    </row>
    <row r="1076" spans="1:31" x14ac:dyDescent="0.25">
      <c r="A1076" s="32"/>
      <c r="B1076" s="32"/>
      <c r="C1076" s="32"/>
      <c r="D1076" s="32"/>
      <c r="E1076" s="32"/>
      <c r="F1076" s="32"/>
      <c r="G1076" s="32"/>
      <c r="H1076" s="32"/>
      <c r="I1076" s="32"/>
      <c r="J1076" s="32"/>
      <c r="K1076" s="32"/>
      <c r="L1076" s="32"/>
      <c r="M1076" s="82"/>
      <c r="N1076" s="32"/>
      <c r="O1076" s="82"/>
      <c r="P1076" s="82"/>
      <c r="Q1076" s="82"/>
      <c r="R1076" s="32"/>
      <c r="S1076" s="32"/>
      <c r="T1076" s="32"/>
      <c r="U1076" s="32"/>
      <c r="V1076" s="32"/>
      <c r="W1076" s="32"/>
      <c r="X1076" s="32"/>
      <c r="Y1076" s="32"/>
      <c r="Z1076" s="32"/>
      <c r="AA1076" s="32"/>
      <c r="AB1076" s="32"/>
      <c r="AC1076" s="32"/>
      <c r="AD1076" s="84"/>
      <c r="AE1076" s="32"/>
    </row>
    <row r="1077" spans="1:31" x14ac:dyDescent="0.25">
      <c r="A1077" s="32"/>
      <c r="B1077" s="32"/>
      <c r="C1077" s="32"/>
      <c r="D1077" s="32"/>
      <c r="E1077" s="32"/>
      <c r="F1077" s="32"/>
      <c r="G1077" s="32"/>
      <c r="H1077" s="32"/>
      <c r="I1077" s="32"/>
      <c r="J1077" s="32"/>
      <c r="K1077" s="32"/>
      <c r="L1077" s="32"/>
      <c r="M1077" s="82"/>
      <c r="N1077" s="32"/>
      <c r="O1077" s="82"/>
      <c r="P1077" s="82"/>
      <c r="Q1077" s="82"/>
      <c r="R1077" s="32"/>
      <c r="S1077" s="32"/>
      <c r="T1077" s="32"/>
      <c r="U1077" s="32"/>
      <c r="V1077" s="32"/>
      <c r="W1077" s="32"/>
      <c r="X1077" s="32"/>
      <c r="Y1077" s="32"/>
      <c r="Z1077" s="32"/>
      <c r="AA1077" s="32"/>
      <c r="AB1077" s="32"/>
      <c r="AC1077" s="32"/>
      <c r="AD1077" s="84"/>
      <c r="AE1077" s="32"/>
    </row>
    <row r="1078" spans="1:31" x14ac:dyDescent="0.25">
      <c r="A1078" s="32"/>
      <c r="B1078" s="32"/>
      <c r="C1078" s="32"/>
      <c r="D1078" s="32"/>
      <c r="E1078" s="32"/>
      <c r="F1078" s="32"/>
      <c r="G1078" s="32"/>
      <c r="H1078" s="32"/>
      <c r="I1078" s="32"/>
      <c r="J1078" s="32"/>
      <c r="K1078" s="32"/>
      <c r="L1078" s="32"/>
      <c r="M1078" s="82"/>
      <c r="N1078" s="32"/>
      <c r="O1078" s="82"/>
      <c r="P1078" s="82"/>
      <c r="Q1078" s="82"/>
      <c r="R1078" s="32"/>
      <c r="S1078" s="32"/>
      <c r="T1078" s="32"/>
      <c r="U1078" s="32"/>
      <c r="V1078" s="32"/>
      <c r="W1078" s="32"/>
      <c r="X1078" s="32"/>
      <c r="Y1078" s="32"/>
      <c r="Z1078" s="32"/>
      <c r="AA1078" s="32"/>
      <c r="AB1078" s="32"/>
      <c r="AC1078" s="32"/>
      <c r="AD1078" s="84"/>
      <c r="AE1078" s="32"/>
    </row>
    <row r="1079" spans="1:31" x14ac:dyDescent="0.25">
      <c r="A1079" s="32"/>
      <c r="B1079" s="32"/>
      <c r="C1079" s="32"/>
      <c r="D1079" s="32"/>
      <c r="E1079" s="32"/>
      <c r="F1079" s="32"/>
      <c r="G1079" s="32"/>
      <c r="H1079" s="32"/>
      <c r="I1079" s="32"/>
      <c r="J1079" s="32"/>
      <c r="K1079" s="32"/>
      <c r="L1079" s="32"/>
      <c r="M1079" s="82"/>
      <c r="N1079" s="32"/>
      <c r="O1079" s="82"/>
      <c r="P1079" s="82"/>
      <c r="Q1079" s="82"/>
      <c r="R1079" s="32"/>
      <c r="S1079" s="32"/>
      <c r="T1079" s="32"/>
      <c r="U1079" s="32"/>
      <c r="V1079" s="32"/>
      <c r="W1079" s="32"/>
      <c r="X1079" s="32"/>
      <c r="Y1079" s="32"/>
      <c r="Z1079" s="32"/>
      <c r="AA1079" s="32"/>
      <c r="AB1079" s="32"/>
      <c r="AC1079" s="32"/>
      <c r="AD1079" s="84"/>
      <c r="AE1079" s="32"/>
    </row>
    <row r="1080" spans="1:31" x14ac:dyDescent="0.25">
      <c r="A1080" s="32"/>
      <c r="B1080" s="32"/>
      <c r="C1080" s="32"/>
      <c r="D1080" s="32"/>
      <c r="E1080" s="32"/>
      <c r="F1080" s="32"/>
      <c r="G1080" s="32"/>
      <c r="H1080" s="32"/>
      <c r="I1080" s="32"/>
      <c r="J1080" s="32"/>
      <c r="K1080" s="32"/>
      <c r="L1080" s="32"/>
      <c r="M1080" s="82"/>
      <c r="N1080" s="32"/>
      <c r="O1080" s="82"/>
      <c r="P1080" s="82"/>
      <c r="Q1080" s="82"/>
      <c r="R1080" s="32"/>
      <c r="S1080" s="32"/>
      <c r="T1080" s="32"/>
      <c r="U1080" s="32"/>
      <c r="V1080" s="32"/>
      <c r="W1080" s="32"/>
      <c r="X1080" s="32"/>
      <c r="Y1080" s="32"/>
      <c r="Z1080" s="32"/>
      <c r="AA1080" s="32"/>
      <c r="AB1080" s="32"/>
      <c r="AC1080" s="32"/>
      <c r="AD1080" s="84"/>
      <c r="AE1080" s="32"/>
    </row>
    <row r="1081" spans="1:31" x14ac:dyDescent="0.25">
      <c r="A1081" s="32"/>
      <c r="B1081" s="32"/>
      <c r="C1081" s="32"/>
      <c r="D1081" s="32"/>
      <c r="E1081" s="32"/>
      <c r="F1081" s="32"/>
      <c r="G1081" s="32"/>
      <c r="H1081" s="32"/>
      <c r="I1081" s="32"/>
      <c r="J1081" s="32"/>
      <c r="K1081" s="32"/>
      <c r="L1081" s="32"/>
      <c r="M1081" s="82"/>
      <c r="N1081" s="32"/>
      <c r="O1081" s="82"/>
      <c r="P1081" s="82"/>
      <c r="Q1081" s="82"/>
      <c r="R1081" s="32"/>
      <c r="S1081" s="32"/>
      <c r="T1081" s="32"/>
      <c r="U1081" s="32"/>
      <c r="V1081" s="32"/>
      <c r="W1081" s="32"/>
      <c r="X1081" s="32"/>
      <c r="Y1081" s="32"/>
      <c r="Z1081" s="32"/>
      <c r="AA1081" s="32"/>
      <c r="AB1081" s="32"/>
      <c r="AC1081" s="32"/>
      <c r="AD1081" s="84"/>
      <c r="AE1081" s="32"/>
    </row>
    <row r="1082" spans="1:31" x14ac:dyDescent="0.25">
      <c r="A1082" s="32"/>
      <c r="B1082" s="32"/>
      <c r="C1082" s="32"/>
      <c r="D1082" s="32"/>
      <c r="E1082" s="32"/>
      <c r="F1082" s="32"/>
      <c r="G1082" s="32"/>
      <c r="H1082" s="32"/>
      <c r="I1082" s="32"/>
      <c r="J1082" s="32"/>
      <c r="K1082" s="32"/>
      <c r="L1082" s="32"/>
      <c r="M1082" s="82"/>
      <c r="N1082" s="32"/>
      <c r="O1082" s="82"/>
      <c r="P1082" s="82"/>
      <c r="Q1082" s="82"/>
      <c r="R1082" s="32"/>
      <c r="S1082" s="32"/>
      <c r="T1082" s="32"/>
      <c r="U1082" s="32"/>
      <c r="V1082" s="32"/>
      <c r="W1082" s="32"/>
      <c r="X1082" s="32"/>
      <c r="Y1082" s="32"/>
      <c r="Z1082" s="32"/>
      <c r="AA1082" s="32"/>
      <c r="AB1082" s="32"/>
      <c r="AC1082" s="32"/>
      <c r="AD1082" s="84"/>
      <c r="AE1082" s="32"/>
    </row>
    <row r="1083" spans="1:31" x14ac:dyDescent="0.25">
      <c r="A1083" s="32"/>
      <c r="B1083" s="32"/>
      <c r="C1083" s="32"/>
      <c r="D1083" s="32"/>
      <c r="E1083" s="32"/>
      <c r="F1083" s="32"/>
      <c r="G1083" s="32"/>
      <c r="H1083" s="32"/>
      <c r="I1083" s="32"/>
      <c r="J1083" s="32"/>
      <c r="K1083" s="32"/>
      <c r="L1083" s="32"/>
      <c r="M1083" s="82"/>
      <c r="N1083" s="32"/>
      <c r="O1083" s="82"/>
      <c r="P1083" s="82"/>
      <c r="Q1083" s="82"/>
      <c r="R1083" s="32"/>
      <c r="S1083" s="32"/>
      <c r="T1083" s="32"/>
      <c r="U1083" s="32"/>
      <c r="V1083" s="32"/>
      <c r="W1083" s="32"/>
      <c r="X1083" s="32"/>
      <c r="Y1083" s="32"/>
      <c r="Z1083" s="32"/>
      <c r="AA1083" s="32"/>
      <c r="AB1083" s="32"/>
      <c r="AC1083" s="32"/>
      <c r="AD1083" s="84"/>
      <c r="AE1083" s="32"/>
    </row>
    <row r="1084" spans="1:31" x14ac:dyDescent="0.25">
      <c r="A1084" s="32"/>
      <c r="B1084" s="32"/>
      <c r="C1084" s="32"/>
      <c r="D1084" s="32"/>
      <c r="E1084" s="32"/>
      <c r="F1084" s="32"/>
      <c r="G1084" s="32"/>
      <c r="H1084" s="32"/>
      <c r="I1084" s="32"/>
      <c r="J1084" s="32"/>
      <c r="K1084" s="32"/>
      <c r="L1084" s="32"/>
      <c r="M1084" s="82"/>
      <c r="N1084" s="32"/>
      <c r="O1084" s="82"/>
      <c r="P1084" s="82"/>
      <c r="Q1084" s="82"/>
      <c r="R1084" s="32"/>
      <c r="S1084" s="32"/>
      <c r="T1084" s="32"/>
      <c r="U1084" s="32"/>
      <c r="V1084" s="32"/>
      <c r="W1084" s="32"/>
      <c r="X1084" s="32"/>
      <c r="Y1084" s="32"/>
      <c r="Z1084" s="32"/>
      <c r="AA1084" s="32"/>
      <c r="AB1084" s="32"/>
      <c r="AC1084" s="32"/>
      <c r="AD1084" s="84"/>
      <c r="AE1084" s="32"/>
    </row>
    <row r="1085" spans="1:31" x14ac:dyDescent="0.25">
      <c r="A1085" s="32"/>
      <c r="B1085" s="32"/>
      <c r="C1085" s="32"/>
      <c r="D1085" s="32"/>
      <c r="E1085" s="32"/>
      <c r="F1085" s="32"/>
      <c r="G1085" s="32"/>
      <c r="H1085" s="32"/>
      <c r="I1085" s="32"/>
      <c r="J1085" s="32"/>
      <c r="K1085" s="32"/>
      <c r="L1085" s="32"/>
      <c r="M1085" s="82"/>
      <c r="N1085" s="32"/>
      <c r="O1085" s="82"/>
      <c r="P1085" s="82"/>
      <c r="Q1085" s="82"/>
      <c r="R1085" s="32"/>
      <c r="S1085" s="32"/>
      <c r="T1085" s="32"/>
      <c r="U1085" s="32"/>
      <c r="V1085" s="32"/>
      <c r="W1085" s="32"/>
      <c r="X1085" s="32"/>
      <c r="Y1085" s="32"/>
      <c r="Z1085" s="32"/>
      <c r="AA1085" s="32"/>
      <c r="AB1085" s="32"/>
      <c r="AC1085" s="32"/>
      <c r="AD1085" s="84"/>
      <c r="AE1085" s="32"/>
    </row>
    <row r="1086" spans="1:31" x14ac:dyDescent="0.25">
      <c r="A1086" s="32"/>
      <c r="B1086" s="32"/>
      <c r="C1086" s="32"/>
      <c r="D1086" s="32"/>
      <c r="E1086" s="32"/>
      <c r="F1086" s="32"/>
      <c r="G1086" s="32"/>
      <c r="H1086" s="32"/>
      <c r="I1086" s="32"/>
      <c r="J1086" s="32"/>
      <c r="K1086" s="32"/>
      <c r="L1086" s="32"/>
      <c r="M1086" s="82"/>
      <c r="N1086" s="32"/>
      <c r="O1086" s="82"/>
      <c r="P1086" s="82"/>
      <c r="Q1086" s="82"/>
      <c r="R1086" s="32"/>
      <c r="S1086" s="32"/>
      <c r="T1086" s="32"/>
      <c r="U1086" s="32"/>
      <c r="V1086" s="32"/>
      <c r="W1086" s="32"/>
      <c r="X1086" s="32"/>
      <c r="Y1086" s="32"/>
      <c r="Z1086" s="32"/>
      <c r="AA1086" s="32"/>
      <c r="AB1086" s="32"/>
      <c r="AC1086" s="32"/>
      <c r="AD1086" s="84"/>
      <c r="AE1086" s="32"/>
    </row>
    <row r="1087" spans="1:31" x14ac:dyDescent="0.25">
      <c r="A1087" s="32"/>
      <c r="B1087" s="32"/>
      <c r="C1087" s="32"/>
      <c r="D1087" s="32"/>
      <c r="E1087" s="32"/>
      <c r="F1087" s="32"/>
      <c r="G1087" s="32"/>
      <c r="H1087" s="32"/>
      <c r="I1087" s="32"/>
      <c r="J1087" s="32"/>
      <c r="K1087" s="32"/>
      <c r="L1087" s="32"/>
      <c r="M1087" s="82"/>
      <c r="N1087" s="32"/>
      <c r="O1087" s="82"/>
      <c r="P1087" s="82"/>
      <c r="Q1087" s="82"/>
      <c r="R1087" s="32"/>
      <c r="S1087" s="32"/>
      <c r="T1087" s="32"/>
      <c r="U1087" s="32"/>
      <c r="V1087" s="32"/>
      <c r="W1087" s="32"/>
      <c r="X1087" s="32"/>
      <c r="Y1087" s="32"/>
      <c r="Z1087" s="32"/>
      <c r="AA1087" s="32"/>
      <c r="AB1087" s="32"/>
      <c r="AC1087" s="32"/>
      <c r="AD1087" s="84"/>
      <c r="AE1087" s="32"/>
    </row>
    <row r="1088" spans="1:31" x14ac:dyDescent="0.25">
      <c r="A1088" s="32"/>
      <c r="B1088" s="32"/>
      <c r="C1088" s="32"/>
      <c r="D1088" s="32"/>
      <c r="E1088" s="32"/>
      <c r="F1088" s="32"/>
      <c r="G1088" s="32"/>
      <c r="H1088" s="32"/>
      <c r="I1088" s="32"/>
      <c r="J1088" s="32"/>
      <c r="K1088" s="32"/>
      <c r="L1088" s="32"/>
      <c r="M1088" s="82"/>
      <c r="N1088" s="32"/>
      <c r="O1088" s="82"/>
      <c r="P1088" s="82"/>
      <c r="Q1088" s="82"/>
      <c r="R1088" s="32"/>
      <c r="S1088" s="32"/>
      <c r="T1088" s="32"/>
      <c r="U1088" s="32"/>
      <c r="V1088" s="32"/>
      <c r="W1088" s="32"/>
      <c r="X1088" s="32"/>
      <c r="Y1088" s="32"/>
      <c r="Z1088" s="32"/>
      <c r="AA1088" s="32"/>
      <c r="AB1088" s="32"/>
      <c r="AC1088" s="32"/>
      <c r="AD1088" s="84"/>
      <c r="AE1088" s="32"/>
    </row>
    <row r="1089" spans="1:31" x14ac:dyDescent="0.25">
      <c r="A1089" s="32"/>
      <c r="B1089" s="32"/>
      <c r="C1089" s="32"/>
      <c r="D1089" s="32"/>
      <c r="E1089" s="32"/>
      <c r="F1089" s="32"/>
      <c r="G1089" s="32"/>
      <c r="H1089" s="32"/>
      <c r="I1089" s="32"/>
      <c r="J1089" s="32"/>
      <c r="K1089" s="32"/>
      <c r="L1089" s="32"/>
      <c r="M1089" s="82"/>
      <c r="N1089" s="32"/>
      <c r="O1089" s="82"/>
      <c r="P1089" s="82"/>
      <c r="Q1089" s="82"/>
      <c r="R1089" s="32"/>
      <c r="S1089" s="32"/>
      <c r="T1089" s="32"/>
      <c r="U1089" s="32"/>
      <c r="V1089" s="32"/>
      <c r="W1089" s="32"/>
      <c r="X1089" s="32"/>
      <c r="Y1089" s="32"/>
      <c r="Z1089" s="32"/>
      <c r="AA1089" s="32"/>
      <c r="AB1089" s="32"/>
      <c r="AC1089" s="32"/>
      <c r="AD1089" s="84"/>
      <c r="AE1089" s="32"/>
    </row>
    <row r="1090" spans="1:31" x14ac:dyDescent="0.25">
      <c r="A1090" s="32"/>
      <c r="B1090" s="32"/>
      <c r="C1090" s="32"/>
      <c r="D1090" s="32"/>
      <c r="E1090" s="32"/>
      <c r="F1090" s="32"/>
      <c r="G1090" s="32"/>
      <c r="H1090" s="32"/>
      <c r="I1090" s="32"/>
      <c r="J1090" s="32"/>
      <c r="K1090" s="32"/>
      <c r="L1090" s="32"/>
      <c r="M1090" s="82"/>
      <c r="N1090" s="32"/>
      <c r="O1090" s="82"/>
      <c r="P1090" s="82"/>
      <c r="Q1090" s="82"/>
      <c r="R1090" s="32"/>
      <c r="S1090" s="32"/>
      <c r="T1090" s="32"/>
      <c r="U1090" s="32"/>
      <c r="V1090" s="32"/>
      <c r="W1090" s="32"/>
      <c r="X1090" s="32"/>
      <c r="Y1090" s="32"/>
      <c r="Z1090" s="32"/>
      <c r="AA1090" s="32"/>
      <c r="AB1090" s="32"/>
      <c r="AC1090" s="32"/>
      <c r="AD1090" s="84"/>
      <c r="AE1090" s="32"/>
    </row>
    <row r="1091" spans="1:31" x14ac:dyDescent="0.25">
      <c r="A1091" s="32"/>
      <c r="B1091" s="32"/>
      <c r="C1091" s="32"/>
      <c r="D1091" s="32"/>
      <c r="E1091" s="32"/>
      <c r="F1091" s="32"/>
      <c r="G1091" s="32"/>
      <c r="H1091" s="32"/>
      <c r="I1091" s="32"/>
      <c r="J1091" s="32"/>
      <c r="K1091" s="32"/>
      <c r="L1091" s="32"/>
      <c r="M1091" s="82"/>
      <c r="N1091" s="32"/>
      <c r="O1091" s="82"/>
      <c r="P1091" s="82"/>
      <c r="Q1091" s="82"/>
      <c r="R1091" s="32"/>
      <c r="S1091" s="32"/>
      <c r="T1091" s="32"/>
      <c r="U1091" s="32"/>
      <c r="V1091" s="32"/>
      <c r="W1091" s="32"/>
      <c r="X1091" s="32"/>
      <c r="Y1091" s="32"/>
      <c r="Z1091" s="32"/>
      <c r="AA1091" s="32"/>
      <c r="AB1091" s="32"/>
      <c r="AC1091" s="32"/>
      <c r="AD1091" s="84"/>
      <c r="AE1091" s="32"/>
    </row>
    <row r="1092" spans="1:31" x14ac:dyDescent="0.25">
      <c r="A1092" s="32"/>
      <c r="B1092" s="32"/>
      <c r="C1092" s="32"/>
      <c r="D1092" s="32"/>
      <c r="E1092" s="32"/>
      <c r="F1092" s="32"/>
      <c r="G1092" s="32"/>
      <c r="H1092" s="32"/>
      <c r="I1092" s="32"/>
      <c r="J1092" s="32"/>
      <c r="K1092" s="32"/>
      <c r="L1092" s="32"/>
      <c r="M1092" s="82"/>
      <c r="N1092" s="32"/>
      <c r="O1092" s="82"/>
      <c r="P1092" s="82"/>
      <c r="Q1092" s="82"/>
      <c r="R1092" s="32"/>
      <c r="S1092" s="32"/>
      <c r="T1092" s="32"/>
      <c r="U1092" s="32"/>
      <c r="V1092" s="32"/>
      <c r="W1092" s="32"/>
      <c r="X1092" s="32"/>
      <c r="Y1092" s="32"/>
      <c r="Z1092" s="32"/>
      <c r="AA1092" s="32"/>
      <c r="AB1092" s="32"/>
      <c r="AC1092" s="32"/>
      <c r="AD1092" s="84"/>
      <c r="AE1092" s="32"/>
    </row>
    <row r="1093" spans="1:31" x14ac:dyDescent="0.25">
      <c r="A1093" s="32"/>
      <c r="B1093" s="32"/>
      <c r="C1093" s="32"/>
      <c r="D1093" s="32"/>
      <c r="E1093" s="32"/>
      <c r="F1093" s="32"/>
      <c r="G1093" s="32"/>
      <c r="H1093" s="32"/>
      <c r="I1093" s="32"/>
      <c r="J1093" s="32"/>
      <c r="K1093" s="32"/>
      <c r="L1093" s="32"/>
      <c r="M1093" s="82"/>
      <c r="N1093" s="32"/>
      <c r="O1093" s="82"/>
      <c r="P1093" s="82"/>
      <c r="Q1093" s="82"/>
      <c r="R1093" s="32"/>
      <c r="S1093" s="32"/>
      <c r="T1093" s="32"/>
      <c r="U1093" s="32"/>
      <c r="V1093" s="32"/>
      <c r="W1093" s="32"/>
      <c r="X1093" s="32"/>
      <c r="Y1093" s="32"/>
      <c r="Z1093" s="32"/>
      <c r="AA1093" s="32"/>
      <c r="AB1093" s="32"/>
      <c r="AC1093" s="32"/>
      <c r="AD1093" s="84"/>
      <c r="AE1093" s="32"/>
    </row>
    <row r="1094" spans="1:31" x14ac:dyDescent="0.25">
      <c r="A1094" s="32"/>
      <c r="B1094" s="32"/>
      <c r="C1094" s="32"/>
      <c r="D1094" s="32"/>
      <c r="E1094" s="32"/>
      <c r="F1094" s="32"/>
      <c r="G1094" s="32"/>
      <c r="H1094" s="32"/>
      <c r="I1094" s="32"/>
      <c r="J1094" s="32"/>
      <c r="K1094" s="32"/>
      <c r="L1094" s="32"/>
      <c r="M1094" s="82"/>
      <c r="N1094" s="32"/>
      <c r="O1094" s="82"/>
      <c r="P1094" s="82"/>
      <c r="Q1094" s="82"/>
      <c r="R1094" s="32"/>
      <c r="S1094" s="32"/>
      <c r="T1094" s="32"/>
      <c r="U1094" s="32"/>
      <c r="V1094" s="32"/>
      <c r="W1094" s="32"/>
      <c r="X1094" s="32"/>
      <c r="Y1094" s="32"/>
      <c r="Z1094" s="32"/>
      <c r="AA1094" s="32"/>
      <c r="AB1094" s="32"/>
      <c r="AC1094" s="32"/>
      <c r="AD1094" s="84"/>
      <c r="AE1094" s="32"/>
    </row>
    <row r="1095" spans="1:31" x14ac:dyDescent="0.25">
      <c r="A1095" s="32"/>
      <c r="B1095" s="32"/>
      <c r="C1095" s="32"/>
      <c r="D1095" s="32"/>
      <c r="E1095" s="32"/>
      <c r="F1095" s="32"/>
      <c r="G1095" s="32"/>
      <c r="H1095" s="32"/>
      <c r="I1095" s="32"/>
      <c r="J1095" s="32"/>
      <c r="K1095" s="32"/>
      <c r="L1095" s="32"/>
      <c r="M1095" s="82"/>
      <c r="N1095" s="32"/>
      <c r="O1095" s="82"/>
      <c r="P1095" s="82"/>
      <c r="Q1095" s="82"/>
      <c r="R1095" s="32"/>
      <c r="S1095" s="32"/>
      <c r="T1095" s="32"/>
      <c r="U1095" s="32"/>
      <c r="V1095" s="32"/>
      <c r="W1095" s="32"/>
      <c r="X1095" s="32"/>
      <c r="Y1095" s="32"/>
      <c r="Z1095" s="32"/>
      <c r="AA1095" s="32"/>
      <c r="AB1095" s="32"/>
      <c r="AC1095" s="32"/>
      <c r="AD1095" s="84"/>
      <c r="AE1095" s="32"/>
    </row>
    <row r="1096" spans="1:31" x14ac:dyDescent="0.25">
      <c r="A1096" s="32"/>
      <c r="B1096" s="32"/>
      <c r="C1096" s="32"/>
      <c r="D1096" s="32"/>
      <c r="E1096" s="32"/>
      <c r="F1096" s="32"/>
      <c r="G1096" s="32"/>
      <c r="H1096" s="32"/>
      <c r="I1096" s="32"/>
      <c r="J1096" s="32"/>
      <c r="K1096" s="32"/>
      <c r="L1096" s="32"/>
      <c r="M1096" s="82"/>
      <c r="N1096" s="32"/>
      <c r="O1096" s="82"/>
      <c r="P1096" s="82"/>
      <c r="Q1096" s="82"/>
      <c r="R1096" s="32"/>
      <c r="S1096" s="32"/>
      <c r="T1096" s="32"/>
      <c r="U1096" s="32"/>
      <c r="V1096" s="32"/>
      <c r="W1096" s="32"/>
      <c r="X1096" s="32"/>
      <c r="Y1096" s="32"/>
      <c r="Z1096" s="32"/>
      <c r="AA1096" s="32"/>
      <c r="AB1096" s="32"/>
      <c r="AC1096" s="32"/>
      <c r="AD1096" s="84"/>
      <c r="AE1096" s="32"/>
    </row>
    <row r="1097" spans="1:31" x14ac:dyDescent="0.25">
      <c r="A1097" s="32"/>
      <c r="B1097" s="32"/>
      <c r="C1097" s="32"/>
      <c r="D1097" s="32"/>
      <c r="E1097" s="32"/>
      <c r="F1097" s="32"/>
      <c r="G1097" s="32"/>
      <c r="H1097" s="32"/>
      <c r="I1097" s="32"/>
      <c r="J1097" s="32"/>
      <c r="K1097" s="32"/>
      <c r="L1097" s="32"/>
      <c r="M1097" s="82"/>
      <c r="N1097" s="32"/>
      <c r="O1097" s="82"/>
      <c r="P1097" s="82"/>
      <c r="Q1097" s="82"/>
      <c r="R1097" s="32"/>
      <c r="S1097" s="32"/>
      <c r="T1097" s="32"/>
      <c r="U1097" s="32"/>
      <c r="V1097" s="32"/>
      <c r="W1097" s="32"/>
      <c r="X1097" s="32"/>
      <c r="Y1097" s="32"/>
      <c r="Z1097" s="32"/>
      <c r="AA1097" s="32"/>
      <c r="AB1097" s="32"/>
      <c r="AC1097" s="32"/>
      <c r="AD1097" s="84"/>
      <c r="AE1097" s="32"/>
    </row>
    <row r="1098" spans="1:31" x14ac:dyDescent="0.25">
      <c r="A1098" s="32"/>
      <c r="B1098" s="32"/>
      <c r="C1098" s="32"/>
      <c r="D1098" s="32"/>
      <c r="E1098" s="32"/>
      <c r="F1098" s="32"/>
      <c r="G1098" s="32"/>
      <c r="H1098" s="32"/>
      <c r="I1098" s="32"/>
      <c r="J1098" s="32"/>
      <c r="K1098" s="32"/>
      <c r="L1098" s="32"/>
      <c r="M1098" s="82"/>
      <c r="N1098" s="32"/>
      <c r="O1098" s="82"/>
      <c r="P1098" s="82"/>
      <c r="Q1098" s="82"/>
      <c r="R1098" s="32"/>
      <c r="S1098" s="32"/>
      <c r="T1098" s="32"/>
      <c r="U1098" s="32"/>
      <c r="V1098" s="32"/>
      <c r="W1098" s="32"/>
      <c r="X1098" s="32"/>
      <c r="Y1098" s="32"/>
      <c r="Z1098" s="32"/>
      <c r="AA1098" s="32"/>
      <c r="AB1098" s="32"/>
      <c r="AC1098" s="32"/>
      <c r="AD1098" s="84"/>
      <c r="AE1098" s="32"/>
    </row>
    <row r="1099" spans="1:31" x14ac:dyDescent="0.25">
      <c r="A1099" s="32"/>
      <c r="B1099" s="32"/>
      <c r="C1099" s="32"/>
      <c r="D1099" s="32"/>
      <c r="E1099" s="32"/>
      <c r="F1099" s="32"/>
      <c r="G1099" s="32"/>
      <c r="H1099" s="32"/>
      <c r="I1099" s="32"/>
      <c r="J1099" s="32"/>
      <c r="K1099" s="32"/>
      <c r="L1099" s="32"/>
      <c r="M1099" s="82"/>
      <c r="N1099" s="32"/>
      <c r="O1099" s="82"/>
      <c r="P1099" s="82"/>
      <c r="Q1099" s="82"/>
      <c r="R1099" s="32"/>
      <c r="S1099" s="32"/>
      <c r="T1099" s="32"/>
      <c r="U1099" s="32"/>
      <c r="V1099" s="32"/>
      <c r="W1099" s="32"/>
      <c r="X1099" s="32"/>
      <c r="Y1099" s="32"/>
      <c r="Z1099" s="32"/>
      <c r="AA1099" s="32"/>
      <c r="AB1099" s="32"/>
      <c r="AC1099" s="32"/>
      <c r="AD1099" s="84"/>
      <c r="AE1099" s="32"/>
    </row>
    <row r="1100" spans="1:31" x14ac:dyDescent="0.25">
      <c r="A1100" s="32"/>
      <c r="B1100" s="32"/>
      <c r="C1100" s="32"/>
      <c r="D1100" s="32"/>
      <c r="E1100" s="32"/>
      <c r="F1100" s="32"/>
      <c r="G1100" s="32"/>
      <c r="H1100" s="32"/>
      <c r="I1100" s="32"/>
      <c r="J1100" s="32"/>
      <c r="K1100" s="32"/>
      <c r="L1100" s="32"/>
      <c r="M1100" s="82"/>
      <c r="N1100" s="32"/>
      <c r="O1100" s="82"/>
      <c r="P1100" s="82"/>
      <c r="Q1100" s="82"/>
      <c r="R1100" s="32"/>
      <c r="S1100" s="32"/>
      <c r="T1100" s="32"/>
      <c r="U1100" s="32"/>
      <c r="V1100" s="32"/>
      <c r="W1100" s="32"/>
      <c r="X1100" s="32"/>
      <c r="Y1100" s="32"/>
      <c r="Z1100" s="32"/>
      <c r="AA1100" s="32"/>
      <c r="AB1100" s="32"/>
      <c r="AC1100" s="32"/>
      <c r="AD1100" s="84"/>
      <c r="AE1100" s="32"/>
    </row>
    <row r="1101" spans="1:31" x14ac:dyDescent="0.25">
      <c r="A1101" s="32"/>
      <c r="B1101" s="32"/>
      <c r="C1101" s="32"/>
      <c r="D1101" s="32"/>
      <c r="E1101" s="32"/>
      <c r="F1101" s="32"/>
      <c r="G1101" s="32"/>
      <c r="H1101" s="32"/>
      <c r="I1101" s="32"/>
      <c r="J1101" s="32"/>
      <c r="K1101" s="32"/>
      <c r="L1101" s="32"/>
      <c r="M1101" s="82"/>
      <c r="N1101" s="32"/>
      <c r="O1101" s="82"/>
      <c r="P1101" s="82"/>
      <c r="Q1101" s="82"/>
      <c r="R1101" s="32"/>
      <c r="S1101" s="32"/>
      <c r="T1101" s="32"/>
      <c r="U1101" s="32"/>
      <c r="V1101" s="32"/>
      <c r="W1101" s="32"/>
      <c r="X1101" s="32"/>
      <c r="Y1101" s="32"/>
      <c r="Z1101" s="32"/>
      <c r="AA1101" s="32"/>
      <c r="AB1101" s="32"/>
      <c r="AC1101" s="32"/>
      <c r="AD1101" s="84"/>
      <c r="AE1101" s="32"/>
    </row>
    <row r="1102" spans="1:31" x14ac:dyDescent="0.25">
      <c r="A1102" s="32"/>
      <c r="B1102" s="32"/>
      <c r="C1102" s="32"/>
      <c r="D1102" s="32"/>
      <c r="E1102" s="32"/>
      <c r="F1102" s="32"/>
      <c r="G1102" s="32"/>
      <c r="H1102" s="32"/>
      <c r="I1102" s="32"/>
      <c r="J1102" s="32"/>
      <c r="K1102" s="32"/>
      <c r="L1102" s="32"/>
      <c r="M1102" s="82"/>
      <c r="N1102" s="32"/>
      <c r="O1102" s="82"/>
      <c r="P1102" s="82"/>
      <c r="Q1102" s="82"/>
      <c r="R1102" s="32"/>
      <c r="S1102" s="32"/>
      <c r="T1102" s="32"/>
      <c r="U1102" s="32"/>
      <c r="V1102" s="32"/>
      <c r="W1102" s="32"/>
      <c r="X1102" s="32"/>
      <c r="Y1102" s="32"/>
      <c r="Z1102" s="32"/>
      <c r="AA1102" s="32"/>
      <c r="AB1102" s="32"/>
      <c r="AC1102" s="32"/>
      <c r="AD1102" s="84"/>
      <c r="AE1102" s="32"/>
    </row>
    <row r="1103" spans="1:31" x14ac:dyDescent="0.25">
      <c r="A1103" s="32"/>
      <c r="B1103" s="32"/>
      <c r="C1103" s="32"/>
      <c r="D1103" s="32"/>
      <c r="E1103" s="32"/>
      <c r="F1103" s="32"/>
      <c r="G1103" s="32"/>
      <c r="H1103" s="32"/>
      <c r="I1103" s="32"/>
      <c r="J1103" s="32"/>
      <c r="K1103" s="32"/>
      <c r="L1103" s="32"/>
      <c r="M1103" s="82"/>
      <c r="N1103" s="32"/>
      <c r="O1103" s="82"/>
      <c r="P1103" s="82"/>
      <c r="Q1103" s="82"/>
      <c r="R1103" s="32"/>
      <c r="S1103" s="32"/>
      <c r="T1103" s="32"/>
      <c r="U1103" s="32"/>
      <c r="V1103" s="32"/>
      <c r="W1103" s="32"/>
      <c r="X1103" s="32"/>
      <c r="Y1103" s="32"/>
      <c r="Z1103" s="32"/>
      <c r="AA1103" s="32"/>
      <c r="AB1103" s="32"/>
      <c r="AC1103" s="32"/>
      <c r="AD1103" s="84"/>
      <c r="AE1103" s="32"/>
    </row>
    <row r="1104" spans="1:31" x14ac:dyDescent="0.25">
      <c r="A1104" s="32"/>
      <c r="B1104" s="32"/>
      <c r="C1104" s="32"/>
      <c r="D1104" s="32"/>
      <c r="E1104" s="32"/>
      <c r="F1104" s="32"/>
      <c r="G1104" s="32"/>
      <c r="H1104" s="32"/>
      <c r="I1104" s="32"/>
      <c r="J1104" s="32"/>
      <c r="K1104" s="32"/>
      <c r="L1104" s="32"/>
      <c r="M1104" s="82"/>
      <c r="N1104" s="32"/>
      <c r="O1104" s="82"/>
      <c r="P1104" s="82"/>
      <c r="Q1104" s="82"/>
      <c r="R1104" s="32"/>
      <c r="S1104" s="32"/>
      <c r="T1104" s="32"/>
      <c r="U1104" s="32"/>
      <c r="V1104" s="32"/>
      <c r="W1104" s="32"/>
      <c r="X1104" s="32"/>
      <c r="Y1104" s="32"/>
      <c r="Z1104" s="32"/>
      <c r="AA1104" s="32"/>
      <c r="AB1104" s="32"/>
      <c r="AC1104" s="32"/>
      <c r="AD1104" s="84"/>
      <c r="AE1104" s="32"/>
    </row>
    <row r="1105" spans="1:31" x14ac:dyDescent="0.25">
      <c r="A1105" s="32"/>
      <c r="B1105" s="32"/>
      <c r="C1105" s="32"/>
      <c r="D1105" s="32"/>
      <c r="E1105" s="32"/>
      <c r="F1105" s="32"/>
      <c r="G1105" s="32"/>
      <c r="H1105" s="32"/>
      <c r="I1105" s="32"/>
      <c r="J1105" s="32"/>
      <c r="K1105" s="32"/>
      <c r="L1105" s="32"/>
      <c r="M1105" s="82"/>
      <c r="N1105" s="32"/>
      <c r="O1105" s="82"/>
      <c r="P1105" s="82"/>
      <c r="Q1105" s="82"/>
      <c r="R1105" s="32"/>
      <c r="S1105" s="32"/>
      <c r="T1105" s="32"/>
      <c r="U1105" s="32"/>
      <c r="V1105" s="32"/>
      <c r="W1105" s="32"/>
      <c r="X1105" s="32"/>
      <c r="Y1105" s="32"/>
      <c r="Z1105" s="32"/>
      <c r="AA1105" s="32"/>
      <c r="AB1105" s="32"/>
      <c r="AC1105" s="32"/>
      <c r="AD1105" s="84"/>
      <c r="AE1105" s="32"/>
    </row>
    <row r="1106" spans="1:31" x14ac:dyDescent="0.25">
      <c r="A1106" s="32"/>
      <c r="B1106" s="32"/>
      <c r="C1106" s="32"/>
      <c r="D1106" s="32"/>
      <c r="E1106" s="32"/>
      <c r="F1106" s="32"/>
      <c r="G1106" s="32"/>
      <c r="H1106" s="32"/>
      <c r="I1106" s="32"/>
      <c r="J1106" s="32"/>
      <c r="K1106" s="32"/>
      <c r="L1106" s="32"/>
      <c r="M1106" s="82"/>
      <c r="N1106" s="32"/>
      <c r="O1106" s="82"/>
      <c r="P1106" s="82"/>
      <c r="Q1106" s="82"/>
      <c r="R1106" s="32"/>
      <c r="S1106" s="32"/>
      <c r="T1106" s="32"/>
      <c r="U1106" s="32"/>
      <c r="V1106" s="32"/>
      <c r="W1106" s="32"/>
      <c r="X1106" s="32"/>
      <c r="Y1106" s="32"/>
      <c r="Z1106" s="32"/>
      <c r="AA1106" s="32"/>
      <c r="AB1106" s="32"/>
      <c r="AC1106" s="32"/>
      <c r="AD1106" s="84"/>
      <c r="AE1106" s="32"/>
    </row>
    <row r="1107" spans="1:31" x14ac:dyDescent="0.25">
      <c r="A1107" s="32"/>
      <c r="B1107" s="32"/>
      <c r="C1107" s="32"/>
      <c r="D1107" s="32"/>
      <c r="E1107" s="32"/>
      <c r="F1107" s="32"/>
      <c r="G1107" s="32"/>
      <c r="H1107" s="32"/>
      <c r="I1107" s="32"/>
      <c r="J1107" s="32"/>
      <c r="K1107" s="32"/>
      <c r="L1107" s="32"/>
      <c r="M1107" s="82"/>
      <c r="N1107" s="32"/>
      <c r="O1107" s="82"/>
      <c r="P1107" s="82"/>
      <c r="Q1107" s="82"/>
      <c r="R1107" s="32"/>
      <c r="S1107" s="32"/>
      <c r="T1107" s="32"/>
      <c r="U1107" s="32"/>
      <c r="V1107" s="32"/>
      <c r="W1107" s="32"/>
      <c r="X1107" s="32"/>
      <c r="Y1107" s="32"/>
      <c r="Z1107" s="32"/>
      <c r="AA1107" s="32"/>
      <c r="AB1107" s="32"/>
      <c r="AC1107" s="32"/>
      <c r="AD1107" s="84"/>
      <c r="AE1107" s="32"/>
    </row>
    <row r="1108" spans="1:31" x14ac:dyDescent="0.25">
      <c r="A1108" s="32"/>
      <c r="B1108" s="32"/>
      <c r="C1108" s="32"/>
      <c r="D1108" s="32"/>
      <c r="E1108" s="32"/>
      <c r="F1108" s="32"/>
      <c r="G1108" s="32"/>
      <c r="H1108" s="32"/>
      <c r="I1108" s="32"/>
      <c r="J1108" s="32"/>
      <c r="K1108" s="32"/>
      <c r="L1108" s="32"/>
      <c r="M1108" s="82"/>
      <c r="N1108" s="32"/>
      <c r="O1108" s="82"/>
      <c r="P1108" s="82"/>
      <c r="Q1108" s="82"/>
      <c r="R1108" s="32"/>
      <c r="S1108" s="32"/>
      <c r="T1108" s="32"/>
      <c r="U1108" s="32"/>
      <c r="V1108" s="32"/>
      <c r="W1108" s="32"/>
      <c r="X1108" s="32"/>
      <c r="Y1108" s="32"/>
      <c r="Z1108" s="32"/>
      <c r="AA1108" s="32"/>
      <c r="AB1108" s="32"/>
      <c r="AC1108" s="32"/>
      <c r="AD1108" s="84"/>
      <c r="AE1108" s="32"/>
    </row>
    <row r="1109" spans="1:31" x14ac:dyDescent="0.25">
      <c r="A1109" s="32"/>
      <c r="B1109" s="32"/>
      <c r="C1109" s="32"/>
      <c r="D1109" s="32"/>
      <c r="E1109" s="32"/>
      <c r="F1109" s="32"/>
      <c r="G1109" s="32"/>
      <c r="H1109" s="32"/>
      <c r="I1109" s="32"/>
      <c r="J1109" s="32"/>
      <c r="K1109" s="32"/>
      <c r="L1109" s="32"/>
      <c r="M1109" s="82"/>
      <c r="N1109" s="32"/>
      <c r="O1109" s="82"/>
      <c r="P1109" s="82"/>
      <c r="Q1109" s="82"/>
      <c r="R1109" s="32"/>
      <c r="S1109" s="32"/>
      <c r="T1109" s="32"/>
      <c r="U1109" s="32"/>
      <c r="V1109" s="32"/>
      <c r="W1109" s="32"/>
      <c r="X1109" s="32"/>
      <c r="Y1109" s="32"/>
      <c r="Z1109" s="32"/>
      <c r="AA1109" s="32"/>
      <c r="AB1109" s="32"/>
      <c r="AC1109" s="32"/>
      <c r="AD1109" s="84"/>
      <c r="AE1109" s="32"/>
    </row>
    <row r="1110" spans="1:31" x14ac:dyDescent="0.25">
      <c r="A1110" s="32"/>
      <c r="B1110" s="32"/>
      <c r="C1110" s="32"/>
      <c r="D1110" s="32"/>
      <c r="E1110" s="32"/>
      <c r="F1110" s="32"/>
      <c r="G1110" s="32"/>
      <c r="H1110" s="32"/>
      <c r="I1110" s="32"/>
      <c r="J1110" s="32"/>
      <c r="K1110" s="32"/>
      <c r="L1110" s="32"/>
      <c r="M1110" s="82"/>
      <c r="N1110" s="32"/>
      <c r="O1110" s="82"/>
      <c r="P1110" s="82"/>
      <c r="Q1110" s="82"/>
      <c r="R1110" s="32"/>
      <c r="S1110" s="32"/>
      <c r="T1110" s="32"/>
      <c r="U1110" s="32"/>
      <c r="V1110" s="32"/>
      <c r="W1110" s="32"/>
      <c r="X1110" s="32"/>
      <c r="Y1110" s="32"/>
      <c r="Z1110" s="32"/>
      <c r="AA1110" s="32"/>
      <c r="AB1110" s="32"/>
      <c r="AC1110" s="32"/>
      <c r="AD1110" s="84"/>
      <c r="AE1110" s="32"/>
    </row>
    <row r="1111" spans="1:31" x14ac:dyDescent="0.25">
      <c r="A1111" s="32"/>
      <c r="B1111" s="32"/>
      <c r="C1111" s="32"/>
      <c r="D1111" s="32"/>
      <c r="E1111" s="32"/>
      <c r="F1111" s="32"/>
      <c r="G1111" s="32"/>
      <c r="H1111" s="32"/>
      <c r="I1111" s="32"/>
      <c r="J1111" s="32"/>
      <c r="K1111" s="32"/>
      <c r="L1111" s="32"/>
      <c r="M1111" s="82"/>
      <c r="N1111" s="32"/>
      <c r="O1111" s="82"/>
      <c r="P1111" s="82"/>
      <c r="Q1111" s="82"/>
      <c r="R1111" s="32"/>
      <c r="S1111" s="32"/>
      <c r="T1111" s="32"/>
      <c r="U1111" s="32"/>
      <c r="V1111" s="32"/>
      <c r="W1111" s="32"/>
      <c r="X1111" s="32"/>
      <c r="Y1111" s="32"/>
      <c r="Z1111" s="32"/>
      <c r="AA1111" s="32"/>
      <c r="AB1111" s="32"/>
      <c r="AC1111" s="32"/>
      <c r="AD1111" s="84"/>
      <c r="AE1111" s="32"/>
    </row>
    <row r="1112" spans="1:31" x14ac:dyDescent="0.25">
      <c r="A1112" s="32"/>
      <c r="B1112" s="32"/>
      <c r="C1112" s="32"/>
      <c r="D1112" s="32"/>
      <c r="E1112" s="32"/>
      <c r="F1112" s="32"/>
      <c r="G1112" s="32"/>
      <c r="H1112" s="32"/>
      <c r="I1112" s="32"/>
      <c r="J1112" s="32"/>
      <c r="K1112" s="32"/>
      <c r="L1112" s="32"/>
      <c r="M1112" s="82"/>
      <c r="N1112" s="32"/>
      <c r="O1112" s="82"/>
      <c r="P1112" s="82"/>
      <c r="Q1112" s="82"/>
      <c r="R1112" s="32"/>
      <c r="S1112" s="32"/>
      <c r="T1112" s="32"/>
      <c r="U1112" s="32"/>
      <c r="V1112" s="32"/>
      <c r="W1112" s="32"/>
      <c r="X1112" s="32"/>
      <c r="Y1112" s="32"/>
      <c r="Z1112" s="32"/>
      <c r="AA1112" s="32"/>
      <c r="AB1112" s="32"/>
      <c r="AC1112" s="32"/>
      <c r="AD1112" s="84"/>
      <c r="AE1112" s="32"/>
    </row>
    <row r="1113" spans="1:31" x14ac:dyDescent="0.25">
      <c r="A1113" s="32"/>
      <c r="B1113" s="32"/>
      <c r="C1113" s="32"/>
      <c r="D1113" s="32"/>
      <c r="E1113" s="32"/>
      <c r="F1113" s="32"/>
      <c r="G1113" s="32"/>
      <c r="H1113" s="32"/>
      <c r="I1113" s="32"/>
      <c r="J1113" s="32"/>
      <c r="K1113" s="32"/>
      <c r="L1113" s="32"/>
      <c r="M1113" s="82"/>
      <c r="N1113" s="32"/>
      <c r="O1113" s="82"/>
      <c r="P1113" s="82"/>
      <c r="Q1113" s="82"/>
      <c r="R1113" s="32"/>
      <c r="S1113" s="32"/>
      <c r="T1113" s="32"/>
      <c r="U1113" s="32"/>
      <c r="V1113" s="32"/>
      <c r="W1113" s="32"/>
      <c r="X1113" s="32"/>
      <c r="Y1113" s="32"/>
      <c r="Z1113" s="32"/>
      <c r="AA1113" s="32"/>
      <c r="AB1113" s="32"/>
      <c r="AC1113" s="32"/>
      <c r="AD1113" s="84"/>
      <c r="AE1113" s="32"/>
    </row>
    <row r="1114" spans="1:31" x14ac:dyDescent="0.25">
      <c r="A1114" s="32"/>
      <c r="B1114" s="32"/>
      <c r="C1114" s="32"/>
      <c r="D1114" s="32"/>
      <c r="E1114" s="32"/>
      <c r="F1114" s="32"/>
      <c r="G1114" s="32"/>
      <c r="H1114" s="32"/>
      <c r="I1114" s="32"/>
      <c r="J1114" s="32"/>
      <c r="K1114" s="32"/>
      <c r="L1114" s="32"/>
      <c r="M1114" s="82"/>
      <c r="N1114" s="32"/>
      <c r="O1114" s="82"/>
      <c r="P1114" s="82"/>
      <c r="Q1114" s="82"/>
      <c r="R1114" s="32"/>
      <c r="S1114" s="32"/>
      <c r="T1114" s="32"/>
      <c r="U1114" s="32"/>
      <c r="V1114" s="32"/>
      <c r="W1114" s="32"/>
      <c r="X1114" s="32"/>
      <c r="Y1114" s="32"/>
      <c r="Z1114" s="32"/>
      <c r="AA1114" s="32"/>
      <c r="AB1114" s="32"/>
      <c r="AC1114" s="32"/>
      <c r="AD1114" s="84"/>
      <c r="AE1114" s="32"/>
    </row>
    <row r="1115" spans="1:31" x14ac:dyDescent="0.25">
      <c r="A1115" s="32"/>
      <c r="B1115" s="32"/>
      <c r="C1115" s="32"/>
      <c r="D1115" s="32"/>
      <c r="E1115" s="32"/>
      <c r="F1115" s="32"/>
      <c r="G1115" s="32"/>
      <c r="H1115" s="32"/>
      <c r="I1115" s="32"/>
      <c r="J1115" s="32"/>
      <c r="K1115" s="32"/>
      <c r="L1115" s="32"/>
      <c r="M1115" s="82"/>
      <c r="N1115" s="32"/>
      <c r="O1115" s="82"/>
      <c r="P1115" s="82"/>
      <c r="Q1115" s="82"/>
      <c r="R1115" s="32"/>
      <c r="S1115" s="32"/>
      <c r="T1115" s="32"/>
      <c r="U1115" s="32"/>
      <c r="V1115" s="32"/>
      <c r="W1115" s="32"/>
      <c r="X1115" s="32"/>
      <c r="Y1115" s="32"/>
      <c r="Z1115" s="32"/>
      <c r="AA1115" s="32"/>
      <c r="AB1115" s="32"/>
      <c r="AC1115" s="32"/>
      <c r="AD1115" s="84"/>
      <c r="AE1115" s="32"/>
    </row>
    <row r="1116" spans="1:31" x14ac:dyDescent="0.25">
      <c r="A1116" s="29"/>
      <c r="B1116" s="32"/>
      <c r="C1116" s="32"/>
      <c r="D1116" s="32"/>
      <c r="E1116" s="32"/>
      <c r="F1116" s="32"/>
      <c r="G1116" s="32"/>
      <c r="H1116" s="32"/>
      <c r="I1116" s="32"/>
      <c r="J1116" s="32"/>
      <c r="K1116" s="32"/>
      <c r="L1116" s="32"/>
      <c r="M1116" s="82"/>
      <c r="N1116" s="32"/>
      <c r="O1116" s="82"/>
      <c r="P1116" s="82"/>
      <c r="Q1116" s="82"/>
      <c r="R1116" s="32"/>
      <c r="S1116" s="32"/>
      <c r="T1116" s="32"/>
      <c r="U1116" s="32"/>
      <c r="V1116" s="32"/>
      <c r="W1116" s="32"/>
      <c r="X1116" s="32"/>
      <c r="Y1116" s="32"/>
      <c r="Z1116" s="32"/>
      <c r="AA1116" s="32"/>
      <c r="AB1116" s="32"/>
      <c r="AC1116" s="32"/>
      <c r="AD1116" s="84"/>
      <c r="AE1116" s="32"/>
    </row>
    <row r="1117" spans="1:31" x14ac:dyDescent="0.25">
      <c r="A1117" s="29"/>
      <c r="B1117" s="32"/>
      <c r="C1117" s="32"/>
      <c r="D1117" s="32"/>
      <c r="E1117" s="32"/>
      <c r="F1117" s="32"/>
      <c r="G1117" s="32"/>
      <c r="H1117" s="32"/>
      <c r="I1117" s="32"/>
      <c r="J1117" s="32"/>
      <c r="K1117" s="32"/>
      <c r="L1117" s="32"/>
      <c r="M1117" s="82"/>
      <c r="N1117" s="32"/>
      <c r="O1117" s="82"/>
      <c r="P1117" s="82"/>
      <c r="Q1117" s="82"/>
      <c r="R1117" s="32"/>
      <c r="S1117" s="32"/>
      <c r="T1117" s="32"/>
      <c r="U1117" s="32"/>
      <c r="V1117" s="32"/>
      <c r="W1117" s="32"/>
      <c r="X1117" s="32"/>
      <c r="Y1117" s="32"/>
      <c r="Z1117" s="32"/>
      <c r="AA1117" s="32"/>
      <c r="AB1117" s="32"/>
      <c r="AC1117" s="32"/>
      <c r="AD1117" s="84"/>
      <c r="AE1117" s="32"/>
    </row>
    <row r="1118" spans="1:31" x14ac:dyDescent="0.25">
      <c r="A1118" s="29"/>
      <c r="B1118" s="32"/>
      <c r="C1118" s="32"/>
      <c r="D1118" s="32"/>
      <c r="E1118" s="32"/>
      <c r="F1118" s="32"/>
      <c r="G1118" s="32"/>
      <c r="H1118" s="32"/>
      <c r="I1118" s="32"/>
      <c r="J1118" s="32"/>
      <c r="K1118" s="32"/>
      <c r="L1118" s="32"/>
      <c r="M1118" s="82"/>
      <c r="N1118" s="32"/>
      <c r="O1118" s="82"/>
      <c r="P1118" s="82"/>
      <c r="Q1118" s="82"/>
      <c r="R1118" s="32"/>
      <c r="S1118" s="32"/>
      <c r="T1118" s="32"/>
      <c r="U1118" s="32"/>
      <c r="V1118" s="32"/>
      <c r="W1118" s="32"/>
      <c r="X1118" s="32"/>
      <c r="Y1118" s="32"/>
      <c r="Z1118" s="32"/>
      <c r="AA1118" s="32"/>
      <c r="AB1118" s="32"/>
      <c r="AC1118" s="32"/>
      <c r="AD1118" s="84"/>
      <c r="AE1118" s="32"/>
    </row>
    <row r="1119" spans="1:31" x14ac:dyDescent="0.25">
      <c r="A1119" s="29"/>
      <c r="B1119" s="32"/>
      <c r="C1119" s="32"/>
      <c r="D1119" s="32"/>
      <c r="E1119" s="32"/>
      <c r="F1119" s="32"/>
      <c r="G1119" s="32"/>
      <c r="H1119" s="32"/>
      <c r="I1119" s="32"/>
      <c r="J1119" s="32"/>
      <c r="K1119" s="32"/>
      <c r="L1119" s="32"/>
      <c r="M1119" s="82"/>
      <c r="N1119" s="32"/>
      <c r="O1119" s="82"/>
      <c r="P1119" s="82"/>
      <c r="Q1119" s="82"/>
      <c r="R1119" s="32"/>
      <c r="S1119" s="32"/>
      <c r="T1119" s="32"/>
      <c r="U1119" s="32"/>
      <c r="V1119" s="32"/>
      <c r="W1119" s="32"/>
      <c r="X1119" s="32"/>
      <c r="Y1119" s="32"/>
      <c r="Z1119" s="32"/>
      <c r="AA1119" s="32"/>
      <c r="AB1119" s="32"/>
      <c r="AC1119" s="32"/>
      <c r="AD1119" s="84"/>
      <c r="AE1119" s="32"/>
    </row>
    <row r="1120" spans="1:31" x14ac:dyDescent="0.25">
      <c r="A1120" s="29"/>
      <c r="B1120" s="32"/>
      <c r="C1120" s="32"/>
      <c r="D1120" s="32"/>
      <c r="E1120" s="32"/>
      <c r="F1120" s="32"/>
      <c r="G1120" s="32"/>
      <c r="H1120" s="32"/>
      <c r="I1120" s="32"/>
      <c r="J1120" s="32"/>
      <c r="K1120" s="32"/>
      <c r="L1120" s="32"/>
      <c r="M1120" s="82"/>
      <c r="N1120" s="32"/>
      <c r="O1120" s="82"/>
      <c r="P1120" s="82"/>
      <c r="Q1120" s="82"/>
      <c r="R1120" s="32"/>
      <c r="S1120" s="32"/>
      <c r="T1120" s="32"/>
      <c r="U1120" s="32"/>
      <c r="V1120" s="32"/>
      <c r="W1120" s="32"/>
      <c r="X1120" s="32"/>
      <c r="Y1120" s="32"/>
      <c r="Z1120" s="32"/>
      <c r="AA1120" s="32"/>
      <c r="AB1120" s="32"/>
      <c r="AC1120" s="32"/>
      <c r="AD1120" s="84"/>
      <c r="AE1120" s="32"/>
    </row>
    <row r="1121" spans="1:31" x14ac:dyDescent="0.25">
      <c r="A1121" s="29"/>
      <c r="B1121" s="32"/>
      <c r="C1121" s="32"/>
      <c r="D1121" s="32"/>
      <c r="E1121" s="32"/>
      <c r="F1121" s="32"/>
      <c r="G1121" s="32"/>
      <c r="H1121" s="32"/>
      <c r="I1121" s="32"/>
      <c r="J1121" s="32"/>
      <c r="K1121" s="32"/>
      <c r="L1121" s="32"/>
      <c r="M1121" s="82"/>
      <c r="N1121" s="32"/>
      <c r="O1121" s="82"/>
      <c r="P1121" s="82"/>
      <c r="Q1121" s="82"/>
      <c r="R1121" s="32"/>
      <c r="S1121" s="32"/>
      <c r="T1121" s="32"/>
      <c r="U1121" s="32"/>
      <c r="V1121" s="32"/>
      <c r="W1121" s="32"/>
      <c r="X1121" s="32"/>
      <c r="Y1121" s="32"/>
      <c r="Z1121" s="32"/>
      <c r="AA1121" s="32"/>
      <c r="AB1121" s="32"/>
      <c r="AC1121" s="32"/>
      <c r="AD1121" s="84"/>
      <c r="AE1121" s="32"/>
    </row>
    <row r="1122" spans="1:31" x14ac:dyDescent="0.25">
      <c r="A1122" s="29"/>
      <c r="B1122" s="32"/>
      <c r="C1122" s="32"/>
      <c r="D1122" s="32"/>
      <c r="E1122" s="32"/>
      <c r="F1122" s="32"/>
      <c r="G1122" s="32"/>
      <c r="H1122" s="32"/>
      <c r="I1122" s="32"/>
      <c r="J1122" s="32"/>
      <c r="K1122" s="32"/>
      <c r="L1122" s="32"/>
      <c r="M1122" s="82"/>
      <c r="N1122" s="32"/>
      <c r="O1122" s="82"/>
      <c r="P1122" s="82"/>
      <c r="Q1122" s="82"/>
      <c r="R1122" s="32"/>
      <c r="S1122" s="32"/>
      <c r="T1122" s="32"/>
      <c r="U1122" s="32"/>
      <c r="V1122" s="32"/>
      <c r="W1122" s="32"/>
      <c r="X1122" s="32"/>
      <c r="Y1122" s="32"/>
      <c r="Z1122" s="32"/>
      <c r="AA1122" s="32"/>
      <c r="AB1122" s="32"/>
      <c r="AC1122" s="32"/>
      <c r="AD1122" s="84"/>
      <c r="AE1122" s="32"/>
    </row>
    <row r="1123" spans="1:31" x14ac:dyDescent="0.25">
      <c r="A1123" s="29"/>
      <c r="B1123" s="32"/>
      <c r="C1123" s="32"/>
      <c r="D1123" s="32"/>
      <c r="E1123" s="32"/>
      <c r="F1123" s="32"/>
      <c r="G1123" s="32"/>
      <c r="H1123" s="32"/>
      <c r="I1123" s="32"/>
      <c r="J1123" s="32"/>
      <c r="K1123" s="32"/>
      <c r="L1123" s="32"/>
      <c r="M1123" s="82"/>
      <c r="N1123" s="32"/>
      <c r="O1123" s="82"/>
      <c r="P1123" s="82"/>
      <c r="Q1123" s="82"/>
      <c r="R1123" s="32"/>
      <c r="S1123" s="32"/>
      <c r="T1123" s="32"/>
      <c r="U1123" s="32"/>
      <c r="V1123" s="32"/>
      <c r="W1123" s="32"/>
      <c r="X1123" s="32"/>
      <c r="Y1123" s="32"/>
      <c r="Z1123" s="32"/>
      <c r="AA1123" s="32"/>
      <c r="AB1123" s="32"/>
      <c r="AC1123" s="32"/>
      <c r="AD1123" s="84"/>
      <c r="AE1123" s="32"/>
    </row>
    <row r="1124" spans="1:31" x14ac:dyDescent="0.25">
      <c r="A1124" s="29"/>
      <c r="B1124" s="32"/>
      <c r="C1124" s="32"/>
      <c r="D1124" s="32"/>
      <c r="E1124" s="32"/>
      <c r="F1124" s="32"/>
      <c r="G1124" s="32"/>
      <c r="H1124" s="32"/>
      <c r="I1124" s="32"/>
      <c r="J1124" s="32"/>
      <c r="K1124" s="32"/>
      <c r="L1124" s="32"/>
      <c r="M1124" s="82"/>
      <c r="N1124" s="32"/>
      <c r="O1124" s="82"/>
      <c r="P1124" s="82"/>
      <c r="Q1124" s="82"/>
      <c r="R1124" s="32"/>
      <c r="S1124" s="32"/>
      <c r="T1124" s="32"/>
      <c r="U1124" s="32"/>
      <c r="V1124" s="32"/>
      <c r="W1124" s="32"/>
      <c r="X1124" s="32"/>
      <c r="Y1124" s="32"/>
      <c r="Z1124" s="32"/>
      <c r="AA1124" s="32"/>
      <c r="AB1124" s="32"/>
      <c r="AC1124" s="32"/>
      <c r="AD1124" s="84"/>
      <c r="AE1124" s="32"/>
    </row>
    <row r="1125" spans="1:31" x14ac:dyDescent="0.25">
      <c r="A1125" s="29"/>
      <c r="B1125" s="32"/>
      <c r="C1125" s="32"/>
      <c r="D1125" s="32"/>
      <c r="E1125" s="32"/>
      <c r="F1125" s="32"/>
      <c r="G1125" s="32"/>
      <c r="H1125" s="32"/>
      <c r="I1125" s="32"/>
      <c r="J1125" s="32"/>
      <c r="K1125" s="32"/>
      <c r="L1125" s="32"/>
      <c r="M1125" s="82"/>
      <c r="N1125" s="32"/>
      <c r="O1125" s="82"/>
      <c r="P1125" s="82"/>
      <c r="Q1125" s="82"/>
      <c r="R1125" s="32"/>
      <c r="S1125" s="32"/>
      <c r="T1125" s="32"/>
      <c r="U1125" s="32"/>
      <c r="V1125" s="32"/>
      <c r="W1125" s="32"/>
      <c r="X1125" s="32"/>
      <c r="Y1125" s="32"/>
      <c r="Z1125" s="32"/>
      <c r="AA1125" s="32"/>
      <c r="AB1125" s="32"/>
      <c r="AC1125" s="32"/>
      <c r="AD1125" s="84"/>
      <c r="AE1125" s="32"/>
    </row>
    <row r="1126" spans="1:31" x14ac:dyDescent="0.25">
      <c r="A1126" s="29"/>
      <c r="B1126" s="32"/>
      <c r="C1126" s="32"/>
      <c r="D1126" s="32"/>
      <c r="E1126" s="32"/>
      <c r="F1126" s="32"/>
      <c r="G1126" s="32"/>
      <c r="H1126" s="32"/>
      <c r="I1126" s="32"/>
      <c r="J1126" s="32"/>
      <c r="K1126" s="32"/>
      <c r="L1126" s="32"/>
      <c r="M1126" s="82"/>
      <c r="N1126" s="32"/>
      <c r="O1126" s="82"/>
      <c r="P1126" s="82"/>
      <c r="Q1126" s="82"/>
      <c r="R1126" s="32"/>
      <c r="S1126" s="32"/>
      <c r="T1126" s="32"/>
      <c r="U1126" s="32"/>
      <c r="V1126" s="32"/>
      <c r="W1126" s="32"/>
      <c r="X1126" s="32"/>
      <c r="Y1126" s="32"/>
      <c r="Z1126" s="32"/>
      <c r="AA1126" s="32"/>
      <c r="AB1126" s="32"/>
      <c r="AC1126" s="32"/>
      <c r="AD1126" s="84"/>
      <c r="AE1126" s="32"/>
    </row>
    <row r="1127" spans="1:31" x14ac:dyDescent="0.25">
      <c r="A1127" s="29"/>
      <c r="B1127" s="32"/>
      <c r="C1127" s="32"/>
      <c r="D1127" s="32"/>
      <c r="E1127" s="32"/>
      <c r="F1127" s="32"/>
      <c r="G1127" s="32"/>
      <c r="H1127" s="32"/>
      <c r="I1127" s="32"/>
      <c r="J1127" s="32"/>
      <c r="K1127" s="32"/>
      <c r="L1127" s="32"/>
      <c r="M1127" s="82"/>
      <c r="N1127" s="32"/>
      <c r="O1127" s="82"/>
      <c r="P1127" s="82"/>
      <c r="Q1127" s="82"/>
      <c r="R1127" s="32"/>
      <c r="S1127" s="32"/>
      <c r="T1127" s="32"/>
      <c r="U1127" s="32"/>
      <c r="V1127" s="32"/>
      <c r="W1127" s="32"/>
      <c r="X1127" s="32"/>
      <c r="Y1127" s="32"/>
      <c r="Z1127" s="32"/>
      <c r="AA1127" s="32"/>
      <c r="AB1127" s="32"/>
      <c r="AC1127" s="32"/>
      <c r="AD1127" s="84"/>
      <c r="AE1127" s="32"/>
    </row>
    <row r="1128" spans="1:31" x14ac:dyDescent="0.25">
      <c r="A1128" s="29"/>
      <c r="B1128" s="32"/>
      <c r="C1128" s="32"/>
      <c r="D1128" s="32"/>
      <c r="E1128" s="32"/>
      <c r="F1128" s="32"/>
      <c r="G1128" s="32"/>
      <c r="H1128" s="32"/>
      <c r="I1128" s="32"/>
      <c r="J1128" s="32"/>
      <c r="K1128" s="32"/>
      <c r="L1128" s="32"/>
      <c r="M1128" s="82"/>
      <c r="N1128" s="32"/>
      <c r="O1128" s="82"/>
      <c r="P1128" s="82"/>
      <c r="Q1128" s="82"/>
      <c r="R1128" s="32"/>
      <c r="S1128" s="32"/>
      <c r="T1128" s="32"/>
      <c r="U1128" s="32"/>
      <c r="V1128" s="32"/>
      <c r="W1128" s="32"/>
      <c r="X1128" s="32"/>
      <c r="Y1128" s="32"/>
      <c r="Z1128" s="32"/>
      <c r="AA1128" s="32"/>
      <c r="AB1128" s="32"/>
      <c r="AC1128" s="32"/>
      <c r="AD1128" s="84"/>
      <c r="AE1128" s="32"/>
    </row>
    <row r="1129" spans="1:31" x14ac:dyDescent="0.25">
      <c r="A1129" s="29"/>
      <c r="B1129" s="32"/>
      <c r="C1129" s="32"/>
      <c r="D1129" s="32"/>
      <c r="E1129" s="32"/>
      <c r="F1129" s="32"/>
      <c r="G1129" s="32"/>
      <c r="H1129" s="32"/>
      <c r="I1129" s="32"/>
      <c r="J1129" s="32"/>
      <c r="K1129" s="32"/>
      <c r="L1129" s="32"/>
      <c r="M1129" s="82"/>
      <c r="N1129" s="32"/>
      <c r="O1129" s="82"/>
      <c r="P1129" s="82"/>
      <c r="Q1129" s="82"/>
      <c r="R1129" s="32"/>
      <c r="S1129" s="32"/>
      <c r="T1129" s="32"/>
      <c r="U1129" s="32"/>
      <c r="V1129" s="32"/>
      <c r="W1129" s="32"/>
      <c r="X1129" s="32"/>
      <c r="Y1129" s="32"/>
      <c r="Z1129" s="32"/>
      <c r="AA1129" s="32"/>
      <c r="AB1129" s="32"/>
      <c r="AC1129" s="32"/>
      <c r="AD1129" s="84"/>
      <c r="AE1129" s="32"/>
    </row>
    <row r="1130" spans="1:31" x14ac:dyDescent="0.25">
      <c r="A1130" s="29"/>
      <c r="B1130" s="32"/>
      <c r="C1130" s="32"/>
      <c r="D1130" s="32"/>
      <c r="E1130" s="32"/>
      <c r="F1130" s="32"/>
      <c r="G1130" s="32"/>
      <c r="H1130" s="32"/>
      <c r="I1130" s="32"/>
      <c r="J1130" s="32"/>
      <c r="K1130" s="32"/>
      <c r="L1130" s="32"/>
      <c r="M1130" s="82"/>
      <c r="N1130" s="32"/>
      <c r="O1130" s="82"/>
      <c r="P1130" s="82"/>
      <c r="Q1130" s="82"/>
      <c r="R1130" s="32"/>
      <c r="S1130" s="32"/>
      <c r="T1130" s="32"/>
      <c r="U1130" s="32"/>
      <c r="V1130" s="32"/>
      <c r="W1130" s="32"/>
      <c r="X1130" s="32"/>
      <c r="Y1130" s="32"/>
      <c r="Z1130" s="32"/>
      <c r="AA1130" s="32"/>
      <c r="AB1130" s="32"/>
      <c r="AC1130" s="32"/>
      <c r="AD1130" s="84"/>
      <c r="AE1130" s="32"/>
    </row>
    <row r="1131" spans="1:31" x14ac:dyDescent="0.25">
      <c r="A1131" s="29"/>
      <c r="B1131" s="32"/>
      <c r="C1131" s="32"/>
      <c r="D1131" s="32"/>
      <c r="E1131" s="32"/>
      <c r="F1131" s="32"/>
      <c r="G1131" s="32"/>
      <c r="H1131" s="32"/>
      <c r="I1131" s="32"/>
      <c r="J1131" s="32"/>
      <c r="K1131" s="32"/>
      <c r="L1131" s="32"/>
      <c r="M1131" s="82"/>
      <c r="N1131" s="32"/>
      <c r="O1131" s="82"/>
      <c r="P1131" s="82"/>
      <c r="Q1131" s="82"/>
      <c r="R1131" s="32"/>
      <c r="S1131" s="32"/>
      <c r="T1131" s="32"/>
      <c r="U1131" s="32"/>
      <c r="V1131" s="32"/>
      <c r="W1131" s="32"/>
      <c r="X1131" s="32"/>
      <c r="Y1131" s="32"/>
      <c r="Z1131" s="32"/>
      <c r="AA1131" s="32"/>
      <c r="AB1131" s="32"/>
      <c r="AC1131" s="32"/>
      <c r="AD1131" s="84"/>
      <c r="AE1131" s="32"/>
    </row>
    <row r="1132" spans="1:31" x14ac:dyDescent="0.25">
      <c r="A1132" s="29"/>
      <c r="B1132" s="32"/>
      <c r="C1132" s="32"/>
      <c r="D1132" s="32"/>
      <c r="E1132" s="32"/>
      <c r="F1132" s="32"/>
      <c r="G1132" s="32"/>
      <c r="H1132" s="32"/>
      <c r="I1132" s="32"/>
      <c r="J1132" s="32"/>
      <c r="K1132" s="32"/>
      <c r="L1132" s="32"/>
      <c r="M1132" s="82"/>
      <c r="N1132" s="32"/>
      <c r="O1132" s="82"/>
      <c r="P1132" s="82"/>
      <c r="Q1132" s="82"/>
      <c r="R1132" s="32"/>
      <c r="S1132" s="32"/>
      <c r="T1132" s="32"/>
      <c r="U1132" s="32"/>
      <c r="V1132" s="32"/>
      <c r="W1132" s="32"/>
      <c r="X1132" s="32"/>
      <c r="Y1132" s="32"/>
      <c r="Z1132" s="32"/>
      <c r="AA1132" s="32"/>
      <c r="AB1132" s="32"/>
      <c r="AC1132" s="32"/>
      <c r="AD1132" s="84"/>
      <c r="AE1132" s="32"/>
    </row>
    <row r="1133" spans="1:31" x14ac:dyDescent="0.25">
      <c r="A1133" s="29"/>
      <c r="B1133" s="32"/>
      <c r="C1133" s="32"/>
      <c r="D1133" s="32"/>
      <c r="E1133" s="32"/>
      <c r="F1133" s="32"/>
      <c r="G1133" s="32"/>
      <c r="H1133" s="32"/>
      <c r="I1133" s="32"/>
      <c r="J1133" s="32"/>
      <c r="K1133" s="32"/>
      <c r="L1133" s="32"/>
      <c r="M1133" s="82"/>
      <c r="N1133" s="32"/>
      <c r="O1133" s="82"/>
      <c r="P1133" s="82"/>
      <c r="Q1133" s="82"/>
      <c r="R1133" s="32"/>
      <c r="S1133" s="32"/>
      <c r="T1133" s="32"/>
      <c r="U1133" s="32"/>
      <c r="V1133" s="32"/>
      <c r="W1133" s="32"/>
      <c r="X1133" s="32"/>
      <c r="Y1133" s="32"/>
      <c r="Z1133" s="32"/>
      <c r="AA1133" s="32"/>
      <c r="AB1133" s="32"/>
      <c r="AC1133" s="32"/>
      <c r="AD1133" s="84"/>
      <c r="AE1133" s="32"/>
    </row>
    <row r="1134" spans="1:31" x14ac:dyDescent="0.25">
      <c r="A1134" s="29"/>
      <c r="B1134" s="32"/>
      <c r="C1134" s="32"/>
      <c r="D1134" s="32"/>
      <c r="E1134" s="32"/>
      <c r="F1134" s="32"/>
      <c r="G1134" s="32"/>
      <c r="H1134" s="32"/>
      <c r="I1134" s="32"/>
      <c r="J1134" s="32"/>
      <c r="K1134" s="32"/>
      <c r="L1134" s="32"/>
      <c r="M1134" s="82"/>
      <c r="N1134" s="32"/>
      <c r="O1134" s="82"/>
      <c r="P1134" s="82"/>
      <c r="Q1134" s="82"/>
      <c r="R1134" s="32"/>
      <c r="S1134" s="32"/>
      <c r="T1134" s="32"/>
      <c r="U1134" s="32"/>
      <c r="V1134" s="32"/>
      <c r="W1134" s="32"/>
      <c r="X1134" s="32"/>
      <c r="Y1134" s="32"/>
      <c r="Z1134" s="32"/>
      <c r="AA1134" s="32"/>
      <c r="AB1134" s="32"/>
      <c r="AC1134" s="32"/>
      <c r="AD1134" s="84"/>
      <c r="AE1134" s="32"/>
    </row>
    <row r="1135" spans="1:31" x14ac:dyDescent="0.25">
      <c r="A1135" s="29"/>
      <c r="B1135" s="32"/>
      <c r="C1135" s="32"/>
      <c r="D1135" s="32"/>
      <c r="E1135" s="32"/>
      <c r="F1135" s="32"/>
      <c r="G1135" s="32"/>
      <c r="H1135" s="32"/>
      <c r="I1135" s="32"/>
      <c r="J1135" s="32"/>
      <c r="K1135" s="32"/>
      <c r="L1135" s="32"/>
      <c r="M1135" s="82"/>
      <c r="N1135" s="32"/>
      <c r="O1135" s="82"/>
      <c r="P1135" s="82"/>
      <c r="Q1135" s="82"/>
      <c r="R1135" s="32"/>
      <c r="S1135" s="32"/>
      <c r="T1135" s="32"/>
      <c r="U1135" s="32"/>
      <c r="V1135" s="32"/>
      <c r="W1135" s="32"/>
      <c r="X1135" s="32"/>
      <c r="Y1135" s="32"/>
      <c r="Z1135" s="32"/>
      <c r="AA1135" s="32"/>
      <c r="AB1135" s="32"/>
      <c r="AC1135" s="32"/>
      <c r="AD1135" s="84"/>
      <c r="AE1135" s="32"/>
    </row>
    <row r="1136" spans="1:31" x14ac:dyDescent="0.25">
      <c r="A1136" s="29"/>
      <c r="B1136" s="32"/>
      <c r="C1136" s="32"/>
      <c r="D1136" s="32"/>
      <c r="E1136" s="32"/>
      <c r="F1136" s="32"/>
      <c r="G1136" s="32"/>
      <c r="H1136" s="32"/>
      <c r="I1136" s="32"/>
      <c r="J1136" s="32"/>
      <c r="K1136" s="32"/>
      <c r="L1136" s="32"/>
      <c r="M1136" s="82"/>
      <c r="N1136" s="32"/>
      <c r="O1136" s="82"/>
      <c r="P1136" s="82"/>
      <c r="Q1136" s="82"/>
      <c r="R1136" s="32"/>
      <c r="S1136" s="32"/>
      <c r="T1136" s="32"/>
      <c r="U1136" s="32"/>
      <c r="V1136" s="32"/>
      <c r="W1136" s="32"/>
      <c r="X1136" s="32"/>
      <c r="Y1136" s="32"/>
      <c r="Z1136" s="32"/>
      <c r="AA1136" s="32"/>
      <c r="AB1136" s="32"/>
      <c r="AC1136" s="32"/>
      <c r="AD1136" s="84"/>
      <c r="AE1136" s="32"/>
    </row>
    <row r="1137" spans="1:31" x14ac:dyDescent="0.25">
      <c r="A1137" s="29"/>
      <c r="B1137" s="32"/>
      <c r="C1137" s="32"/>
      <c r="D1137" s="32"/>
      <c r="E1137" s="32"/>
      <c r="F1137" s="32"/>
      <c r="G1137" s="32"/>
      <c r="H1137" s="32"/>
      <c r="I1137" s="32"/>
      <c r="J1137" s="32"/>
      <c r="K1137" s="32"/>
      <c r="L1137" s="32"/>
      <c r="M1137" s="82"/>
      <c r="N1137" s="32"/>
      <c r="O1137" s="82"/>
      <c r="P1137" s="82"/>
      <c r="Q1137" s="82"/>
      <c r="R1137" s="32"/>
      <c r="S1137" s="32"/>
      <c r="T1137" s="32"/>
      <c r="U1137" s="32"/>
      <c r="V1137" s="32"/>
      <c r="W1137" s="32"/>
      <c r="X1137" s="32"/>
      <c r="Y1137" s="32"/>
      <c r="Z1137" s="32"/>
      <c r="AA1137" s="32"/>
      <c r="AB1137" s="32"/>
      <c r="AC1137" s="32"/>
      <c r="AD1137" s="84"/>
      <c r="AE1137" s="32"/>
    </row>
    <row r="1138" spans="1:31" x14ac:dyDescent="0.25">
      <c r="A1138" s="29"/>
      <c r="B1138" s="32"/>
      <c r="C1138" s="32"/>
      <c r="D1138" s="32"/>
      <c r="E1138" s="32"/>
      <c r="F1138" s="32"/>
      <c r="G1138" s="32"/>
      <c r="H1138" s="32"/>
      <c r="I1138" s="32"/>
      <c r="J1138" s="32"/>
      <c r="K1138" s="32"/>
      <c r="L1138" s="32"/>
      <c r="M1138" s="82"/>
      <c r="N1138" s="32"/>
      <c r="O1138" s="82"/>
      <c r="P1138" s="82"/>
      <c r="Q1138" s="82"/>
      <c r="R1138" s="32"/>
      <c r="S1138" s="32"/>
      <c r="T1138" s="32"/>
      <c r="U1138" s="32"/>
      <c r="V1138" s="32"/>
      <c r="W1138" s="32"/>
      <c r="X1138" s="32"/>
      <c r="Y1138" s="32"/>
      <c r="Z1138" s="32"/>
      <c r="AA1138" s="32"/>
      <c r="AB1138" s="32"/>
      <c r="AC1138" s="32"/>
      <c r="AD1138" s="84"/>
      <c r="AE1138" s="32"/>
    </row>
    <row r="1139" spans="1:31" x14ac:dyDescent="0.25">
      <c r="A1139" s="29"/>
      <c r="B1139" s="32"/>
      <c r="C1139" s="32"/>
      <c r="D1139" s="32"/>
      <c r="E1139" s="32"/>
      <c r="F1139" s="32"/>
      <c r="G1139" s="32"/>
      <c r="H1139" s="32"/>
      <c r="I1139" s="32"/>
      <c r="J1139" s="32"/>
      <c r="K1139" s="32"/>
      <c r="L1139" s="32"/>
      <c r="M1139" s="82"/>
      <c r="N1139" s="32"/>
      <c r="O1139" s="82"/>
      <c r="P1139" s="82"/>
      <c r="Q1139" s="82"/>
      <c r="R1139" s="32"/>
      <c r="S1139" s="32"/>
      <c r="T1139" s="32"/>
      <c r="U1139" s="32"/>
      <c r="V1139" s="32"/>
      <c r="W1139" s="32"/>
      <c r="X1139" s="32"/>
      <c r="Y1139" s="32"/>
      <c r="Z1139" s="32"/>
      <c r="AA1139" s="32"/>
      <c r="AB1139" s="32"/>
      <c r="AC1139" s="32"/>
      <c r="AD1139" s="84"/>
      <c r="AE1139" s="32"/>
    </row>
    <row r="1140" spans="1:31" x14ac:dyDescent="0.25">
      <c r="A1140" s="29"/>
      <c r="B1140" s="32"/>
      <c r="C1140" s="32"/>
      <c r="D1140" s="32"/>
      <c r="E1140" s="32"/>
      <c r="F1140" s="32"/>
      <c r="G1140" s="32"/>
      <c r="H1140" s="32"/>
      <c r="I1140" s="32"/>
      <c r="J1140" s="32"/>
      <c r="K1140" s="32"/>
      <c r="L1140" s="32"/>
      <c r="M1140" s="82"/>
      <c r="N1140" s="32"/>
      <c r="O1140" s="82"/>
      <c r="P1140" s="82"/>
      <c r="Q1140" s="82"/>
      <c r="R1140" s="32"/>
      <c r="S1140" s="32"/>
      <c r="T1140" s="32"/>
      <c r="U1140" s="32"/>
      <c r="V1140" s="32"/>
      <c r="W1140" s="32"/>
      <c r="X1140" s="32"/>
      <c r="Y1140" s="32"/>
      <c r="Z1140" s="32"/>
      <c r="AA1140" s="32"/>
      <c r="AB1140" s="32"/>
      <c r="AC1140" s="32"/>
      <c r="AD1140" s="84"/>
      <c r="AE1140" s="32"/>
    </row>
    <row r="1141" spans="1:31" x14ac:dyDescent="0.25">
      <c r="A1141" s="29"/>
      <c r="B1141" s="32"/>
      <c r="C1141" s="32"/>
      <c r="D1141" s="32"/>
      <c r="E1141" s="32"/>
      <c r="F1141" s="32"/>
      <c r="G1141" s="32"/>
      <c r="H1141" s="32"/>
      <c r="I1141" s="32"/>
      <c r="J1141" s="32"/>
      <c r="K1141" s="32"/>
      <c r="L1141" s="32"/>
      <c r="M1141" s="82"/>
      <c r="N1141" s="32"/>
      <c r="O1141" s="82"/>
      <c r="P1141" s="82"/>
      <c r="Q1141" s="82"/>
      <c r="R1141" s="32"/>
      <c r="S1141" s="32"/>
      <c r="T1141" s="32"/>
      <c r="U1141" s="32"/>
      <c r="V1141" s="32"/>
      <c r="W1141" s="32"/>
      <c r="X1141" s="32"/>
      <c r="Y1141" s="32"/>
      <c r="Z1141" s="32"/>
      <c r="AA1141" s="32"/>
      <c r="AB1141" s="32"/>
      <c r="AC1141" s="32"/>
      <c r="AD1141" s="84"/>
      <c r="AE1141" s="32"/>
    </row>
    <row r="1142" spans="1:31" x14ac:dyDescent="0.25">
      <c r="A1142" s="29"/>
      <c r="B1142" s="32"/>
      <c r="C1142" s="32"/>
      <c r="D1142" s="32"/>
      <c r="E1142" s="32"/>
      <c r="F1142" s="32"/>
      <c r="G1142" s="32"/>
      <c r="H1142" s="32"/>
      <c r="I1142" s="32"/>
      <c r="J1142" s="32"/>
      <c r="K1142" s="32"/>
      <c r="L1142" s="32"/>
      <c r="M1142" s="82"/>
      <c r="N1142" s="32"/>
      <c r="O1142" s="82"/>
      <c r="P1142" s="82"/>
      <c r="Q1142" s="82"/>
      <c r="R1142" s="32"/>
      <c r="S1142" s="32"/>
      <c r="T1142" s="32"/>
      <c r="U1142" s="32"/>
      <c r="V1142" s="32"/>
      <c r="W1142" s="32"/>
      <c r="X1142" s="32"/>
      <c r="Y1142" s="32"/>
      <c r="Z1142" s="32"/>
      <c r="AA1142" s="32"/>
      <c r="AB1142" s="32"/>
      <c r="AC1142" s="32"/>
      <c r="AD1142" s="84"/>
      <c r="AE1142" s="32"/>
    </row>
    <row r="1143" spans="1:31" x14ac:dyDescent="0.25">
      <c r="A1143" s="29"/>
      <c r="B1143" s="32"/>
      <c r="C1143" s="32"/>
      <c r="D1143" s="32"/>
      <c r="E1143" s="32"/>
      <c r="F1143" s="32"/>
      <c r="G1143" s="32"/>
      <c r="H1143" s="32"/>
      <c r="I1143" s="32"/>
      <c r="J1143" s="32"/>
      <c r="K1143" s="32"/>
      <c r="L1143" s="32"/>
      <c r="M1143" s="82"/>
      <c r="N1143" s="32"/>
      <c r="O1143" s="82"/>
      <c r="P1143" s="82"/>
      <c r="Q1143" s="82"/>
      <c r="R1143" s="32"/>
      <c r="S1143" s="32"/>
      <c r="T1143" s="32"/>
      <c r="U1143" s="32"/>
      <c r="V1143" s="32"/>
      <c r="W1143" s="32"/>
      <c r="X1143" s="32"/>
      <c r="Y1143" s="32"/>
      <c r="Z1143" s="32"/>
      <c r="AA1143" s="32"/>
      <c r="AB1143" s="32"/>
      <c r="AC1143" s="32"/>
      <c r="AD1143" s="84"/>
      <c r="AE1143" s="32"/>
    </row>
    <row r="1144" spans="1:31" x14ac:dyDescent="0.25">
      <c r="A1144" s="29"/>
      <c r="B1144" s="32"/>
      <c r="C1144" s="32"/>
      <c r="D1144" s="32"/>
      <c r="E1144" s="32"/>
      <c r="F1144" s="32"/>
      <c r="G1144" s="32"/>
      <c r="H1144" s="32"/>
      <c r="I1144" s="32"/>
      <c r="J1144" s="32"/>
      <c r="K1144" s="32"/>
      <c r="L1144" s="32"/>
      <c r="M1144" s="82"/>
      <c r="N1144" s="32"/>
      <c r="O1144" s="82"/>
      <c r="P1144" s="82"/>
      <c r="Q1144" s="82"/>
      <c r="R1144" s="32"/>
      <c r="S1144" s="32"/>
      <c r="T1144" s="32"/>
      <c r="U1144" s="32"/>
      <c r="V1144" s="32"/>
      <c r="W1144" s="32"/>
      <c r="X1144" s="32"/>
      <c r="Y1144" s="32"/>
      <c r="Z1144" s="32"/>
      <c r="AA1144" s="32"/>
      <c r="AB1144" s="32"/>
      <c r="AC1144" s="32"/>
      <c r="AD1144" s="84"/>
      <c r="AE1144" s="32"/>
    </row>
    <row r="1145" spans="1:31" x14ac:dyDescent="0.25">
      <c r="A1145" s="30"/>
    </row>
    <row r="1146" spans="1:31" x14ac:dyDescent="0.25">
      <c r="A1146" s="30"/>
    </row>
    <row r="1147" spans="1:31" x14ac:dyDescent="0.25">
      <c r="A1147" s="30"/>
    </row>
    <row r="1148" spans="1:31" x14ac:dyDescent="0.25">
      <c r="A1148" s="30"/>
    </row>
    <row r="1149" spans="1:31" x14ac:dyDescent="0.25">
      <c r="A1149" s="30"/>
    </row>
    <row r="1150" spans="1:31" x14ac:dyDescent="0.25">
      <c r="A1150" s="30"/>
    </row>
    <row r="1151" spans="1:31" x14ac:dyDescent="0.25">
      <c r="A1151" s="30"/>
    </row>
    <row r="1152" spans="1:31" x14ac:dyDescent="0.25">
      <c r="A1152" s="30"/>
    </row>
    <row r="1153" spans="1:1" x14ac:dyDescent="0.25">
      <c r="A1153" s="30"/>
    </row>
    <row r="1154" spans="1:1" x14ac:dyDescent="0.25">
      <c r="A1154" s="30"/>
    </row>
    <row r="1155" spans="1:1" x14ac:dyDescent="0.25">
      <c r="A1155" s="30"/>
    </row>
    <row r="1156" spans="1:1" x14ac:dyDescent="0.25">
      <c r="A1156" s="30"/>
    </row>
    <row r="1157" spans="1:1" x14ac:dyDescent="0.25">
      <c r="A1157" s="30"/>
    </row>
    <row r="1158" spans="1:1" x14ac:dyDescent="0.25">
      <c r="A1158" s="30"/>
    </row>
    <row r="1159" spans="1:1" x14ac:dyDescent="0.25">
      <c r="A1159" s="30"/>
    </row>
    <row r="1160" spans="1:1" x14ac:dyDescent="0.25">
      <c r="A1160" s="30"/>
    </row>
    <row r="1161" spans="1:1" x14ac:dyDescent="0.25">
      <c r="A1161" s="30"/>
    </row>
    <row r="1162" spans="1:1" x14ac:dyDescent="0.25">
      <c r="A1162" s="30"/>
    </row>
    <row r="1163" spans="1:1" x14ac:dyDescent="0.25">
      <c r="A1163" s="30"/>
    </row>
  </sheetData>
  <mergeCells count="6">
    <mergeCell ref="L1:P1"/>
    <mergeCell ref="AF2:AP2"/>
    <mergeCell ref="R2:S2"/>
    <mergeCell ref="Z2:AE2"/>
    <mergeCell ref="L2:Q2"/>
    <mergeCell ref="T2:Y2"/>
  </mergeCells>
  <phoneticPr fontId="15" type="noConversion"/>
  <dataValidations count="4">
    <dataValidation type="date" allowBlank="1" showInputMessage="1" showErrorMessage="1" errorTitle="Not a date" error="Invalid Entry: Please enter a date" promptTitle="Date Entry Required" prompt="Please enter a valid date in this format: MM/DD/YYYY. Only dates are allowed in this cell." sqref="D4:D23 AE4:AE1020 AB4:AC1020" xr:uid="{5D6B14F7-4C78-49C2-B981-2624409A0268}">
      <formula1>1</formula1>
      <formula2>109939</formula2>
    </dataValidation>
    <dataValidation allowBlank="1" showErrorMessage="1" sqref="AA4:AA1020" xr:uid="{8B898C52-3756-4C3E-8FB2-78BF13C497FF}"/>
    <dataValidation type="whole" allowBlank="1" showInputMessage="1" showErrorMessage="1" sqref="G1004:G1059" xr:uid="{22E39AB1-372B-490B-9181-0E281B2337DF}">
      <formula1>0</formula1>
      <formula2>6</formula2>
    </dataValidation>
    <dataValidation type="textLength" operator="notBetween" allowBlank="1" showInputMessage="1" showErrorMessage="1" sqref="I1004:I1018" xr:uid="{8FBB57F8-0C40-4264-8D29-37B045B4F517}">
      <formula1>15</formula1>
      <formula2>15</formula2>
    </dataValidation>
  </dataValidations>
  <pageMargins left="0.7" right="0.7" top="0.75" bottom="0.75" header="0.3" footer="0.3"/>
  <pageSetup paperSize="8" orientation="portrait" r:id="rId1"/>
  <drawing r:id="rId2"/>
  <tableParts count="1">
    <tablePart r:id="rId3"/>
  </tableParts>
  <extLst>
    <ext xmlns:x14="http://schemas.microsoft.com/office/spreadsheetml/2009/9/main" uri="{CCE6A557-97BC-4b89-ADB6-D9C93CAAB3DF}">
      <x14:dataValidations xmlns:xm="http://schemas.microsoft.com/office/excel/2006/main" count="6">
        <x14:dataValidation type="list" allowBlank="1" showInputMessage="1" showErrorMessage="1" xr:uid="{E0D9FDC4-2332-46D7-91C4-577625DF0EF6}">
          <x14:formula1>
            <xm:f>Dropdowns!$C$28:$C$38</xm:f>
          </x14:formula1>
          <xm:sqref>G4:G1003</xm:sqref>
        </x14:dataValidation>
        <x14:dataValidation type="list" allowBlank="1" showInputMessage="1" showErrorMessage="1" xr:uid="{C736D4A2-9CA1-4F7E-B418-BCCCC4D87892}">
          <x14:formula1>
            <xm:f>Dropdowns!$C$44:$C$58</xm:f>
          </x14:formula1>
          <xm:sqref>I4:I1003 I1019:I1020</xm:sqref>
        </x14:dataValidation>
        <x14:dataValidation type="list" allowBlank="1" showInputMessage="1" showErrorMessage="1" xr:uid="{FA6AAF4D-E85B-47F8-BF55-F7392CF39781}">
          <x14:formula1>
            <xm:f>'Rating factors'!$F$16:$F$21</xm:f>
          </x14:formula1>
          <xm:sqref>N4:N1020 V4:V1020</xm:sqref>
        </x14:dataValidation>
        <x14:dataValidation type="list" allowBlank="1" showInputMessage="1" showErrorMessage="1" xr:uid="{52306775-7832-44BC-9788-08A4F2843F7C}">
          <x14:formula1>
            <xm:f>'Rating factors'!$F$4:$F$9</xm:f>
          </x14:formula1>
          <xm:sqref>L4:L1020 T4:T1020</xm:sqref>
        </x14:dataValidation>
        <x14:dataValidation type="list" allowBlank="1" showInputMessage="1" showErrorMessage="1" xr:uid="{18CAF67A-56E9-4C35-9C54-206174DA624E}">
          <x14:formula1>
            <xm:f>Dropdowns!$C$2:$C$6</xm:f>
          </x14:formula1>
          <xm:sqref>R4:R1020</xm:sqref>
        </x14:dataValidation>
        <x14:dataValidation type="list" allowBlank="1" showInputMessage="1" showErrorMessage="1" xr:uid="{3A99E5AE-6903-4DE1-9245-39B22B47BB7A}">
          <x14:formula1>
            <xm:f>Dropdowns!$C$12:$C$15</xm:f>
          </x14:formula1>
          <xm:sqref>Z4:Z1020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56DA1-B0FA-437F-AB50-BA7A712974B4}">
  <dimension ref="A1:Q103"/>
  <sheetViews>
    <sheetView showGridLines="0" tabSelected="1" zoomScale="110" zoomScaleNormal="110" workbookViewId="0">
      <selection activeCell="A4" sqref="A4:N131"/>
    </sheetView>
  </sheetViews>
  <sheetFormatPr defaultColWidth="8.85546875" defaultRowHeight="15" x14ac:dyDescent="0.25"/>
  <cols>
    <col min="1" max="1" width="9.7109375" customWidth="1"/>
    <col min="2" max="2" width="14.42578125" customWidth="1"/>
    <col min="3" max="3" width="29.42578125" customWidth="1"/>
    <col min="4" max="4" width="26.7109375" customWidth="1"/>
    <col min="5" max="6" width="14.42578125" customWidth="1"/>
    <col min="7" max="7" width="14.7109375" customWidth="1"/>
    <col min="8" max="8" width="16.42578125" customWidth="1"/>
    <col min="9" max="9" width="10.42578125" customWidth="1"/>
    <col min="10" max="10" width="26.7109375" customWidth="1"/>
    <col min="11" max="13" width="13.140625" customWidth="1"/>
    <col min="14" max="15" width="20.42578125" customWidth="1"/>
    <col min="16" max="16" width="12.42578125" customWidth="1"/>
    <col min="17" max="17" width="19" customWidth="1"/>
  </cols>
  <sheetData>
    <row r="1" spans="1:17" s="1" customFormat="1" ht="136.5" customHeight="1" x14ac:dyDescent="0.25">
      <c r="A1" s="41"/>
      <c r="B1" s="41"/>
      <c r="C1" s="41"/>
      <c r="D1" s="41"/>
      <c r="E1" s="41"/>
      <c r="F1" s="41"/>
      <c r="G1" s="41"/>
      <c r="H1" s="41"/>
      <c r="I1" s="41"/>
      <c r="J1" s="41"/>
      <c r="K1" s="44"/>
      <c r="L1" s="44"/>
      <c r="M1" s="44"/>
      <c r="N1" s="44"/>
      <c r="O1" s="44"/>
      <c r="P1" s="44"/>
      <c r="Q1" s="44"/>
    </row>
    <row r="2" spans="1:17" s="1" customFormat="1" ht="23.25" customHeight="1" x14ac:dyDescent="0.25">
      <c r="A2" s="41"/>
      <c r="B2" s="41"/>
      <c r="C2" s="41"/>
      <c r="D2" s="41"/>
      <c r="E2" s="41"/>
      <c r="F2" s="41"/>
      <c r="G2" s="41"/>
      <c r="H2" s="41"/>
      <c r="I2" s="149" t="s">
        <v>144</v>
      </c>
      <c r="J2" s="149"/>
      <c r="K2" s="108" t="s">
        <v>134</v>
      </c>
      <c r="L2" s="109"/>
      <c r="M2" s="109"/>
      <c r="N2" s="109"/>
      <c r="O2" s="109"/>
      <c r="P2" s="109"/>
      <c r="Q2" s="109"/>
    </row>
    <row r="3" spans="1:17" s="6" customFormat="1" ht="50.25" customHeight="1" x14ac:dyDescent="0.25">
      <c r="A3" s="19" t="s">
        <v>138</v>
      </c>
      <c r="B3" s="19" t="s">
        <v>148</v>
      </c>
      <c r="C3" s="19" t="s">
        <v>139</v>
      </c>
      <c r="D3" s="19" t="s">
        <v>140</v>
      </c>
      <c r="E3" s="19" t="s">
        <v>141</v>
      </c>
      <c r="F3" s="19" t="s">
        <v>145</v>
      </c>
      <c r="G3" s="19" t="s">
        <v>142</v>
      </c>
      <c r="H3" s="19" t="s">
        <v>143</v>
      </c>
      <c r="I3" s="9" t="s">
        <v>0</v>
      </c>
      <c r="J3" s="9" t="s">
        <v>1</v>
      </c>
      <c r="K3" s="31" t="s">
        <v>28</v>
      </c>
      <c r="L3" s="31" t="s">
        <v>133</v>
      </c>
      <c r="M3" s="31" t="s">
        <v>146</v>
      </c>
      <c r="N3" s="31" t="s">
        <v>147</v>
      </c>
      <c r="O3" s="31" t="s">
        <v>135</v>
      </c>
      <c r="P3" s="31" t="s">
        <v>137</v>
      </c>
      <c r="Q3" s="31" t="s">
        <v>136</v>
      </c>
    </row>
    <row r="4" spans="1:17" x14ac:dyDescent="0.25">
      <c r="B4" s="34"/>
      <c r="G4" s="33"/>
    </row>
    <row r="5" spans="1:17" x14ac:dyDescent="0.25">
      <c r="B5" s="34"/>
      <c r="G5" s="33"/>
    </row>
    <row r="6" spans="1:17" x14ac:dyDescent="0.25">
      <c r="B6" s="34"/>
      <c r="G6" s="33"/>
    </row>
    <row r="7" spans="1:17" x14ac:dyDescent="0.25">
      <c r="B7" s="34"/>
      <c r="G7" s="33"/>
    </row>
    <row r="8" spans="1:17" x14ac:dyDescent="0.25">
      <c r="B8" s="34"/>
      <c r="G8" s="33"/>
    </row>
    <row r="9" spans="1:17" x14ac:dyDescent="0.25">
      <c r="B9" s="34"/>
      <c r="G9" s="33"/>
    </row>
    <row r="10" spans="1:17" x14ac:dyDescent="0.25">
      <c r="B10" s="34"/>
      <c r="G10" s="33"/>
    </row>
    <row r="11" spans="1:17" x14ac:dyDescent="0.25">
      <c r="B11" s="34"/>
      <c r="G11" s="33"/>
    </row>
    <row r="12" spans="1:17" x14ac:dyDescent="0.25">
      <c r="B12" s="34"/>
      <c r="G12" s="33"/>
    </row>
    <row r="13" spans="1:17" x14ac:dyDescent="0.25">
      <c r="B13" s="34"/>
      <c r="G13" s="33"/>
    </row>
    <row r="14" spans="1:17" x14ac:dyDescent="0.25">
      <c r="B14" s="34"/>
      <c r="G14" s="33"/>
    </row>
    <row r="15" spans="1:17" x14ac:dyDescent="0.25">
      <c r="B15" s="34"/>
      <c r="G15" s="33"/>
    </row>
    <row r="16" spans="1:17" x14ac:dyDescent="0.25">
      <c r="B16" s="34"/>
      <c r="G16" s="33"/>
    </row>
    <row r="17" spans="2:7" x14ac:dyDescent="0.25">
      <c r="B17" s="34"/>
      <c r="G17" s="33"/>
    </row>
    <row r="18" spans="2:7" x14ac:dyDescent="0.25">
      <c r="B18" s="34"/>
      <c r="G18" s="33"/>
    </row>
    <row r="19" spans="2:7" x14ac:dyDescent="0.25">
      <c r="B19" s="34"/>
      <c r="G19" s="33"/>
    </row>
    <row r="20" spans="2:7" x14ac:dyDescent="0.25">
      <c r="B20" s="34"/>
      <c r="G20" s="33"/>
    </row>
    <row r="21" spans="2:7" x14ac:dyDescent="0.25">
      <c r="B21" s="34"/>
      <c r="G21" s="33"/>
    </row>
    <row r="22" spans="2:7" x14ac:dyDescent="0.25">
      <c r="B22" s="34"/>
      <c r="G22" s="33"/>
    </row>
    <row r="23" spans="2:7" x14ac:dyDescent="0.25">
      <c r="B23" s="34"/>
      <c r="G23" s="33"/>
    </row>
    <row r="24" spans="2:7" x14ac:dyDescent="0.25">
      <c r="B24" s="34"/>
      <c r="G24" s="33"/>
    </row>
    <row r="25" spans="2:7" x14ac:dyDescent="0.25">
      <c r="B25" s="34"/>
      <c r="G25" s="33"/>
    </row>
    <row r="26" spans="2:7" x14ac:dyDescent="0.25">
      <c r="B26" s="34"/>
      <c r="G26" s="33"/>
    </row>
    <row r="27" spans="2:7" x14ac:dyDescent="0.25">
      <c r="B27" s="34"/>
      <c r="G27" s="33"/>
    </row>
    <row r="28" spans="2:7" x14ac:dyDescent="0.25">
      <c r="B28" s="34"/>
      <c r="G28" s="33"/>
    </row>
    <row r="29" spans="2:7" x14ac:dyDescent="0.25">
      <c r="B29" s="34"/>
      <c r="G29" s="33"/>
    </row>
    <row r="30" spans="2:7" x14ac:dyDescent="0.25">
      <c r="B30" s="34"/>
      <c r="G30" s="33"/>
    </row>
    <row r="31" spans="2:7" x14ac:dyDescent="0.25">
      <c r="B31" s="34"/>
      <c r="G31" s="33"/>
    </row>
    <row r="32" spans="2:7" x14ac:dyDescent="0.25">
      <c r="B32" s="34"/>
      <c r="G32" s="33"/>
    </row>
    <row r="33" spans="2:7" x14ac:dyDescent="0.25">
      <c r="B33" s="34"/>
      <c r="G33" s="33"/>
    </row>
    <row r="34" spans="2:7" x14ac:dyDescent="0.25">
      <c r="B34" s="34"/>
      <c r="G34" s="33"/>
    </row>
    <row r="35" spans="2:7" x14ac:dyDescent="0.25">
      <c r="B35" s="34"/>
      <c r="G35" s="33"/>
    </row>
    <row r="36" spans="2:7" x14ac:dyDescent="0.25">
      <c r="B36" s="34"/>
      <c r="G36" s="33"/>
    </row>
    <row r="37" spans="2:7" x14ac:dyDescent="0.25">
      <c r="B37" s="34"/>
      <c r="G37" s="33"/>
    </row>
    <row r="38" spans="2:7" x14ac:dyDescent="0.25">
      <c r="B38" s="34"/>
      <c r="G38" s="33"/>
    </row>
    <row r="39" spans="2:7" x14ac:dyDescent="0.25">
      <c r="B39" s="34"/>
      <c r="G39" s="33"/>
    </row>
    <row r="40" spans="2:7" x14ac:dyDescent="0.25">
      <c r="B40" s="34"/>
      <c r="G40" s="33"/>
    </row>
    <row r="41" spans="2:7" x14ac:dyDescent="0.25">
      <c r="B41" s="34"/>
      <c r="G41" s="33"/>
    </row>
    <row r="42" spans="2:7" x14ac:dyDescent="0.25">
      <c r="B42" s="34"/>
      <c r="G42" s="33"/>
    </row>
    <row r="43" spans="2:7" x14ac:dyDescent="0.25">
      <c r="B43" s="34"/>
      <c r="G43" s="33"/>
    </row>
    <row r="44" spans="2:7" x14ac:dyDescent="0.25">
      <c r="B44" s="34"/>
      <c r="G44" s="33"/>
    </row>
    <row r="45" spans="2:7" x14ac:dyDescent="0.25">
      <c r="B45" s="34"/>
      <c r="G45" s="33"/>
    </row>
    <row r="46" spans="2:7" x14ac:dyDescent="0.25">
      <c r="B46" s="34"/>
      <c r="G46" s="33"/>
    </row>
    <row r="47" spans="2:7" x14ac:dyDescent="0.25">
      <c r="B47" s="34"/>
      <c r="G47" s="33"/>
    </row>
    <row r="48" spans="2:7" x14ac:dyDescent="0.25">
      <c r="B48" s="34"/>
      <c r="G48" s="33"/>
    </row>
    <row r="49" spans="2:7" x14ac:dyDescent="0.25">
      <c r="B49" s="34"/>
      <c r="G49" s="33"/>
    </row>
    <row r="50" spans="2:7" x14ac:dyDescent="0.25">
      <c r="B50" s="34"/>
      <c r="G50" s="33"/>
    </row>
    <row r="51" spans="2:7" x14ac:dyDescent="0.25">
      <c r="B51" s="34"/>
      <c r="G51" s="33"/>
    </row>
    <row r="52" spans="2:7" x14ac:dyDescent="0.25">
      <c r="B52" s="34"/>
      <c r="G52" s="33"/>
    </row>
    <row r="53" spans="2:7" x14ac:dyDescent="0.25">
      <c r="B53" s="34"/>
      <c r="G53" s="33"/>
    </row>
    <row r="54" spans="2:7" x14ac:dyDescent="0.25">
      <c r="B54" s="34"/>
      <c r="G54" s="33"/>
    </row>
    <row r="55" spans="2:7" x14ac:dyDescent="0.25">
      <c r="B55" s="34"/>
      <c r="G55" s="33"/>
    </row>
    <row r="56" spans="2:7" x14ac:dyDescent="0.25">
      <c r="B56" s="34"/>
      <c r="G56" s="33"/>
    </row>
    <row r="57" spans="2:7" x14ac:dyDescent="0.25">
      <c r="B57" s="34"/>
      <c r="G57" s="33"/>
    </row>
    <row r="58" spans="2:7" x14ac:dyDescent="0.25">
      <c r="B58" s="34"/>
      <c r="G58" s="33"/>
    </row>
    <row r="59" spans="2:7" x14ac:dyDescent="0.25">
      <c r="B59" s="34"/>
      <c r="G59" s="33"/>
    </row>
    <row r="60" spans="2:7" x14ac:dyDescent="0.25">
      <c r="B60" s="34"/>
      <c r="G60" s="33"/>
    </row>
    <row r="61" spans="2:7" x14ac:dyDescent="0.25">
      <c r="B61" s="34"/>
      <c r="G61" s="33"/>
    </row>
    <row r="62" spans="2:7" x14ac:dyDescent="0.25">
      <c r="B62" s="34"/>
      <c r="G62" s="33"/>
    </row>
    <row r="63" spans="2:7" x14ac:dyDescent="0.25">
      <c r="B63" s="34"/>
      <c r="G63" s="33"/>
    </row>
    <row r="64" spans="2:7" x14ac:dyDescent="0.25">
      <c r="B64" s="34"/>
      <c r="G64" s="33"/>
    </row>
    <row r="65" spans="2:7" x14ac:dyDescent="0.25">
      <c r="B65" s="34"/>
      <c r="G65" s="33"/>
    </row>
    <row r="66" spans="2:7" x14ac:dyDescent="0.25">
      <c r="B66" s="34"/>
      <c r="G66" s="33"/>
    </row>
    <row r="67" spans="2:7" x14ac:dyDescent="0.25">
      <c r="B67" s="34"/>
      <c r="G67" s="33"/>
    </row>
    <row r="68" spans="2:7" x14ac:dyDescent="0.25">
      <c r="B68" s="34"/>
      <c r="G68" s="33"/>
    </row>
    <row r="69" spans="2:7" x14ac:dyDescent="0.25">
      <c r="B69" s="34"/>
      <c r="G69" s="33"/>
    </row>
    <row r="70" spans="2:7" x14ac:dyDescent="0.25">
      <c r="B70" s="34"/>
      <c r="G70" s="33"/>
    </row>
    <row r="71" spans="2:7" x14ac:dyDescent="0.25">
      <c r="B71" s="34"/>
      <c r="G71" s="33"/>
    </row>
    <row r="72" spans="2:7" x14ac:dyDescent="0.25">
      <c r="B72" s="34"/>
      <c r="G72" s="33"/>
    </row>
    <row r="73" spans="2:7" x14ac:dyDescent="0.25">
      <c r="B73" s="34"/>
      <c r="G73" s="33"/>
    </row>
    <row r="74" spans="2:7" x14ac:dyDescent="0.25">
      <c r="B74" s="34"/>
      <c r="G74" s="33"/>
    </row>
    <row r="75" spans="2:7" x14ac:dyDescent="0.25">
      <c r="B75" s="34"/>
      <c r="G75" s="33"/>
    </row>
    <row r="76" spans="2:7" x14ac:dyDescent="0.25">
      <c r="B76" s="34"/>
      <c r="G76" s="33"/>
    </row>
    <row r="77" spans="2:7" x14ac:dyDescent="0.25">
      <c r="B77" s="34"/>
      <c r="G77" s="33"/>
    </row>
    <row r="78" spans="2:7" x14ac:dyDescent="0.25">
      <c r="B78" s="34"/>
      <c r="G78" s="33"/>
    </row>
    <row r="79" spans="2:7" x14ac:dyDescent="0.25">
      <c r="B79" s="34"/>
      <c r="G79" s="33"/>
    </row>
    <row r="80" spans="2:7" x14ac:dyDescent="0.25">
      <c r="B80" s="34"/>
      <c r="G80" s="33"/>
    </row>
    <row r="81" spans="2:7" x14ac:dyDescent="0.25">
      <c r="B81" s="34"/>
      <c r="G81" s="33"/>
    </row>
    <row r="82" spans="2:7" x14ac:dyDescent="0.25">
      <c r="B82" s="34"/>
      <c r="G82" s="33"/>
    </row>
    <row r="83" spans="2:7" x14ac:dyDescent="0.25">
      <c r="B83" s="34"/>
      <c r="G83" s="33"/>
    </row>
    <row r="84" spans="2:7" x14ac:dyDescent="0.25">
      <c r="B84" s="34"/>
      <c r="G84" s="33"/>
    </row>
    <row r="85" spans="2:7" x14ac:dyDescent="0.25">
      <c r="B85" s="34"/>
      <c r="G85" s="33"/>
    </row>
    <row r="86" spans="2:7" x14ac:dyDescent="0.25">
      <c r="B86" s="34"/>
      <c r="G86" s="33"/>
    </row>
    <row r="87" spans="2:7" x14ac:dyDescent="0.25">
      <c r="B87" s="34"/>
      <c r="G87" s="33"/>
    </row>
    <row r="88" spans="2:7" x14ac:dyDescent="0.25">
      <c r="B88" s="34"/>
      <c r="G88" s="33"/>
    </row>
    <row r="89" spans="2:7" x14ac:dyDescent="0.25">
      <c r="B89" s="34"/>
      <c r="G89" s="33"/>
    </row>
    <row r="90" spans="2:7" x14ac:dyDescent="0.25">
      <c r="B90" s="34"/>
      <c r="G90" s="33"/>
    </row>
    <row r="91" spans="2:7" x14ac:dyDescent="0.25">
      <c r="B91" s="34"/>
      <c r="G91" s="33"/>
    </row>
    <row r="92" spans="2:7" x14ac:dyDescent="0.25">
      <c r="B92" s="34"/>
      <c r="G92" s="33"/>
    </row>
    <row r="93" spans="2:7" x14ac:dyDescent="0.25">
      <c r="B93" s="34"/>
      <c r="G93" s="33"/>
    </row>
    <row r="94" spans="2:7" x14ac:dyDescent="0.25">
      <c r="B94" s="34"/>
      <c r="G94" s="33"/>
    </row>
    <row r="95" spans="2:7" x14ac:dyDescent="0.25">
      <c r="B95" s="34"/>
      <c r="G95" s="33"/>
    </row>
    <row r="96" spans="2:7" x14ac:dyDescent="0.25">
      <c r="B96" s="34"/>
      <c r="G96" s="33"/>
    </row>
    <row r="97" spans="2:7" x14ac:dyDescent="0.25">
      <c r="B97" s="34"/>
      <c r="G97" s="33"/>
    </row>
    <row r="98" spans="2:7" x14ac:dyDescent="0.25">
      <c r="B98" s="34"/>
      <c r="G98" s="33"/>
    </row>
    <row r="99" spans="2:7" x14ac:dyDescent="0.25">
      <c r="B99" s="34"/>
      <c r="G99" s="33"/>
    </row>
    <row r="100" spans="2:7" x14ac:dyDescent="0.25">
      <c r="B100" s="34"/>
      <c r="G100" s="33"/>
    </row>
    <row r="101" spans="2:7" x14ac:dyDescent="0.25">
      <c r="B101" s="34"/>
      <c r="G101" s="33"/>
    </row>
    <row r="102" spans="2:7" x14ac:dyDescent="0.25">
      <c r="B102" s="34"/>
      <c r="G102" s="33"/>
    </row>
    <row r="103" spans="2:7" x14ac:dyDescent="0.25">
      <c r="B103" s="34"/>
      <c r="G103" s="33"/>
    </row>
  </sheetData>
  <mergeCells count="2">
    <mergeCell ref="K2:Q2"/>
    <mergeCell ref="I2:J2"/>
  </mergeCells>
  <phoneticPr fontId="15" type="noConversion"/>
  <pageMargins left="0.7" right="0.7" top="0.75" bottom="0.75" header="0.3" footer="0.3"/>
  <pageSetup paperSize="9" orientation="portrait" horizontalDpi="0" verticalDpi="0"/>
  <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D926FF11-B213-4544-A07E-5454681659B3}">
          <x14:formula1>
            <xm:f>Dropdowns!$C$19:$C$23</xm:f>
          </x14:formula1>
          <xm:sqref>F4:F103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651A8-C0AA-4A95-9196-BD47E5F73D7E}">
  <dimension ref="E3:I55"/>
  <sheetViews>
    <sheetView showGridLines="0" workbookViewId="0">
      <selection activeCell="F29" sqref="F29"/>
    </sheetView>
  </sheetViews>
  <sheetFormatPr defaultColWidth="8.85546875" defaultRowHeight="12.75" x14ac:dyDescent="0.2"/>
  <cols>
    <col min="1" max="5" width="4.7109375" style="3" customWidth="1"/>
    <col min="6" max="6" width="19.140625" style="3" bestFit="1" customWidth="1"/>
    <col min="7" max="7" width="28.28515625" style="3" customWidth="1"/>
    <col min="8" max="8" width="105.42578125" style="3" customWidth="1"/>
    <col min="9" max="9" width="31" style="3" customWidth="1"/>
    <col min="10" max="10" width="24.42578125" style="3" customWidth="1"/>
    <col min="11" max="260" width="9.140625" style="3"/>
    <col min="261" max="261" width="25.85546875" style="3" customWidth="1"/>
    <col min="262" max="265" width="31" style="3" customWidth="1"/>
    <col min="266" max="266" width="24.42578125" style="3" customWidth="1"/>
    <col min="267" max="516" width="9.140625" style="3"/>
    <col min="517" max="517" width="25.85546875" style="3" customWidth="1"/>
    <col min="518" max="521" width="31" style="3" customWidth="1"/>
    <col min="522" max="522" width="24.42578125" style="3" customWidth="1"/>
    <col min="523" max="772" width="9.140625" style="3"/>
    <col min="773" max="773" width="25.85546875" style="3" customWidth="1"/>
    <col min="774" max="777" width="31" style="3" customWidth="1"/>
    <col min="778" max="778" width="24.42578125" style="3" customWidth="1"/>
    <col min="779" max="1028" width="9.140625" style="3"/>
    <col min="1029" max="1029" width="25.85546875" style="3" customWidth="1"/>
    <col min="1030" max="1033" width="31" style="3" customWidth="1"/>
    <col min="1034" max="1034" width="24.42578125" style="3" customWidth="1"/>
    <col min="1035" max="1284" width="9.140625" style="3"/>
    <col min="1285" max="1285" width="25.85546875" style="3" customWidth="1"/>
    <col min="1286" max="1289" width="31" style="3" customWidth="1"/>
    <col min="1290" max="1290" width="24.42578125" style="3" customWidth="1"/>
    <col min="1291" max="1540" width="9.140625" style="3"/>
    <col min="1541" max="1541" width="25.85546875" style="3" customWidth="1"/>
    <col min="1542" max="1545" width="31" style="3" customWidth="1"/>
    <col min="1546" max="1546" width="24.42578125" style="3" customWidth="1"/>
    <col min="1547" max="1796" width="9.140625" style="3"/>
    <col min="1797" max="1797" width="25.85546875" style="3" customWidth="1"/>
    <col min="1798" max="1801" width="31" style="3" customWidth="1"/>
    <col min="1802" max="1802" width="24.42578125" style="3" customWidth="1"/>
    <col min="1803" max="2052" width="9.140625" style="3"/>
    <col min="2053" max="2053" width="25.85546875" style="3" customWidth="1"/>
    <col min="2054" max="2057" width="31" style="3" customWidth="1"/>
    <col min="2058" max="2058" width="24.42578125" style="3" customWidth="1"/>
    <col min="2059" max="2308" width="9.140625" style="3"/>
    <col min="2309" max="2309" width="25.85546875" style="3" customWidth="1"/>
    <col min="2310" max="2313" width="31" style="3" customWidth="1"/>
    <col min="2314" max="2314" width="24.42578125" style="3" customWidth="1"/>
    <col min="2315" max="2564" width="9.140625" style="3"/>
    <col min="2565" max="2565" width="25.85546875" style="3" customWidth="1"/>
    <col min="2566" max="2569" width="31" style="3" customWidth="1"/>
    <col min="2570" max="2570" width="24.42578125" style="3" customWidth="1"/>
    <col min="2571" max="2820" width="9.140625" style="3"/>
    <col min="2821" max="2821" width="25.85546875" style="3" customWidth="1"/>
    <col min="2822" max="2825" width="31" style="3" customWidth="1"/>
    <col min="2826" max="2826" width="24.42578125" style="3" customWidth="1"/>
    <col min="2827" max="3076" width="9.140625" style="3"/>
    <col min="3077" max="3077" width="25.85546875" style="3" customWidth="1"/>
    <col min="3078" max="3081" width="31" style="3" customWidth="1"/>
    <col min="3082" max="3082" width="24.42578125" style="3" customWidth="1"/>
    <col min="3083" max="3332" width="9.140625" style="3"/>
    <col min="3333" max="3333" width="25.85546875" style="3" customWidth="1"/>
    <col min="3334" max="3337" width="31" style="3" customWidth="1"/>
    <col min="3338" max="3338" width="24.42578125" style="3" customWidth="1"/>
    <col min="3339" max="3588" width="9.140625" style="3"/>
    <col min="3589" max="3589" width="25.85546875" style="3" customWidth="1"/>
    <col min="3590" max="3593" width="31" style="3" customWidth="1"/>
    <col min="3594" max="3594" width="24.42578125" style="3" customWidth="1"/>
    <col min="3595" max="3844" width="9.140625" style="3"/>
    <col min="3845" max="3845" width="25.85546875" style="3" customWidth="1"/>
    <col min="3846" max="3849" width="31" style="3" customWidth="1"/>
    <col min="3850" max="3850" width="24.42578125" style="3" customWidth="1"/>
    <col min="3851" max="4100" width="9.140625" style="3"/>
    <col min="4101" max="4101" width="25.85546875" style="3" customWidth="1"/>
    <col min="4102" max="4105" width="31" style="3" customWidth="1"/>
    <col min="4106" max="4106" width="24.42578125" style="3" customWidth="1"/>
    <col min="4107" max="4356" width="9.140625" style="3"/>
    <col min="4357" max="4357" width="25.85546875" style="3" customWidth="1"/>
    <col min="4358" max="4361" width="31" style="3" customWidth="1"/>
    <col min="4362" max="4362" width="24.42578125" style="3" customWidth="1"/>
    <col min="4363" max="4612" width="9.140625" style="3"/>
    <col min="4613" max="4613" width="25.85546875" style="3" customWidth="1"/>
    <col min="4614" max="4617" width="31" style="3" customWidth="1"/>
    <col min="4618" max="4618" width="24.42578125" style="3" customWidth="1"/>
    <col min="4619" max="4868" width="9.140625" style="3"/>
    <col min="4869" max="4869" width="25.85546875" style="3" customWidth="1"/>
    <col min="4870" max="4873" width="31" style="3" customWidth="1"/>
    <col min="4874" max="4874" width="24.42578125" style="3" customWidth="1"/>
    <col min="4875" max="5124" width="9.140625" style="3"/>
    <col min="5125" max="5125" width="25.85546875" style="3" customWidth="1"/>
    <col min="5126" max="5129" width="31" style="3" customWidth="1"/>
    <col min="5130" max="5130" width="24.42578125" style="3" customWidth="1"/>
    <col min="5131" max="5380" width="9.140625" style="3"/>
    <col min="5381" max="5381" width="25.85546875" style="3" customWidth="1"/>
    <col min="5382" max="5385" width="31" style="3" customWidth="1"/>
    <col min="5386" max="5386" width="24.42578125" style="3" customWidth="1"/>
    <col min="5387" max="5636" width="9.140625" style="3"/>
    <col min="5637" max="5637" width="25.85546875" style="3" customWidth="1"/>
    <col min="5638" max="5641" width="31" style="3" customWidth="1"/>
    <col min="5642" max="5642" width="24.42578125" style="3" customWidth="1"/>
    <col min="5643" max="5892" width="9.140625" style="3"/>
    <col min="5893" max="5893" width="25.85546875" style="3" customWidth="1"/>
    <col min="5894" max="5897" width="31" style="3" customWidth="1"/>
    <col min="5898" max="5898" width="24.42578125" style="3" customWidth="1"/>
    <col min="5899" max="6148" width="9.140625" style="3"/>
    <col min="6149" max="6149" width="25.85546875" style="3" customWidth="1"/>
    <col min="6150" max="6153" width="31" style="3" customWidth="1"/>
    <col min="6154" max="6154" width="24.42578125" style="3" customWidth="1"/>
    <col min="6155" max="6404" width="9.140625" style="3"/>
    <col min="6405" max="6405" width="25.85546875" style="3" customWidth="1"/>
    <col min="6406" max="6409" width="31" style="3" customWidth="1"/>
    <col min="6410" max="6410" width="24.42578125" style="3" customWidth="1"/>
    <col min="6411" max="6660" width="9.140625" style="3"/>
    <col min="6661" max="6661" width="25.85546875" style="3" customWidth="1"/>
    <col min="6662" max="6665" width="31" style="3" customWidth="1"/>
    <col min="6666" max="6666" width="24.42578125" style="3" customWidth="1"/>
    <col min="6667" max="6916" width="9.140625" style="3"/>
    <col min="6917" max="6917" width="25.85546875" style="3" customWidth="1"/>
    <col min="6918" max="6921" width="31" style="3" customWidth="1"/>
    <col min="6922" max="6922" width="24.42578125" style="3" customWidth="1"/>
    <col min="6923" max="7172" width="9.140625" style="3"/>
    <col min="7173" max="7173" width="25.85546875" style="3" customWidth="1"/>
    <col min="7174" max="7177" width="31" style="3" customWidth="1"/>
    <col min="7178" max="7178" width="24.42578125" style="3" customWidth="1"/>
    <col min="7179" max="7428" width="9.140625" style="3"/>
    <col min="7429" max="7429" width="25.85546875" style="3" customWidth="1"/>
    <col min="7430" max="7433" width="31" style="3" customWidth="1"/>
    <col min="7434" max="7434" width="24.42578125" style="3" customWidth="1"/>
    <col min="7435" max="7684" width="9.140625" style="3"/>
    <col min="7685" max="7685" width="25.85546875" style="3" customWidth="1"/>
    <col min="7686" max="7689" width="31" style="3" customWidth="1"/>
    <col min="7690" max="7690" width="24.42578125" style="3" customWidth="1"/>
    <col min="7691" max="7940" width="9.140625" style="3"/>
    <col min="7941" max="7941" width="25.85546875" style="3" customWidth="1"/>
    <col min="7942" max="7945" width="31" style="3" customWidth="1"/>
    <col min="7946" max="7946" width="24.42578125" style="3" customWidth="1"/>
    <col min="7947" max="8196" width="9.140625" style="3"/>
    <col min="8197" max="8197" width="25.85546875" style="3" customWidth="1"/>
    <col min="8198" max="8201" width="31" style="3" customWidth="1"/>
    <col min="8202" max="8202" width="24.42578125" style="3" customWidth="1"/>
    <col min="8203" max="8452" width="9.140625" style="3"/>
    <col min="8453" max="8453" width="25.85546875" style="3" customWidth="1"/>
    <col min="8454" max="8457" width="31" style="3" customWidth="1"/>
    <col min="8458" max="8458" width="24.42578125" style="3" customWidth="1"/>
    <col min="8459" max="8708" width="9.140625" style="3"/>
    <col min="8709" max="8709" width="25.85546875" style="3" customWidth="1"/>
    <col min="8710" max="8713" width="31" style="3" customWidth="1"/>
    <col min="8714" max="8714" width="24.42578125" style="3" customWidth="1"/>
    <col min="8715" max="8964" width="9.140625" style="3"/>
    <col min="8965" max="8965" width="25.85546875" style="3" customWidth="1"/>
    <col min="8966" max="8969" width="31" style="3" customWidth="1"/>
    <col min="8970" max="8970" width="24.42578125" style="3" customWidth="1"/>
    <col min="8971" max="9220" width="9.140625" style="3"/>
    <col min="9221" max="9221" width="25.85546875" style="3" customWidth="1"/>
    <col min="9222" max="9225" width="31" style="3" customWidth="1"/>
    <col min="9226" max="9226" width="24.42578125" style="3" customWidth="1"/>
    <col min="9227" max="9476" width="9.140625" style="3"/>
    <col min="9477" max="9477" width="25.85546875" style="3" customWidth="1"/>
    <col min="9478" max="9481" width="31" style="3" customWidth="1"/>
    <col min="9482" max="9482" width="24.42578125" style="3" customWidth="1"/>
    <col min="9483" max="9732" width="9.140625" style="3"/>
    <col min="9733" max="9733" width="25.85546875" style="3" customWidth="1"/>
    <col min="9734" max="9737" width="31" style="3" customWidth="1"/>
    <col min="9738" max="9738" width="24.42578125" style="3" customWidth="1"/>
    <col min="9739" max="9988" width="9.140625" style="3"/>
    <col min="9989" max="9989" width="25.85546875" style="3" customWidth="1"/>
    <col min="9990" max="9993" width="31" style="3" customWidth="1"/>
    <col min="9994" max="9994" width="24.42578125" style="3" customWidth="1"/>
    <col min="9995" max="10244" width="9.140625" style="3"/>
    <col min="10245" max="10245" width="25.85546875" style="3" customWidth="1"/>
    <col min="10246" max="10249" width="31" style="3" customWidth="1"/>
    <col min="10250" max="10250" width="24.42578125" style="3" customWidth="1"/>
    <col min="10251" max="10500" width="9.140625" style="3"/>
    <col min="10501" max="10501" width="25.85546875" style="3" customWidth="1"/>
    <col min="10502" max="10505" width="31" style="3" customWidth="1"/>
    <col min="10506" max="10506" width="24.42578125" style="3" customWidth="1"/>
    <col min="10507" max="10756" width="9.140625" style="3"/>
    <col min="10757" max="10757" width="25.85546875" style="3" customWidth="1"/>
    <col min="10758" max="10761" width="31" style="3" customWidth="1"/>
    <col min="10762" max="10762" width="24.42578125" style="3" customWidth="1"/>
    <col min="10763" max="11012" width="9.140625" style="3"/>
    <col min="11013" max="11013" width="25.85546875" style="3" customWidth="1"/>
    <col min="11014" max="11017" width="31" style="3" customWidth="1"/>
    <col min="11018" max="11018" width="24.42578125" style="3" customWidth="1"/>
    <col min="11019" max="11268" width="9.140625" style="3"/>
    <col min="11269" max="11269" width="25.85546875" style="3" customWidth="1"/>
    <col min="11270" max="11273" width="31" style="3" customWidth="1"/>
    <col min="11274" max="11274" width="24.42578125" style="3" customWidth="1"/>
    <col min="11275" max="11524" width="9.140625" style="3"/>
    <col min="11525" max="11525" width="25.85546875" style="3" customWidth="1"/>
    <col min="11526" max="11529" width="31" style="3" customWidth="1"/>
    <col min="11530" max="11530" width="24.42578125" style="3" customWidth="1"/>
    <col min="11531" max="11780" width="9.140625" style="3"/>
    <col min="11781" max="11781" width="25.85546875" style="3" customWidth="1"/>
    <col min="11782" max="11785" width="31" style="3" customWidth="1"/>
    <col min="11786" max="11786" width="24.42578125" style="3" customWidth="1"/>
    <col min="11787" max="12036" width="9.140625" style="3"/>
    <col min="12037" max="12037" width="25.85546875" style="3" customWidth="1"/>
    <col min="12038" max="12041" width="31" style="3" customWidth="1"/>
    <col min="12042" max="12042" width="24.42578125" style="3" customWidth="1"/>
    <col min="12043" max="12292" width="9.140625" style="3"/>
    <col min="12293" max="12293" width="25.85546875" style="3" customWidth="1"/>
    <col min="12294" max="12297" width="31" style="3" customWidth="1"/>
    <col min="12298" max="12298" width="24.42578125" style="3" customWidth="1"/>
    <col min="12299" max="12548" width="9.140625" style="3"/>
    <col min="12549" max="12549" width="25.85546875" style="3" customWidth="1"/>
    <col min="12550" max="12553" width="31" style="3" customWidth="1"/>
    <col min="12554" max="12554" width="24.42578125" style="3" customWidth="1"/>
    <col min="12555" max="12804" width="9.140625" style="3"/>
    <col min="12805" max="12805" width="25.85546875" style="3" customWidth="1"/>
    <col min="12806" max="12809" width="31" style="3" customWidth="1"/>
    <col min="12810" max="12810" width="24.42578125" style="3" customWidth="1"/>
    <col min="12811" max="13060" width="9.140625" style="3"/>
    <col min="13061" max="13061" width="25.85546875" style="3" customWidth="1"/>
    <col min="13062" max="13065" width="31" style="3" customWidth="1"/>
    <col min="13066" max="13066" width="24.42578125" style="3" customWidth="1"/>
    <col min="13067" max="13316" width="9.140625" style="3"/>
    <col min="13317" max="13317" width="25.85546875" style="3" customWidth="1"/>
    <col min="13318" max="13321" width="31" style="3" customWidth="1"/>
    <col min="13322" max="13322" width="24.42578125" style="3" customWidth="1"/>
    <col min="13323" max="13572" width="9.140625" style="3"/>
    <col min="13573" max="13573" width="25.85546875" style="3" customWidth="1"/>
    <col min="13574" max="13577" width="31" style="3" customWidth="1"/>
    <col min="13578" max="13578" width="24.42578125" style="3" customWidth="1"/>
    <col min="13579" max="13828" width="9.140625" style="3"/>
    <col min="13829" max="13829" width="25.85546875" style="3" customWidth="1"/>
    <col min="13830" max="13833" width="31" style="3" customWidth="1"/>
    <col min="13834" max="13834" width="24.42578125" style="3" customWidth="1"/>
    <col min="13835" max="14084" width="9.140625" style="3"/>
    <col min="14085" max="14085" width="25.85546875" style="3" customWidth="1"/>
    <col min="14086" max="14089" width="31" style="3" customWidth="1"/>
    <col min="14090" max="14090" width="24.42578125" style="3" customWidth="1"/>
    <col min="14091" max="14340" width="9.140625" style="3"/>
    <col min="14341" max="14341" width="25.85546875" style="3" customWidth="1"/>
    <col min="14342" max="14345" width="31" style="3" customWidth="1"/>
    <col min="14346" max="14346" width="24.42578125" style="3" customWidth="1"/>
    <col min="14347" max="14596" width="9.140625" style="3"/>
    <col min="14597" max="14597" width="25.85546875" style="3" customWidth="1"/>
    <col min="14598" max="14601" width="31" style="3" customWidth="1"/>
    <col min="14602" max="14602" width="24.42578125" style="3" customWidth="1"/>
    <col min="14603" max="14852" width="9.140625" style="3"/>
    <col min="14853" max="14853" width="25.85546875" style="3" customWidth="1"/>
    <col min="14854" max="14857" width="31" style="3" customWidth="1"/>
    <col min="14858" max="14858" width="24.42578125" style="3" customWidth="1"/>
    <col min="14859" max="15108" width="9.140625" style="3"/>
    <col min="15109" max="15109" width="25.85546875" style="3" customWidth="1"/>
    <col min="15110" max="15113" width="31" style="3" customWidth="1"/>
    <col min="15114" max="15114" width="24.42578125" style="3" customWidth="1"/>
    <col min="15115" max="15364" width="9.140625" style="3"/>
    <col min="15365" max="15365" width="25.85546875" style="3" customWidth="1"/>
    <col min="15366" max="15369" width="31" style="3" customWidth="1"/>
    <col min="15370" max="15370" width="24.42578125" style="3" customWidth="1"/>
    <col min="15371" max="15620" width="9.140625" style="3"/>
    <col min="15621" max="15621" width="25.85546875" style="3" customWidth="1"/>
    <col min="15622" max="15625" width="31" style="3" customWidth="1"/>
    <col min="15626" max="15626" width="24.42578125" style="3" customWidth="1"/>
    <col min="15627" max="15876" width="9.140625" style="3"/>
    <col min="15877" max="15877" width="25.85546875" style="3" customWidth="1"/>
    <col min="15878" max="15881" width="31" style="3" customWidth="1"/>
    <col min="15882" max="15882" width="24.42578125" style="3" customWidth="1"/>
    <col min="15883" max="16132" width="9.140625" style="3"/>
    <col min="16133" max="16133" width="25.85546875" style="3" customWidth="1"/>
    <col min="16134" max="16137" width="31" style="3" customWidth="1"/>
    <col min="16138" max="16138" width="24.42578125" style="3" customWidth="1"/>
    <col min="16139" max="16384" width="9.140625" style="3"/>
  </cols>
  <sheetData>
    <row r="3" spans="5:9" ht="14.25" x14ac:dyDescent="0.2">
      <c r="F3" s="10" t="s">
        <v>89</v>
      </c>
      <c r="G3" s="14" t="s">
        <v>90</v>
      </c>
      <c r="H3" s="10" t="s">
        <v>78</v>
      </c>
    </row>
    <row r="4" spans="5:9" ht="14.25" x14ac:dyDescent="0.2">
      <c r="F4" s="13" t="s">
        <v>99</v>
      </c>
      <c r="G4" s="13" t="s">
        <v>105</v>
      </c>
      <c r="H4" s="13"/>
    </row>
    <row r="5" spans="5:9" ht="28.5" x14ac:dyDescent="0.2">
      <c r="F5" s="13" t="s">
        <v>91</v>
      </c>
      <c r="G5" s="46">
        <v>1</v>
      </c>
      <c r="H5" s="13" t="s">
        <v>93</v>
      </c>
    </row>
    <row r="6" spans="5:9" ht="111" customHeight="1" x14ac:dyDescent="0.2">
      <c r="E6" s="4"/>
      <c r="F6" s="13" t="s">
        <v>10</v>
      </c>
      <c r="G6" s="46">
        <v>2</v>
      </c>
      <c r="H6" s="13" t="s">
        <v>94</v>
      </c>
      <c r="I6" s="5"/>
    </row>
    <row r="7" spans="5:9" ht="115.5" customHeight="1" x14ac:dyDescent="0.2">
      <c r="F7" s="13" t="s">
        <v>4</v>
      </c>
      <c r="G7" s="46">
        <v>3</v>
      </c>
      <c r="H7" s="13" t="s">
        <v>95</v>
      </c>
    </row>
    <row r="8" spans="5:9" ht="128.25" customHeight="1" x14ac:dyDescent="0.2">
      <c r="F8" s="13" t="s">
        <v>8</v>
      </c>
      <c r="G8" s="46">
        <v>4</v>
      </c>
      <c r="H8" s="13" t="s">
        <v>96</v>
      </c>
    </row>
    <row r="9" spans="5:9" ht="28.5" x14ac:dyDescent="0.2">
      <c r="F9" s="13" t="s">
        <v>248</v>
      </c>
      <c r="G9" s="46">
        <v>5</v>
      </c>
      <c r="H9" s="13" t="s">
        <v>97</v>
      </c>
    </row>
    <row r="11" spans="5:9" ht="50.25" customHeight="1" x14ac:dyDescent="0.2">
      <c r="F11" s="150"/>
      <c r="G11" s="150"/>
      <c r="H11" s="150"/>
    </row>
    <row r="13" spans="5:9" ht="15" x14ac:dyDescent="0.25">
      <c r="F13"/>
    </row>
    <row r="15" spans="5:9" ht="14.25" x14ac:dyDescent="0.2">
      <c r="F15" s="10" t="s">
        <v>87</v>
      </c>
      <c r="G15" s="10" t="s">
        <v>88</v>
      </c>
      <c r="H15" s="10" t="s">
        <v>78</v>
      </c>
    </row>
    <row r="16" spans="5:9" ht="14.25" x14ac:dyDescent="0.2">
      <c r="F16" s="13" t="s">
        <v>79</v>
      </c>
      <c r="G16" s="13" t="s">
        <v>105</v>
      </c>
      <c r="H16" s="13"/>
    </row>
    <row r="17" spans="6:9" ht="14.25" x14ac:dyDescent="0.2">
      <c r="F17" s="13" t="s">
        <v>7</v>
      </c>
      <c r="G17" s="46">
        <v>1</v>
      </c>
      <c r="H17" s="13" t="s">
        <v>86</v>
      </c>
    </row>
    <row r="18" spans="6:9" ht="14.25" x14ac:dyDescent="0.2">
      <c r="F18" s="13" t="s">
        <v>6</v>
      </c>
      <c r="G18" s="46">
        <v>2</v>
      </c>
      <c r="H18" s="13" t="s">
        <v>85</v>
      </c>
    </row>
    <row r="19" spans="6:9" ht="14.25" x14ac:dyDescent="0.2">
      <c r="F19" s="13" t="s">
        <v>83</v>
      </c>
      <c r="G19" s="46">
        <v>3</v>
      </c>
      <c r="H19" s="13" t="s">
        <v>84</v>
      </c>
    </row>
    <row r="20" spans="6:9" ht="14.25" x14ac:dyDescent="0.2">
      <c r="F20" s="13" t="s">
        <v>5</v>
      </c>
      <c r="G20" s="46">
        <v>4</v>
      </c>
      <c r="H20" s="13" t="s">
        <v>82</v>
      </c>
    </row>
    <row r="21" spans="6:9" ht="14.25" x14ac:dyDescent="0.2">
      <c r="F21" s="13" t="s">
        <v>249</v>
      </c>
      <c r="G21" s="46">
        <v>5</v>
      </c>
      <c r="H21" s="13" t="s">
        <v>81</v>
      </c>
    </row>
    <row r="24" spans="6:9" ht="44.25" customHeight="1" x14ac:dyDescent="0.2">
      <c r="F24" s="150"/>
      <c r="G24" s="150"/>
      <c r="H24" s="150"/>
    </row>
    <row r="28" spans="6:9" x14ac:dyDescent="0.2">
      <c r="F28" s="151"/>
      <c r="G28" s="151"/>
    </row>
    <row r="29" spans="6:9" ht="14.25" x14ac:dyDescent="0.2">
      <c r="F29" s="10" t="s">
        <v>103</v>
      </c>
      <c r="G29" s="10" t="s">
        <v>104</v>
      </c>
    </row>
    <row r="30" spans="6:9" ht="14.25" x14ac:dyDescent="0.2">
      <c r="F30" s="13">
        <v>0</v>
      </c>
      <c r="G30" s="13" t="s">
        <v>105</v>
      </c>
    </row>
    <row r="31" spans="6:9" ht="15" x14ac:dyDescent="0.2">
      <c r="F31" s="27">
        <v>1</v>
      </c>
      <c r="G31" s="27" t="s">
        <v>10</v>
      </c>
      <c r="H31" s="11"/>
      <c r="I31" s="11"/>
    </row>
    <row r="32" spans="6:9" ht="15" x14ac:dyDescent="0.2">
      <c r="F32" s="27">
        <v>2</v>
      </c>
      <c r="G32" s="27" t="s">
        <v>10</v>
      </c>
      <c r="H32" s="11"/>
      <c r="I32" s="11"/>
    </row>
    <row r="33" spans="6:9" ht="15" x14ac:dyDescent="0.2">
      <c r="F33" s="27">
        <v>3</v>
      </c>
      <c r="G33" s="27" t="s">
        <v>10</v>
      </c>
      <c r="H33" s="11"/>
      <c r="I33" s="11"/>
    </row>
    <row r="34" spans="6:9" ht="15" x14ac:dyDescent="0.2">
      <c r="F34" s="27">
        <v>4</v>
      </c>
      <c r="G34" s="27" t="s">
        <v>10</v>
      </c>
      <c r="H34" s="11"/>
      <c r="I34" s="11"/>
    </row>
    <row r="35" spans="6:9" ht="15" x14ac:dyDescent="0.2">
      <c r="F35" s="28">
        <v>5</v>
      </c>
      <c r="G35" s="28" t="s">
        <v>9</v>
      </c>
      <c r="H35" s="11"/>
      <c r="I35" s="11"/>
    </row>
    <row r="36" spans="6:9" ht="15" x14ac:dyDescent="0.2">
      <c r="F36" s="28">
        <v>6</v>
      </c>
      <c r="G36" s="28" t="s">
        <v>9</v>
      </c>
      <c r="H36" s="11"/>
      <c r="I36" s="11"/>
    </row>
    <row r="37" spans="6:9" ht="15" x14ac:dyDescent="0.2">
      <c r="F37" s="28">
        <v>7</v>
      </c>
      <c r="G37" s="28" t="s">
        <v>9</v>
      </c>
      <c r="H37" s="11"/>
      <c r="I37" s="11"/>
    </row>
    <row r="38" spans="6:9" ht="15" x14ac:dyDescent="0.2">
      <c r="F38" s="28">
        <v>8</v>
      </c>
      <c r="G38" s="28" t="s">
        <v>9</v>
      </c>
      <c r="H38" s="11"/>
      <c r="I38" s="11"/>
    </row>
    <row r="39" spans="6:9" ht="15" x14ac:dyDescent="0.2">
      <c r="F39" s="28">
        <v>9</v>
      </c>
      <c r="G39" s="28" t="s">
        <v>9</v>
      </c>
      <c r="H39" s="11"/>
      <c r="I39" s="11"/>
    </row>
    <row r="40" spans="6:9" ht="15" x14ac:dyDescent="0.2">
      <c r="F40" s="93">
        <v>10</v>
      </c>
      <c r="G40" s="93" t="s">
        <v>8</v>
      </c>
      <c r="H40" s="11"/>
      <c r="I40" s="11"/>
    </row>
    <row r="41" spans="6:9" ht="14.25" x14ac:dyDescent="0.2">
      <c r="F41" s="93">
        <v>11</v>
      </c>
      <c r="G41" s="93" t="s">
        <v>8</v>
      </c>
    </row>
    <row r="42" spans="6:9" ht="14.25" x14ac:dyDescent="0.2">
      <c r="F42" s="93">
        <v>12</v>
      </c>
      <c r="G42" s="93" t="s">
        <v>8</v>
      </c>
    </row>
    <row r="43" spans="6:9" ht="14.25" x14ac:dyDescent="0.2">
      <c r="F43" s="93">
        <v>13</v>
      </c>
      <c r="G43" s="93" t="s">
        <v>8</v>
      </c>
    </row>
    <row r="44" spans="6:9" ht="14.25" x14ac:dyDescent="0.2">
      <c r="F44" s="93">
        <v>14</v>
      </c>
      <c r="G44" s="93" t="s">
        <v>8</v>
      </c>
    </row>
    <row r="45" spans="6:9" x14ac:dyDescent="0.2">
      <c r="F45" s="94">
        <v>15</v>
      </c>
      <c r="G45" s="94" t="s">
        <v>92</v>
      </c>
    </row>
    <row r="46" spans="6:9" x14ac:dyDescent="0.2">
      <c r="F46" s="94">
        <v>16</v>
      </c>
      <c r="G46" s="94" t="s">
        <v>92</v>
      </c>
    </row>
    <row r="47" spans="6:9" x14ac:dyDescent="0.2">
      <c r="F47" s="94">
        <v>17</v>
      </c>
      <c r="G47" s="94" t="s">
        <v>92</v>
      </c>
    </row>
    <row r="48" spans="6:9" x14ac:dyDescent="0.2">
      <c r="F48" s="94">
        <v>18</v>
      </c>
      <c r="G48" s="94" t="s">
        <v>92</v>
      </c>
    </row>
    <row r="49" spans="6:7" x14ac:dyDescent="0.2">
      <c r="F49" s="94">
        <v>19</v>
      </c>
      <c r="G49" s="94" t="s">
        <v>92</v>
      </c>
    </row>
    <row r="50" spans="6:7" x14ac:dyDescent="0.2">
      <c r="F50" s="94">
        <v>20</v>
      </c>
      <c r="G50" s="94" t="s">
        <v>92</v>
      </c>
    </row>
    <row r="51" spans="6:7" x14ac:dyDescent="0.2">
      <c r="F51" s="94">
        <v>21</v>
      </c>
      <c r="G51" s="94" t="s">
        <v>92</v>
      </c>
    </row>
    <row r="52" spans="6:7" x14ac:dyDescent="0.2">
      <c r="F52" s="94">
        <v>22</v>
      </c>
      <c r="G52" s="94" t="s">
        <v>92</v>
      </c>
    </row>
    <row r="53" spans="6:7" x14ac:dyDescent="0.2">
      <c r="F53" s="94">
        <v>23</v>
      </c>
      <c r="G53" s="94" t="s">
        <v>92</v>
      </c>
    </row>
    <row r="54" spans="6:7" x14ac:dyDescent="0.2">
      <c r="F54" s="94">
        <v>24</v>
      </c>
      <c r="G54" s="94" t="s">
        <v>92</v>
      </c>
    </row>
    <row r="55" spans="6:7" x14ac:dyDescent="0.2">
      <c r="F55" s="94">
        <v>25</v>
      </c>
      <c r="G55" s="94" t="s">
        <v>92</v>
      </c>
    </row>
  </sheetData>
  <mergeCells count="3">
    <mergeCell ref="F24:H24"/>
    <mergeCell ref="F11:H11"/>
    <mergeCell ref="F28:G28"/>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2CB67-4E0D-43B8-9947-BC48ABB27053}">
  <dimension ref="C1:D60"/>
  <sheetViews>
    <sheetView showGridLines="0" topLeftCell="A2" workbookViewId="0">
      <selection activeCell="C60" sqref="C60:D60"/>
    </sheetView>
  </sheetViews>
  <sheetFormatPr defaultColWidth="9.140625" defaultRowHeight="14.25" x14ac:dyDescent="0.25"/>
  <cols>
    <col min="1" max="2" width="9.140625" style="2"/>
    <col min="3" max="3" width="40.7109375" style="2" customWidth="1"/>
    <col min="4" max="4" width="79" style="2" customWidth="1"/>
    <col min="5" max="5" width="10.42578125" style="2" bestFit="1" customWidth="1"/>
    <col min="6" max="16384" width="9.140625" style="2"/>
  </cols>
  <sheetData>
    <row r="1" spans="3:3" x14ac:dyDescent="0.25">
      <c r="C1" s="10" t="s">
        <v>16</v>
      </c>
    </row>
    <row r="2" spans="3:3" x14ac:dyDescent="0.25">
      <c r="C2" s="13" t="s">
        <v>98</v>
      </c>
    </row>
    <row r="3" spans="3:3" x14ac:dyDescent="0.25">
      <c r="C3" s="8" t="s">
        <v>12</v>
      </c>
    </row>
    <row r="4" spans="3:3" x14ac:dyDescent="0.25">
      <c r="C4" s="8" t="s">
        <v>17</v>
      </c>
    </row>
    <row r="5" spans="3:3" x14ac:dyDescent="0.25">
      <c r="C5" s="8" t="s">
        <v>19</v>
      </c>
    </row>
    <row r="6" spans="3:3" x14ac:dyDescent="0.25">
      <c r="C6" s="8" t="s">
        <v>18</v>
      </c>
    </row>
    <row r="11" spans="3:3" x14ac:dyDescent="0.25">
      <c r="C11" s="10" t="s">
        <v>13</v>
      </c>
    </row>
    <row r="12" spans="3:3" x14ac:dyDescent="0.25">
      <c r="C12" s="13" t="s">
        <v>100</v>
      </c>
    </row>
    <row r="13" spans="3:3" x14ac:dyDescent="0.25">
      <c r="C13" s="8" t="s">
        <v>14</v>
      </c>
    </row>
    <row r="14" spans="3:3" x14ac:dyDescent="0.25">
      <c r="C14" s="8" t="s">
        <v>132</v>
      </c>
    </row>
    <row r="15" spans="3:3" x14ac:dyDescent="0.25">
      <c r="C15" s="8" t="s">
        <v>15</v>
      </c>
    </row>
    <row r="18" spans="3:4" x14ac:dyDescent="0.25">
      <c r="C18" s="10" t="s">
        <v>180</v>
      </c>
    </row>
    <row r="19" spans="3:4" x14ac:dyDescent="0.25">
      <c r="C19" s="13" t="s">
        <v>181</v>
      </c>
    </row>
    <row r="20" spans="3:4" ht="15" x14ac:dyDescent="0.25">
      <c r="C20" s="47" t="s">
        <v>150</v>
      </c>
    </row>
    <row r="21" spans="3:4" x14ac:dyDescent="0.25">
      <c r="C21" s="8" t="s">
        <v>132</v>
      </c>
    </row>
    <row r="22" spans="3:4" ht="15" x14ac:dyDescent="0.25">
      <c r="C22" s="47" t="s">
        <v>149</v>
      </c>
    </row>
    <row r="23" spans="3:4" x14ac:dyDescent="0.25">
      <c r="C23" s="8" t="s">
        <v>15</v>
      </c>
    </row>
    <row r="27" spans="3:4" x14ac:dyDescent="0.25">
      <c r="C27" s="10" t="s">
        <v>3</v>
      </c>
      <c r="D27" s="10" t="s">
        <v>59</v>
      </c>
    </row>
    <row r="28" spans="3:4" x14ac:dyDescent="0.25">
      <c r="C28" s="13" t="s">
        <v>77</v>
      </c>
      <c r="D28" s="12"/>
    </row>
    <row r="29" spans="3:4" ht="28.5" x14ac:dyDescent="0.25">
      <c r="C29" s="12" t="s">
        <v>53</v>
      </c>
      <c r="D29" s="12" t="s">
        <v>39</v>
      </c>
    </row>
    <row r="30" spans="3:4" ht="28.5" x14ac:dyDescent="0.25">
      <c r="C30" s="12" t="s">
        <v>52</v>
      </c>
      <c r="D30" s="12" t="s">
        <v>40</v>
      </c>
    </row>
    <row r="31" spans="3:4" ht="28.5" x14ac:dyDescent="0.25">
      <c r="C31" s="12" t="s">
        <v>41</v>
      </c>
      <c r="D31" s="12" t="s">
        <v>42</v>
      </c>
    </row>
    <row r="32" spans="3:4" ht="28.5" x14ac:dyDescent="0.25">
      <c r="C32" s="12" t="s">
        <v>50</v>
      </c>
      <c r="D32" s="12" t="s">
        <v>43</v>
      </c>
    </row>
    <row r="33" spans="3:4" ht="28.5" x14ac:dyDescent="0.25">
      <c r="C33" s="12" t="s">
        <v>54</v>
      </c>
      <c r="D33" s="12" t="s">
        <v>51</v>
      </c>
    </row>
    <row r="34" spans="3:4" ht="28.5" x14ac:dyDescent="0.25">
      <c r="C34" s="12" t="s">
        <v>57</v>
      </c>
      <c r="D34" s="12" t="s">
        <v>44</v>
      </c>
    </row>
    <row r="35" spans="3:4" ht="28.5" x14ac:dyDescent="0.25">
      <c r="C35" s="12" t="s">
        <v>55</v>
      </c>
      <c r="D35" s="12" t="s">
        <v>45</v>
      </c>
    </row>
    <row r="36" spans="3:4" ht="28.5" x14ac:dyDescent="0.25">
      <c r="C36" s="12" t="s">
        <v>56</v>
      </c>
      <c r="D36" s="12" t="s">
        <v>46</v>
      </c>
    </row>
    <row r="37" spans="3:4" ht="28.5" x14ac:dyDescent="0.25">
      <c r="C37" s="12" t="s">
        <v>47</v>
      </c>
      <c r="D37" s="12" t="s">
        <v>48</v>
      </c>
    </row>
    <row r="38" spans="3:4" ht="28.5" x14ac:dyDescent="0.25">
      <c r="C38" s="12" t="s">
        <v>58</v>
      </c>
      <c r="D38" s="12" t="s">
        <v>49</v>
      </c>
    </row>
    <row r="40" spans="3:4" ht="39.75" customHeight="1" x14ac:dyDescent="0.25">
      <c r="C40" s="150" t="s">
        <v>60</v>
      </c>
      <c r="D40" s="150"/>
    </row>
    <row r="43" spans="3:4" x14ac:dyDescent="0.25">
      <c r="C43" s="10" t="s">
        <v>30</v>
      </c>
    </row>
    <row r="44" spans="3:4" x14ac:dyDescent="0.25">
      <c r="C44" s="13" t="s">
        <v>76</v>
      </c>
    </row>
    <row r="45" spans="3:4" x14ac:dyDescent="0.25">
      <c r="C45" s="12" t="s">
        <v>72</v>
      </c>
    </row>
    <row r="46" spans="3:4" x14ac:dyDescent="0.25">
      <c r="C46" s="12" t="s">
        <v>68</v>
      </c>
    </row>
    <row r="47" spans="3:4" x14ac:dyDescent="0.25">
      <c r="C47" s="12" t="s">
        <v>62</v>
      </c>
    </row>
    <row r="48" spans="3:4" x14ac:dyDescent="0.25">
      <c r="C48" s="12" t="s">
        <v>61</v>
      </c>
    </row>
    <row r="49" spans="3:4" x14ac:dyDescent="0.25">
      <c r="C49" s="12" t="s">
        <v>65</v>
      </c>
    </row>
    <row r="50" spans="3:4" x14ac:dyDescent="0.25">
      <c r="C50" s="12" t="s">
        <v>71</v>
      </c>
    </row>
    <row r="51" spans="3:4" x14ac:dyDescent="0.25">
      <c r="C51" s="12" t="s">
        <v>69</v>
      </c>
    </row>
    <row r="52" spans="3:4" x14ac:dyDescent="0.25">
      <c r="C52" s="12" t="s">
        <v>63</v>
      </c>
    </row>
    <row r="53" spans="3:4" x14ac:dyDescent="0.25">
      <c r="C53" s="12" t="s">
        <v>66</v>
      </c>
    </row>
    <row r="54" spans="3:4" x14ac:dyDescent="0.25">
      <c r="C54" s="12" t="s">
        <v>70</v>
      </c>
    </row>
    <row r="55" spans="3:4" x14ac:dyDescent="0.25">
      <c r="C55" s="12" t="s">
        <v>74</v>
      </c>
    </row>
    <row r="56" spans="3:4" x14ac:dyDescent="0.25">
      <c r="C56" s="12" t="s">
        <v>67</v>
      </c>
    </row>
    <row r="57" spans="3:4" x14ac:dyDescent="0.25">
      <c r="C57" s="12" t="s">
        <v>73</v>
      </c>
    </row>
    <row r="58" spans="3:4" x14ac:dyDescent="0.25">
      <c r="C58" s="12" t="s">
        <v>64</v>
      </c>
    </row>
    <row r="60" spans="3:4" x14ac:dyDescent="0.25">
      <c r="C60" s="150"/>
      <c r="D60" s="150"/>
    </row>
  </sheetData>
  <sortState xmlns:xlrd2="http://schemas.microsoft.com/office/spreadsheetml/2017/richdata2" ref="C44:C58">
    <sortCondition ref="C44:C58"/>
  </sortState>
  <mergeCells count="2">
    <mergeCell ref="C40:D40"/>
    <mergeCell ref="C60:D60"/>
  </mergeCells>
  <phoneticPr fontId="15" type="noConversion"/>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4E9E-D8FE-429F-891D-AADA7A0C4C06}">
  <dimension ref="A1:P36"/>
  <sheetViews>
    <sheetView workbookViewId="0">
      <selection activeCell="B22" sqref="B22"/>
    </sheetView>
  </sheetViews>
  <sheetFormatPr defaultRowHeight="15" x14ac:dyDescent="0.25"/>
  <cols>
    <col min="2" max="2" width="32.85546875" customWidth="1"/>
    <col min="3" max="3" width="23.5703125" customWidth="1"/>
    <col min="4" max="4" width="20" customWidth="1"/>
    <col min="8" max="8" width="10.5703125" customWidth="1"/>
    <col min="9" max="9" width="9.85546875" customWidth="1"/>
    <col min="13" max="13" width="9.140625" customWidth="1"/>
  </cols>
  <sheetData>
    <row r="1" spans="1:16" ht="15" customHeight="1" x14ac:dyDescent="0.6">
      <c r="B1" s="152" t="s">
        <v>182</v>
      </c>
      <c r="C1" s="152"/>
      <c r="D1" s="152"/>
      <c r="F1" s="78"/>
      <c r="G1" s="78"/>
      <c r="H1" s="78"/>
      <c r="I1" s="78"/>
      <c r="J1" s="78"/>
      <c r="K1" s="78"/>
      <c r="L1" s="78"/>
      <c r="M1" s="78"/>
      <c r="N1" s="78"/>
      <c r="O1" s="78"/>
      <c r="P1" s="78"/>
    </row>
    <row r="2" spans="1:16" ht="15" customHeight="1" x14ac:dyDescent="0.6">
      <c r="B2" s="152"/>
      <c r="C2" s="152"/>
      <c r="D2" s="152"/>
      <c r="F2" s="78"/>
      <c r="G2" s="78"/>
      <c r="H2" s="78"/>
      <c r="I2" s="78"/>
      <c r="J2" s="78"/>
      <c r="K2" s="78"/>
      <c r="L2" s="78"/>
      <c r="M2" s="78"/>
      <c r="N2" s="78"/>
      <c r="O2" s="78"/>
      <c r="P2" s="78"/>
    </row>
    <row r="3" spans="1:16" ht="15" customHeight="1" x14ac:dyDescent="0.6">
      <c r="B3" s="152"/>
      <c r="C3" s="152"/>
      <c r="D3" s="152"/>
      <c r="F3" s="78"/>
      <c r="G3" s="78"/>
      <c r="H3" s="78"/>
      <c r="I3" s="78"/>
      <c r="J3" s="78"/>
      <c r="K3" s="78"/>
      <c r="L3" s="78"/>
      <c r="M3" s="78"/>
      <c r="N3" s="78"/>
      <c r="O3" s="78"/>
      <c r="P3" s="78"/>
    </row>
    <row r="4" spans="1:16" ht="15.75" thickBot="1" x14ac:dyDescent="0.3"/>
    <row r="5" spans="1:16" s="79" customFormat="1" x14ac:dyDescent="0.25">
      <c r="A5" s="157" t="s">
        <v>183</v>
      </c>
      <c r="B5" s="157" t="s">
        <v>184</v>
      </c>
      <c r="C5" s="155" t="s">
        <v>185</v>
      </c>
      <c r="D5" s="153" t="s">
        <v>186</v>
      </c>
    </row>
    <row r="6" spans="1:16" s="79" customFormat="1" ht="15.75" thickBot="1" x14ac:dyDescent="0.3">
      <c r="A6" s="158"/>
      <c r="B6" s="158"/>
      <c r="C6" s="156"/>
      <c r="D6" s="154"/>
    </row>
    <row r="7" spans="1:16" x14ac:dyDescent="0.25">
      <c r="A7" s="29" t="s">
        <v>206</v>
      </c>
      <c r="B7" s="32" t="s">
        <v>187</v>
      </c>
      <c r="C7" s="32" t="s">
        <v>220</v>
      </c>
      <c r="D7" s="81" t="s">
        <v>201</v>
      </c>
    </row>
    <row r="8" spans="1:16" x14ac:dyDescent="0.25">
      <c r="A8" s="29" t="s">
        <v>207</v>
      </c>
      <c r="B8" s="32" t="s">
        <v>188</v>
      </c>
      <c r="C8" s="32" t="s">
        <v>221</v>
      </c>
      <c r="D8" s="32" t="s">
        <v>202</v>
      </c>
    </row>
    <row r="9" spans="1:16" x14ac:dyDescent="0.25">
      <c r="A9" s="29" t="s">
        <v>208</v>
      </c>
      <c r="B9" s="32" t="s">
        <v>189</v>
      </c>
      <c r="C9" s="32" t="s">
        <v>222</v>
      </c>
      <c r="D9" s="32" t="s">
        <v>202</v>
      </c>
    </row>
    <row r="10" spans="1:16" x14ac:dyDescent="0.25">
      <c r="A10" s="29" t="s">
        <v>209</v>
      </c>
      <c r="B10" s="32" t="s">
        <v>190</v>
      </c>
      <c r="C10" s="32" t="s">
        <v>223</v>
      </c>
      <c r="D10" s="32" t="s">
        <v>203</v>
      </c>
    </row>
    <row r="11" spans="1:16" x14ac:dyDescent="0.25">
      <c r="A11" s="29" t="s">
        <v>210</v>
      </c>
      <c r="B11" s="32" t="s">
        <v>191</v>
      </c>
      <c r="C11" s="32" t="s">
        <v>224</v>
      </c>
      <c r="D11" s="32" t="s">
        <v>204</v>
      </c>
    </row>
    <row r="12" spans="1:16" x14ac:dyDescent="0.25">
      <c r="A12" s="29" t="s">
        <v>211</v>
      </c>
      <c r="B12" s="32" t="s">
        <v>192</v>
      </c>
      <c r="C12" s="32" t="s">
        <v>220</v>
      </c>
      <c r="D12" s="32" t="s">
        <v>201</v>
      </c>
    </row>
    <row r="13" spans="1:16" x14ac:dyDescent="0.25">
      <c r="A13" s="29" t="s">
        <v>212</v>
      </c>
      <c r="B13" s="32" t="s">
        <v>193</v>
      </c>
      <c r="C13" s="32" t="s">
        <v>225</v>
      </c>
      <c r="D13" s="32" t="s">
        <v>202</v>
      </c>
    </row>
    <row r="14" spans="1:16" x14ac:dyDescent="0.25">
      <c r="A14" s="29" t="s">
        <v>213</v>
      </c>
      <c r="B14" s="32" t="s">
        <v>194</v>
      </c>
      <c r="C14" s="32" t="s">
        <v>220</v>
      </c>
      <c r="D14" s="32" t="s">
        <v>205</v>
      </c>
    </row>
    <row r="15" spans="1:16" x14ac:dyDescent="0.25">
      <c r="A15" s="29" t="s">
        <v>214</v>
      </c>
      <c r="B15" s="32" t="s">
        <v>195</v>
      </c>
      <c r="C15" s="32" t="s">
        <v>220</v>
      </c>
      <c r="D15" s="32" t="s">
        <v>205</v>
      </c>
    </row>
    <row r="16" spans="1:16" x14ac:dyDescent="0.25">
      <c r="A16" s="29" t="s">
        <v>215</v>
      </c>
      <c r="B16" s="32" t="s">
        <v>196</v>
      </c>
      <c r="C16" s="32" t="s">
        <v>220</v>
      </c>
      <c r="D16" s="32" t="s">
        <v>205</v>
      </c>
    </row>
    <row r="17" spans="1:4" x14ac:dyDescent="0.25">
      <c r="A17" s="29" t="s">
        <v>216</v>
      </c>
      <c r="B17" s="32" t="s">
        <v>197</v>
      </c>
      <c r="C17" s="32" t="s">
        <v>220</v>
      </c>
      <c r="D17" s="32" t="s">
        <v>205</v>
      </c>
    </row>
    <row r="18" spans="1:4" x14ac:dyDescent="0.25">
      <c r="A18" s="29" t="s">
        <v>217</v>
      </c>
      <c r="B18" s="32" t="s">
        <v>198</v>
      </c>
      <c r="C18" s="32" t="s">
        <v>226</v>
      </c>
      <c r="D18" s="32" t="s">
        <v>205</v>
      </c>
    </row>
    <row r="19" spans="1:4" x14ac:dyDescent="0.25">
      <c r="A19" s="29" t="s">
        <v>218</v>
      </c>
      <c r="B19" s="32" t="s">
        <v>199</v>
      </c>
      <c r="C19" s="32" t="s">
        <v>220</v>
      </c>
      <c r="D19" s="32" t="s">
        <v>203</v>
      </c>
    </row>
    <row r="20" spans="1:4" x14ac:dyDescent="0.25">
      <c r="A20" s="29" t="s">
        <v>219</v>
      </c>
      <c r="B20" s="32" t="s">
        <v>200</v>
      </c>
      <c r="C20" s="32" t="s">
        <v>221</v>
      </c>
      <c r="D20" s="32" t="s">
        <v>202</v>
      </c>
    </row>
    <row r="21" spans="1:4" x14ac:dyDescent="0.25">
      <c r="A21" s="29" t="s">
        <v>227</v>
      </c>
      <c r="B21" s="32" t="s">
        <v>228</v>
      </c>
      <c r="C21" s="32" t="s">
        <v>229</v>
      </c>
      <c r="D21" s="32" t="s">
        <v>205</v>
      </c>
    </row>
    <row r="22" spans="1:4" x14ac:dyDescent="0.25">
      <c r="A22" s="29" t="s">
        <v>245</v>
      </c>
      <c r="B22" s="32" t="s">
        <v>246</v>
      </c>
      <c r="C22" s="32"/>
      <c r="D22" s="32"/>
    </row>
    <row r="23" spans="1:4" x14ac:dyDescent="0.25">
      <c r="A23" s="29"/>
      <c r="B23" s="32"/>
      <c r="C23" s="32"/>
      <c r="D23" s="32"/>
    </row>
    <row r="24" spans="1:4" x14ac:dyDescent="0.25">
      <c r="A24" s="29"/>
      <c r="B24" s="32"/>
      <c r="C24" s="32"/>
      <c r="D24" s="32"/>
    </row>
    <row r="25" spans="1:4" x14ac:dyDescent="0.25">
      <c r="A25" s="29"/>
      <c r="B25" s="32"/>
      <c r="C25" s="32"/>
      <c r="D25" s="32"/>
    </row>
    <row r="26" spans="1:4" x14ac:dyDescent="0.25">
      <c r="A26" s="29"/>
      <c r="B26" s="32"/>
      <c r="C26" s="32"/>
      <c r="D26" s="32"/>
    </row>
    <row r="27" spans="1:4" x14ac:dyDescent="0.25">
      <c r="A27" s="29"/>
      <c r="B27" s="32"/>
      <c r="C27" s="32"/>
      <c r="D27" s="32"/>
    </row>
    <row r="28" spans="1:4" x14ac:dyDescent="0.25">
      <c r="A28" s="29"/>
      <c r="B28" s="32"/>
      <c r="C28" s="32"/>
      <c r="D28" s="32"/>
    </row>
    <row r="29" spans="1:4" x14ac:dyDescent="0.25">
      <c r="A29" s="29"/>
      <c r="B29" s="32"/>
      <c r="C29" s="32"/>
      <c r="D29" s="32"/>
    </row>
    <row r="30" spans="1:4" x14ac:dyDescent="0.25">
      <c r="A30" s="29"/>
      <c r="B30" s="32"/>
      <c r="C30" s="32"/>
      <c r="D30" s="32"/>
    </row>
    <row r="31" spans="1:4" x14ac:dyDescent="0.25">
      <c r="A31" s="29"/>
      <c r="B31" s="32"/>
      <c r="C31" s="32"/>
      <c r="D31" s="32"/>
    </row>
    <row r="32" spans="1:4" x14ac:dyDescent="0.25">
      <c r="A32" s="29"/>
      <c r="B32" s="32"/>
      <c r="C32" s="32"/>
      <c r="D32" s="32"/>
    </row>
    <row r="33" spans="1:4" x14ac:dyDescent="0.25">
      <c r="A33" s="29"/>
      <c r="B33" s="32"/>
      <c r="C33" s="32"/>
      <c r="D33" s="32"/>
    </row>
    <row r="34" spans="1:4" x14ac:dyDescent="0.25">
      <c r="A34" s="29"/>
      <c r="B34" s="32"/>
      <c r="C34" s="32"/>
      <c r="D34" s="32"/>
    </row>
    <row r="35" spans="1:4" x14ac:dyDescent="0.25">
      <c r="A35" s="29"/>
      <c r="B35" s="32"/>
      <c r="C35" s="32"/>
      <c r="D35" s="32"/>
    </row>
    <row r="36" spans="1:4" x14ac:dyDescent="0.25">
      <c r="A36" s="30"/>
    </row>
  </sheetData>
  <mergeCells count="5">
    <mergeCell ref="B1:D3"/>
    <mergeCell ref="D5:D6"/>
    <mergeCell ref="C5:C6"/>
    <mergeCell ref="A5:A6"/>
    <mergeCell ref="B5:B6"/>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BF7D6-7F02-40BF-9A88-8281863DBF30}">
  <dimension ref="A1"/>
  <sheetViews>
    <sheetView workbookViewId="0">
      <selection activeCell="N27" sqref="N27"/>
    </sheetView>
  </sheetViews>
  <sheetFormatPr defaultRowHeight="15" x14ac:dyDescent="0.25"/>
  <sheetData>
    <row r="1" spans="1:1" x14ac:dyDescent="0.25">
      <c r="A1" t="s">
        <v>268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Props1.xml><?xml version="1.0" encoding="utf-8"?>
<ds:datastoreItem xmlns:ds="http://schemas.openxmlformats.org/officeDocument/2006/customXml" ds:itemID="{0483F41F-77DD-431A-BB3F-1D643256E826}">
  <ds:schemaRefs/>
</ds:datastoreItem>
</file>

<file path=customXml/itemProps2.xml><?xml version="1.0" encoding="utf-8"?>
<ds:datastoreItem xmlns:ds="http://schemas.openxmlformats.org/officeDocument/2006/customXml" ds:itemID="{53495C9A-BE17-4CC6-A51E-DAB72560E273}">
  <ds:schemaRefs/>
</ds:datastoreItem>
</file>

<file path=customXml/itemProps3.xml><?xml version="1.0" encoding="utf-8"?>
<ds:datastoreItem xmlns:ds="http://schemas.openxmlformats.org/officeDocument/2006/customXml" ds:itemID="{92CE7B0B-7A4F-4489-87B7-DD0279EA3520}">
  <ds:schemaRefs/>
</ds:datastoreItem>
</file>

<file path=customXml/itemProps4.xml><?xml version="1.0" encoding="utf-8"?>
<ds:datastoreItem xmlns:ds="http://schemas.openxmlformats.org/officeDocument/2006/customXml" ds:itemID="{4380DE81-CEC8-4BB1-A53F-65454403F347}">
  <ds:schemaRefs/>
</ds:datastoreItem>
</file>

<file path=customXml/itemProps5.xml><?xml version="1.0" encoding="utf-8"?>
<ds:datastoreItem xmlns:ds="http://schemas.openxmlformats.org/officeDocument/2006/customXml" ds:itemID="{AB31964D-9378-427C-AE7A-40E10176368E}">
  <ds:schemaRefs>
    <ds:schemaRef ds:uri="http://schemas.microsoft.com/DataMashup"/>
  </ds:schemaRefs>
</ds:datastoreItem>
</file>

<file path=customXml/itemProps6.xml><?xml version="1.0" encoding="utf-8"?>
<ds:datastoreItem xmlns:ds="http://schemas.openxmlformats.org/officeDocument/2006/customXml" ds:itemID="{955EEE1E-85BF-42C7-9554-29F2BBEC77EE}">
  <ds:schemaRefs/>
</ds:datastoreItem>
</file>

<file path=customXml/itemProps7.xml><?xml version="1.0" encoding="utf-8"?>
<ds:datastoreItem xmlns:ds="http://schemas.openxmlformats.org/officeDocument/2006/customXml" ds:itemID="{7965482F-04FB-41E8-A929-861DB0D7E539}">
  <ds:schemaRefs/>
</ds:datastoreItem>
</file>

<file path=customXml/itemProps8.xml><?xml version="1.0" encoding="utf-8"?>
<ds:datastoreItem xmlns:ds="http://schemas.openxmlformats.org/officeDocument/2006/customXml" ds:itemID="{04FD2643-3521-4166-B2B2-5567BE61C0A9}">
  <ds:schemaRefs/>
</ds:datastoreItem>
</file>

<file path=customXml/itemProps9.xml><?xml version="1.0" encoding="utf-8"?>
<ds:datastoreItem xmlns:ds="http://schemas.openxmlformats.org/officeDocument/2006/customXml" ds:itemID="{05C87705-9867-479B-8F12-E325B4CD01A8}">
  <ds:schemaRefs/>
</ds:datastoreItem>
</file>

<file path=customXml/itemProps10.xml><?xml version="1.0" encoding="utf-8"?>
<ds:datastoreItem xmlns:ds="http://schemas.openxmlformats.org/officeDocument/2006/customXml" ds:itemID="{D3E64365-B583-4B08-8144-F6DA392804E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Heatmap</vt:lpstr>
      <vt:lpstr>Gantt chart</vt:lpstr>
      <vt:lpstr>Risk Register</vt:lpstr>
      <vt:lpstr>Tasks</vt:lpstr>
      <vt:lpstr>Rating factors</vt:lpstr>
      <vt:lpstr>Dropdowns</vt:lpstr>
      <vt:lpstr>Asset Inventory</vt:lpstr>
      <vt:lpstr>Heat 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2026-07-20T17:20:01Z</dcterms:created>
  <dcterms:modified xsi:type="dcterms:W3CDTF">2026-07-22T05:25:57Z</dcterms:modified>
  <cp:category/>
</cp:coreProperties>
</file>